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CocktailDB\CocktaDB_Research_Paper\NER Paper\GitHub\"/>
    </mc:Choice>
  </mc:AlternateContent>
  <xr:revisionPtr revIDLastSave="0" documentId="13_ncr:1_{C96C0EBF-1A17-472B-A4C9-9DAF9DFE232E}" xr6:coauthVersionLast="47" xr6:coauthVersionMax="47" xr10:uidLastSave="{00000000-0000-0000-0000-000000000000}"/>
  <bookViews>
    <workbookView xWindow="-108" yWindow="-108" windowWidth="23256" windowHeight="12456" xr2:uid="{B0FF87B9-B45F-4E85-8CC6-71615BF98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31" i="1" l="1"/>
  <c r="J9919" i="1"/>
  <c r="J9415" i="1"/>
  <c r="J9221" i="1"/>
  <c r="J5298" i="1"/>
  <c r="I4769" i="1"/>
  <c r="I4545" i="1"/>
  <c r="I4216" i="1"/>
  <c r="I3310" i="1"/>
  <c r="I2926" i="1"/>
  <c r="I1337" i="1"/>
  <c r="I918" i="1"/>
  <c r="I831" i="1"/>
  <c r="I120" i="1"/>
  <c r="I74" i="1"/>
  <c r="I19" i="1"/>
</calcChain>
</file>

<file path=xl/sharedStrings.xml><?xml version="1.0" encoding="utf-8"?>
<sst xmlns="http://schemas.openxmlformats.org/spreadsheetml/2006/main" count="41458" uniqueCount="17549">
  <si>
    <t>Recipe_Name</t>
  </si>
  <si>
    <t>Ingredients</t>
  </si>
  <si>
    <t>Quantity</t>
  </si>
  <si>
    <t>Unit</t>
  </si>
  <si>
    <t>Name</t>
  </si>
  <si>
    <t>State</t>
  </si>
  <si>
    <t>Dry/Fresh</t>
  </si>
  <si>
    <t>Temperature</t>
  </si>
  <si>
    <t>Other</t>
  </si>
  <si>
    <t>San Pancho</t>
  </si>
  <si>
    <t>0.5 part Strawberry syrup</t>
  </si>
  <si>
    <t>part</t>
  </si>
  <si>
    <t>Strawberry syrup</t>
  </si>
  <si>
    <t>Grand Autumn</t>
  </si>
  <si>
    <t>1 part Elderflower liqueur</t>
  </si>
  <si>
    <t>Elderflower liqueur</t>
  </si>
  <si>
    <t># Tres</t>
  </si>
  <si>
    <t>1 dash Grenadine or Pomegranate molasses</t>
  </si>
  <si>
    <t>dash</t>
  </si>
  <si>
    <t>Grenadine|Pomegranate molasses</t>
  </si>
  <si>
    <t>or</t>
  </si>
  <si>
    <t>Chartreuse Daiquiri</t>
  </si>
  <si>
    <t>0.5 oz white rum</t>
  </si>
  <si>
    <t>oz</t>
  </si>
  <si>
    <t>white rum</t>
  </si>
  <si>
    <t>How To Make Green Beer</t>
  </si>
  <si>
    <t>Beer</t>
  </si>
  <si>
    <t>Toast of the Town</t>
  </si>
  <si>
    <t>25ml Lemon Juice</t>
  </si>
  <si>
    <t>ml</t>
  </si>
  <si>
    <t>Lemon Juice</t>
  </si>
  <si>
    <t>Chavela</t>
  </si>
  <si>
    <t>1 wedge Lemon or Lime</t>
  </si>
  <si>
    <t>wedge</t>
  </si>
  <si>
    <t>Lemon|Lime</t>
  </si>
  <si>
    <t>Banana Blossom</t>
  </si>
  <si>
    <t>0.75 ounce lime juice</t>
  </si>
  <si>
    <t>ounce</t>
  </si>
  <si>
    <t>lime juice</t>
  </si>
  <si>
    <t>Beetlejuice Cocktail</t>
  </si>
  <si>
    <t>1 oz vodka</t>
  </si>
  <si>
    <t>vodka</t>
  </si>
  <si>
    <t>Mango Strawberry Sangria Bowl</t>
  </si>
  <si>
    <t>Strawberry rum 1.5 oz</t>
  </si>
  <si>
    <t>Strawberry rum</t>
  </si>
  <si>
    <t>Whisky in Church</t>
  </si>
  <si>
    <t>0.75 ounce oloroso sherry</t>
  </si>
  <si>
    <t>oloroso sherry</t>
  </si>
  <si>
    <t>Homemade Creme De Menthe Recipe</t>
  </si>
  <si>
    <t>8 Cup Sugar</t>
  </si>
  <si>
    <t>Cup</t>
  </si>
  <si>
    <t>Sugar</t>
  </si>
  <si>
    <t>The Fizz's Doudou</t>
  </si>
  <si>
    <t>1 dash Tabasco red pepper sauce</t>
  </si>
  <si>
    <t>Tabasco red pepper sauce</t>
  </si>
  <si>
    <t>Ketel One Summer Breeze</t>
  </si>
  <si>
    <t>50ml Orange juice</t>
  </si>
  <si>
    <t>Orange juice</t>
  </si>
  <si>
    <t>Farthingale</t>
  </si>
  <si>
    <t>1 Dash Bitters</t>
  </si>
  <si>
    <t>Dash</t>
  </si>
  <si>
    <t>Bitters</t>
  </si>
  <si>
    <t>Bananalyzer</t>
  </si>
  <si>
    <t>fill with Milk</t>
  </si>
  <si>
    <t>Milk</t>
  </si>
  <si>
    <t>fill with</t>
  </si>
  <si>
    <t>Shady Grove</t>
  </si>
  <si>
    <t>0.75 ounce fresh lime juice</t>
  </si>
  <si>
    <t>fresh</t>
  </si>
  <si>
    <t>Amber</t>
  </si>
  <si>
    <t>6 cl Nordguld - aquavit with destilled amber</t>
  </si>
  <si>
    <t>cl</t>
  </si>
  <si>
    <t>Nordguld</t>
  </si>
  <si>
    <t>Watermelon Cubes Vodka Limeade</t>
  </si>
  <si>
    <t>Lemon lime soda 2 oz</t>
  </si>
  <si>
    <t>Lemon lime soda</t>
  </si>
  <si>
    <t>Maria sin Sangre</t>
  </si>
  <si>
    <t>0.5 oz dry sherry</t>
  </si>
  <si>
    <t>dry sherry</t>
  </si>
  <si>
    <t>Creole-Rum Sazerac</t>
  </si>
  <si>
    <t>0.5 ounce simple syrup</t>
  </si>
  <si>
    <t>simple syrup</t>
  </si>
  <si>
    <t>Peachy Keen</t>
  </si>
  <si>
    <t>Peach Slices</t>
  </si>
  <si>
    <t>Slices</t>
  </si>
  <si>
    <t>Peach</t>
  </si>
  <si>
    <t>Pear Green Tea</t>
  </si>
  <si>
    <t>10ml Lemon juice</t>
  </si>
  <si>
    <t>Lemon juice</t>
  </si>
  <si>
    <t>Dram Sour</t>
  </si>
  <si>
    <t>0.75 parts Licor 43 Liqueur</t>
  </si>
  <si>
    <t>parts</t>
  </si>
  <si>
    <t>Licor 43 Liqueur</t>
  </si>
  <si>
    <t>Fans Cocktail</t>
  </si>
  <si>
    <t>1 oz Orange Liqueur</t>
  </si>
  <si>
    <t>Orange Liqueur</t>
  </si>
  <si>
    <t>Midori Splice Cocktail</t>
  </si>
  <si>
    <t>top with Pineapple Juice</t>
  </si>
  <si>
    <t>Pineapple Juice</t>
  </si>
  <si>
    <t>top with</t>
  </si>
  <si>
    <t>Beach Cruiser</t>
  </si>
  <si>
    <t>1.25 oz Spiced Rum</t>
  </si>
  <si>
    <t>Spiced Rum</t>
  </si>
  <si>
    <t>Irish Whiskey Sour</t>
  </si>
  <si>
    <t>1 Egg White</t>
  </si>
  <si>
    <t>Egg White</t>
  </si>
  <si>
    <t>Flip Passion</t>
  </si>
  <si>
    <t>3 oz Energy Soda</t>
  </si>
  <si>
    <t>Energy Soda</t>
  </si>
  <si>
    <t>Martini. Patton</t>
  </si>
  <si>
    <t>1 Splash Dry Vermouth</t>
  </si>
  <si>
    <t>Splash</t>
  </si>
  <si>
    <t>Dry Vermouth</t>
  </si>
  <si>
    <t>Breakfast Martini</t>
  </si>
  <si>
    <t>12.5 ml Sugar Syrup</t>
  </si>
  <si>
    <t>Sugar Syrup</t>
  </si>
  <si>
    <t>Grand Fashion</t>
  </si>
  <si>
    <t>Red Wine</t>
  </si>
  <si>
    <t>Pino Frio</t>
  </si>
  <si>
    <t>2 tbsp Pineapple</t>
  </si>
  <si>
    <t>tbsp</t>
  </si>
  <si>
    <t>Pineapple</t>
  </si>
  <si>
    <t>Brandy Alexander</t>
  </si>
  <si>
    <t>1 oz Bols Cacao Brown</t>
  </si>
  <si>
    <t>Bols Cacao Brown</t>
  </si>
  <si>
    <t>Celestia</t>
  </si>
  <si>
    <t>1 oz Orgeat Syrup</t>
  </si>
  <si>
    <t>Orgeat Syrup</t>
  </si>
  <si>
    <t>Spiked Root Beer Popsicles</t>
  </si>
  <si>
    <t>Root beer 8 oz</t>
  </si>
  <si>
    <t>Root beer</t>
  </si>
  <si>
    <t>Terroir Old Fashioned</t>
  </si>
  <si>
    <t>0.25 ounce agave caramel (recipe below)</t>
  </si>
  <si>
    <t>agave caramel</t>
  </si>
  <si>
    <t>(recipe below)</t>
  </si>
  <si>
    <t>Apricot Whiskey Sour</t>
  </si>
  <si>
    <t>15 ml Apricot Liqueur</t>
  </si>
  <si>
    <t>Apricot Liqueur</t>
  </si>
  <si>
    <t>Dubliner</t>
  </si>
  <si>
    <t>0.5 part Orange curacao</t>
  </si>
  <si>
    <t>Orange curacao</t>
  </si>
  <si>
    <t>Easy Strawberry Daiquiri</t>
  </si>
  <si>
    <t>0.5 oz lime Juice</t>
  </si>
  <si>
    <t>lime Juice</t>
  </si>
  <si>
    <t>Claret Cup</t>
  </si>
  <si>
    <t>2 (750 ml) bottles claret of choice</t>
  </si>
  <si>
    <t>bottles</t>
  </si>
  <si>
    <t>claret</t>
  </si>
  <si>
    <t>(750 ml)|of choice</t>
  </si>
  <si>
    <t>Red Sea Sunrise</t>
  </si>
  <si>
    <t>Orange Slice</t>
  </si>
  <si>
    <t>Slice</t>
  </si>
  <si>
    <t>Orange</t>
  </si>
  <si>
    <t>Brunch on 23rd</t>
  </si>
  <si>
    <t>Pepper</t>
  </si>
  <si>
    <t>Laphroaig Penicillin</t>
  </si>
  <si>
    <t>or Kilbeggan Single Grain Irish Whiskey</t>
  </si>
  <si>
    <t>Kilbeggan Single Grain Irish Whiskey</t>
  </si>
  <si>
    <t>Iron Ranger From Raised by Wolves</t>
  </si>
  <si>
    <t>0.75 oz fresh lemon juice</t>
  </si>
  <si>
    <t>lemon juice</t>
  </si>
  <si>
    <t>Long Island Iced Tea</t>
  </si>
  <si>
    <t>Lemon wedge, for garnish</t>
  </si>
  <si>
    <t>Lemon</t>
  </si>
  <si>
    <t>, for garnish</t>
  </si>
  <si>
    <t>Cotter Swizzle</t>
  </si>
  <si>
    <t>0.5 ounce lime juice , freshly squeezed</t>
  </si>
  <si>
    <t>squeezed</t>
  </si>
  <si>
    <t>freshly</t>
  </si>
  <si>
    <t>Dingo</t>
  </si>
  <si>
    <t>0.5 oz Peach Liqueur</t>
  </si>
  <si>
    <t>Peach Liqueur</t>
  </si>
  <si>
    <t>Kiwi Blueberry Mojito</t>
  </si>
  <si>
    <t>Blueberries</t>
  </si>
  <si>
    <t>Bushwacker</t>
  </si>
  <si>
    <t>2 fluid ounces coconut rum</t>
  </si>
  <si>
    <t>fluid ounces</t>
  </si>
  <si>
    <t>coconut rum</t>
  </si>
  <si>
    <t>Midnight Bouquet</t>
  </si>
  <si>
    <t>0.75 part Amaro</t>
  </si>
  <si>
    <t>Amaro</t>
  </si>
  <si>
    <t>Pegu Club</t>
  </si>
  <si>
    <t>0.75 oz Lime Juice</t>
  </si>
  <si>
    <t>Lime Juice</t>
  </si>
  <si>
    <t>PB On Rye</t>
  </si>
  <si>
    <t>1 cherry</t>
  </si>
  <si>
    <t>cherry</t>
  </si>
  <si>
    <t>Frisky Whiskey</t>
  </si>
  <si>
    <t>2 dashes Angostura bitters</t>
  </si>
  <si>
    <t>dashes</t>
  </si>
  <si>
    <t>Angostura bitters</t>
  </si>
  <si>
    <t>Classic Mudslide Cocktail</t>
  </si>
  <si>
    <t>1 ounce Irish cream liqueur</t>
  </si>
  <si>
    <t>Irish cream liqueur</t>
  </si>
  <si>
    <t>Chocolate Orange</t>
  </si>
  <si>
    <t>25ml Baileys</t>
  </si>
  <si>
    <t>Baileys</t>
  </si>
  <si>
    <t>Russian Sunset</t>
  </si>
  <si>
    <t>2 oz Triple Sec</t>
  </si>
  <si>
    <t>Triple Sec</t>
  </si>
  <si>
    <t>Woo-Woo Weed</t>
  </si>
  <si>
    <t>50ml Jeremiah Weed Sweet Tea Country Peach Flavoured Vodka</t>
  </si>
  <si>
    <t>Sweet Tea Country Peach Flavoured Vodka</t>
  </si>
  <si>
    <t>Jeremiah Weed</t>
  </si>
  <si>
    <t>Sex with an Alligator</t>
  </si>
  <si>
    <t>0.75 fluid ounce coconut rum</t>
  </si>
  <si>
    <t>fluid ounce</t>
  </si>
  <si>
    <t>Snowshoe Shooter</t>
  </si>
  <si>
    <t>0.75 ounce bourbon whiskey</t>
  </si>
  <si>
    <t>bourbon whiskey</t>
  </si>
  <si>
    <t>Jimmy Dean</t>
  </si>
  <si>
    <t>1 part Orange juice</t>
  </si>
  <si>
    <t>Black Eye</t>
  </si>
  <si>
    <t>.5 oz Blackberry Brandy</t>
  </si>
  <si>
    <t>Blackberry Brandy</t>
  </si>
  <si>
    <t>Rock and Rye Cooler</t>
  </si>
  <si>
    <t>1 oz Exotic-Fruit Liqueur</t>
  </si>
  <si>
    <t>Exotic-Fruit Liqueur</t>
  </si>
  <si>
    <t>Porchlights Long Island Iced Tea</t>
  </si>
  <si>
    <t>0.5 ounce gin, preferably Fords</t>
  </si>
  <si>
    <t>gin</t>
  </si>
  <si>
    <t>,preferably Fords</t>
  </si>
  <si>
    <t>Caribbean Smuggler</t>
  </si>
  <si>
    <t>3 Lemon-Lime Soda</t>
  </si>
  <si>
    <t>Lemon-Lime Soda</t>
  </si>
  <si>
    <t>Chocolate Beverage</t>
  </si>
  <si>
    <t>6 cups Milk</t>
  </si>
  <si>
    <t>cups</t>
  </si>
  <si>
    <t>Whi Tai</t>
  </si>
  <si>
    <t>1 oz cream of coconut such as Coco Lopex</t>
  </si>
  <si>
    <t>cream of coconut</t>
  </si>
  <si>
    <t>such as Coco Lopex</t>
  </si>
  <si>
    <t>Kinky Blow Pop</t>
  </si>
  <si>
    <t>Vodka</t>
  </si>
  <si>
    <t>Bourbon Toscano Cocktail</t>
  </si>
  <si>
    <t>Dehydrated orange wheel</t>
  </si>
  <si>
    <t>wheel</t>
  </si>
  <si>
    <t>orange</t>
  </si>
  <si>
    <t>Dehydrated</t>
  </si>
  <si>
    <t>Bengal</t>
  </si>
  <si>
    <t>1 oz Apple Juice</t>
  </si>
  <si>
    <t>Apple Juice</t>
  </si>
  <si>
    <t>Chocolate Leprechaun</t>
  </si>
  <si>
    <t>7 oz Milk</t>
  </si>
  <si>
    <t>Ruby Grapefruit &amp; Basil Martini</t>
  </si>
  <si>
    <t>1 Basil Sprig (Garnish)</t>
  </si>
  <si>
    <t>Sprig</t>
  </si>
  <si>
    <t>Basil</t>
  </si>
  <si>
    <t>(Garnish)</t>
  </si>
  <si>
    <t>Emperor Penguin Flip</t>
  </si>
  <si>
    <t>5 cl golden rum - I used Diplomatico from Venezuela and South America</t>
  </si>
  <si>
    <t>golden rum</t>
  </si>
  <si>
    <t>Scotch Cooler</t>
  </si>
  <si>
    <t>Soda Water</t>
  </si>
  <si>
    <t>Glogg in the Mill</t>
  </si>
  <si>
    <t>30ml Glogg liqueur</t>
  </si>
  <si>
    <t>Glogg liqueur</t>
  </si>
  <si>
    <t>Turk`s Blood</t>
  </si>
  <si>
    <t>2 oz Burgundy wine</t>
  </si>
  <si>
    <t>Burgundy wine</t>
  </si>
  <si>
    <t>Mongolian Motherfucker</t>
  </si>
  <si>
    <t>1 Splash Lemonade</t>
  </si>
  <si>
    <t>Lemonade</t>
  </si>
  <si>
    <t>Ghostbusters Shots</t>
  </si>
  <si>
    <t>Peach schnapps 1 part</t>
  </si>
  <si>
    <t>Peach schnapps</t>
  </si>
  <si>
    <t>Pina Colada Pineapple Keg</t>
  </si>
  <si>
    <t>Spigot</t>
  </si>
  <si>
    <t>Margarita Jello Shots</t>
  </si>
  <si>
    <t>0.5 tablespoon freshly squeezed lime juice</t>
  </si>
  <si>
    <t>tablespoon</t>
  </si>
  <si>
    <t>Jamaican Cowboy</t>
  </si>
  <si>
    <t>Peach schnapps 0.5 oz</t>
  </si>
  <si>
    <t>Tamarind Margarita</t>
  </si>
  <si>
    <t>1.5 fluid ounces silver tequila</t>
  </si>
  <si>
    <t>silver tequila</t>
  </si>
  <si>
    <t>Bourbon Cobbler</t>
  </si>
  <si>
    <t>3 oz Club Soda</t>
  </si>
  <si>
    <t>Club Soda</t>
  </si>
  <si>
    <t>Han Solo Cocktail</t>
  </si>
  <si>
    <t>.75 oz Gin</t>
  </si>
  <si>
    <t>Gin</t>
  </si>
  <si>
    <t>Spiked Peppermint Bark Fudge</t>
  </si>
  <si>
    <t>White chocolate chips 0.5 cup</t>
  </si>
  <si>
    <t>cup</t>
  </si>
  <si>
    <t>White chocolate chips</t>
  </si>
  <si>
    <t>Black Russian</t>
  </si>
  <si>
    <t>1 oz of coffee liqueur</t>
  </si>
  <si>
    <t>coffee liqueur</t>
  </si>
  <si>
    <t>of</t>
  </si>
  <si>
    <t>Monferrato</t>
  </si>
  <si>
    <t>0.5 part Triple sec</t>
  </si>
  <si>
    <t>Triple sec</t>
  </si>
  <si>
    <t>Hot Toddy</t>
  </si>
  <si>
    <t>1 Cinnamon Stick (Garnish)</t>
  </si>
  <si>
    <t>Cinnamon Stick</t>
  </si>
  <si>
    <t>Mandy Sea</t>
  </si>
  <si>
    <t>Buried Treasure</t>
  </si>
  <si>
    <t>1 oz Whipped Cream</t>
  </si>
  <si>
    <t>Whipped Cream</t>
  </si>
  <si>
    <t>Cherry Revolution</t>
  </si>
  <si>
    <t>0.25 ounce Don Ciccio &amp; Figli Cerasum aperitivo</t>
  </si>
  <si>
    <t>Cerasum aperitivo</t>
  </si>
  <si>
    <t>Don Ciccio &amp; Figli</t>
  </si>
  <si>
    <t>Baileys Affogato</t>
  </si>
  <si>
    <t>50ml Baileys Original</t>
  </si>
  <si>
    <t>Baileys Original</t>
  </si>
  <si>
    <t>Black Sunset</t>
  </si>
  <si>
    <t>1.5 parts Lemon Juice</t>
  </si>
  <si>
    <t>Ciroc Cosmo</t>
  </si>
  <si>
    <t>45ml Ciroc Vodka</t>
  </si>
  <si>
    <t>Ciroc Vodka</t>
  </si>
  <si>
    <t>4th of July Vodka Jello Shots</t>
  </si>
  <si>
    <t>1 packet Strawberry Jello / Jelly</t>
  </si>
  <si>
    <t>packet</t>
  </si>
  <si>
    <t>Strawberry Jello / Jelly</t>
  </si>
  <si>
    <t>Paloma Riff: LAuberge Espanol</t>
  </si>
  <si>
    <t>Soda water</t>
  </si>
  <si>
    <t>Long Island Sunset</t>
  </si>
  <si>
    <t>3 oz Sours</t>
  </si>
  <si>
    <t>Sours</t>
  </si>
  <si>
    <t>Watermelon Mojitos</t>
  </si>
  <si>
    <t>5 limes, juiced</t>
  </si>
  <si>
    <t>limes</t>
  </si>
  <si>
    <t>juiced</t>
  </si>
  <si>
    <t>,</t>
  </si>
  <si>
    <t>Chard-tini</t>
  </si>
  <si>
    <t>10ml Peach Schnapps</t>
  </si>
  <si>
    <t>Peach Schnapps</t>
  </si>
  <si>
    <t>Crazy Janie</t>
  </si>
  <si>
    <t>Hurricane 2</t>
  </si>
  <si>
    <t>Grenadine Syrup</t>
  </si>
  <si>
    <t>Monte's Redemption</t>
  </si>
  <si>
    <t>Ice</t>
  </si>
  <si>
    <t>French Martini</t>
  </si>
  <si>
    <t>4.5 cl Vodka</t>
  </si>
  <si>
    <t>Dragon Piss 2</t>
  </si>
  <si>
    <t>1 oz Melon Liqueur</t>
  </si>
  <si>
    <t>Melon Liqueur</t>
  </si>
  <si>
    <t>Blanco on the Rocks</t>
  </si>
  <si>
    <t>50ml Don Julio Blanco Tequila</t>
  </si>
  <si>
    <t>Blanco Tequila</t>
  </si>
  <si>
    <t>Don Julio</t>
  </si>
  <si>
    <t>Bee Is for Bourbon</t>
  </si>
  <si>
    <t>20.5 ounces Elijah Craig Small Batch</t>
  </si>
  <si>
    <t>ounces</t>
  </si>
  <si>
    <t>Elijah Craig Small Batch</t>
  </si>
  <si>
    <t>Butter Cream</t>
  </si>
  <si>
    <t>1 oz Irish Cream</t>
  </si>
  <si>
    <t>Irish Cream</t>
  </si>
  <si>
    <t>White Negroni</t>
  </si>
  <si>
    <t>25ml Suze</t>
  </si>
  <si>
    <t>Suze</t>
  </si>
  <si>
    <t>Instant Death</t>
  </si>
  <si>
    <t>3 oz Herbal Liqueur</t>
  </si>
  <si>
    <t>Herbal Liqueur</t>
  </si>
  <si>
    <t>Sour Patch Shots</t>
  </si>
  <si>
    <t>Blueberry lemonade soda 2 oz</t>
  </si>
  <si>
    <t>Blueberry lemonade soda</t>
  </si>
  <si>
    <t>Green Gin Giant Cocktail</t>
  </si>
  <si>
    <t>1 teaspoon basil simple syrup</t>
  </si>
  <si>
    <t>teaspoon</t>
  </si>
  <si>
    <t>basil simple syrup</t>
  </si>
  <si>
    <t>Black Murder</t>
  </si>
  <si>
    <t>1 oz Dark Rum</t>
  </si>
  <si>
    <t>Dark Rum</t>
  </si>
  <si>
    <t>Old Fashioned Christmas</t>
  </si>
  <si>
    <t>1 pinch of Cinnamon Powder</t>
  </si>
  <si>
    <t>pinch</t>
  </si>
  <si>
    <t>Cinnamon Powder</t>
  </si>
  <si>
    <t>Spiced Rum, Cranberry &amp; Almond Cider</t>
  </si>
  <si>
    <t>1 Cinnamon Stick</t>
  </si>
  <si>
    <t>Ginein`s Raspberry Surprise</t>
  </si>
  <si>
    <t>30 ml Raspberry Liqueur</t>
  </si>
  <si>
    <t>Raspberry Liqueur</t>
  </si>
  <si>
    <t>Ruby Red Slippers</t>
  </si>
  <si>
    <t>0.5 lime, juiced</t>
  </si>
  <si>
    <t>lime</t>
  </si>
  <si>
    <t>Brown Cow</t>
  </si>
  <si>
    <t>2 oz Coffee Liqueur</t>
  </si>
  <si>
    <t>Coffee Liqueur</t>
  </si>
  <si>
    <t>Neon Tea</t>
  </si>
  <si>
    <t>White rum 0.5 oz</t>
  </si>
  <si>
    <t>White rum</t>
  </si>
  <si>
    <t>Ava</t>
  </si>
  <si>
    <t>1 cl cherry liqueur - I used Frederiksdal New Nordic but Cherry Heering would work too</t>
  </si>
  <si>
    <t>cherry liqueur</t>
  </si>
  <si>
    <t>Force 12</t>
  </si>
  <si>
    <t>.5 oz Grenadine Syrup</t>
  </si>
  <si>
    <t>Hurricane Ethel</t>
  </si>
  <si>
    <t>Mango Margarita By The Gallon</t>
  </si>
  <si>
    <t>Triple sec 10 oz</t>
  </si>
  <si>
    <t>Bacardi Yeah Martini Cocktail</t>
  </si>
  <si>
    <t>2.5 oz Apple Juice</t>
  </si>
  <si>
    <t>Honey Melon</t>
  </si>
  <si>
    <t>15ml Sour Cherry Liqueur</t>
  </si>
  <si>
    <t>Sour Cherry Liqueur</t>
  </si>
  <si>
    <t>Strawberry Shortcake Shot</t>
  </si>
  <si>
    <t>Cream 1 part</t>
  </si>
  <si>
    <t>Cream</t>
  </si>
  <si>
    <t>Grapefruit Crush Mocktail</t>
  </si>
  <si>
    <t>4 oz Grapefruit Juice</t>
  </si>
  <si>
    <t>Grapefruit Juice</t>
  </si>
  <si>
    <t>Sophies Secret</t>
  </si>
  <si>
    <t>1 oz Rose</t>
  </si>
  <si>
    <t>Rose</t>
  </si>
  <si>
    <t>Cave In</t>
  </si>
  <si>
    <t>1 oz Peach Liqueur</t>
  </si>
  <si>
    <t>Frozen Eastern Sour: College Radio</t>
  </si>
  <si>
    <t>4 cara cara orange supremes</t>
  </si>
  <si>
    <t>cara cara orange supremes</t>
  </si>
  <si>
    <t>Frozen Boozy Hot Chocolate</t>
  </si>
  <si>
    <t>5 cups ice</t>
  </si>
  <si>
    <t>ice</t>
  </si>
  <si>
    <t>Scotch &amp; Soda</t>
  </si>
  <si>
    <t>150ml Club soda</t>
  </si>
  <si>
    <t>Club soda</t>
  </si>
  <si>
    <t>Northern Lights Sparkling Cocktail</t>
  </si>
  <si>
    <t>2 barspoons cranberry sauce</t>
  </si>
  <si>
    <t>barspoons</t>
  </si>
  <si>
    <t>cranberry sauce</t>
  </si>
  <si>
    <t>New School Gin Daisy</t>
  </si>
  <si>
    <t>0.25 part Simple syrup</t>
  </si>
  <si>
    <t>Simple syrup</t>
  </si>
  <si>
    <t>Fire Away</t>
  </si>
  <si>
    <t>Sweet and sour 1 splash</t>
  </si>
  <si>
    <t>splash</t>
  </si>
  <si>
    <t>Sweet and sour</t>
  </si>
  <si>
    <t>Nail in the Coffin</t>
  </si>
  <si>
    <t>Garnish: black cardamom , freshly shaved</t>
  </si>
  <si>
    <t>black cardamom</t>
  </si>
  <si>
    <t>shaved</t>
  </si>
  <si>
    <t>Garnish:|,</t>
  </si>
  <si>
    <t>Fuzzy Navel</t>
  </si>
  <si>
    <t>Orange slice, for garnish</t>
  </si>
  <si>
    <t>slice</t>
  </si>
  <si>
    <t>Melon Margarita</t>
  </si>
  <si>
    <t>0.5 oz Bols Triple Sec</t>
  </si>
  <si>
    <t>Bols Triple Sec</t>
  </si>
  <si>
    <t>Mauby Mojito</t>
  </si>
  <si>
    <t>juice of 0.5 lime</t>
  </si>
  <si>
    <t>Mint and Melon Mojitos</t>
  </si>
  <si>
    <t>12 cup fresh lime juice</t>
  </si>
  <si>
    <t>The Boiling Panther</t>
  </si>
  <si>
    <t>Pepper Soda</t>
  </si>
  <si>
    <t>Gin Blossom</t>
  </si>
  <si>
    <t>0.75 ounce Blume apricot eau de vie</t>
  </si>
  <si>
    <t>apricot eau de vie</t>
  </si>
  <si>
    <t>Blume</t>
  </si>
  <si>
    <t>Sapphire Alpine Cocktail</t>
  </si>
  <si>
    <t>Orange twist, for garnish</t>
  </si>
  <si>
    <t>Orange twist</t>
  </si>
  <si>
    <t>Citrus Bull</t>
  </si>
  <si>
    <t>8 oz Energy Soda</t>
  </si>
  <si>
    <t>Cranberry Orange Whiskey Sour</t>
  </si>
  <si>
    <t>2 ounces whiskey (we prefer bourbon)</t>
  </si>
  <si>
    <t>whiskey</t>
  </si>
  <si>
    <t>(we prefer bourbon)</t>
  </si>
  <si>
    <t>Algebra</t>
  </si>
  <si>
    <t>2 tsp Lemon Juice</t>
  </si>
  <si>
    <t>tsp</t>
  </si>
  <si>
    <t>Apricot Ginger Whiskey Sour</t>
  </si>
  <si>
    <t>2 ounces bourbon , rye or scotch</t>
  </si>
  <si>
    <t>bourbon|rye|scotch</t>
  </si>
  <si>
    <t>,|or</t>
  </si>
  <si>
    <t>Suhm Heering Float</t>
  </si>
  <si>
    <t>chocolate mole bitters</t>
  </si>
  <si>
    <t>Ketel &amp; Peppered Strawberry</t>
  </si>
  <si>
    <t>1 Pinch pepper</t>
  </si>
  <si>
    <t>Pinch</t>
  </si>
  <si>
    <t>pepper</t>
  </si>
  <si>
    <t>Watermelon Vodka Slush</t>
  </si>
  <si>
    <t>2 tablespoons lemon juice</t>
  </si>
  <si>
    <t>tablespoons</t>
  </si>
  <si>
    <t>Raspberry Cream</t>
  </si>
  <si>
    <t>1.5 tbsp Raspberry Ice Cream</t>
  </si>
  <si>
    <t>Raspberry Ice Cream</t>
  </si>
  <si>
    <t>Peppermint Coffee Syrup</t>
  </si>
  <si>
    <t>1 teaspoon peppermint extract</t>
  </si>
  <si>
    <t>peppermint extract</t>
  </si>
  <si>
    <t>Moonwalk</t>
  </si>
  <si>
    <t>2 parts Sparkling white wine or Sparkling rose wine</t>
  </si>
  <si>
    <t>Sparkling white wine|Sparkling rose wine</t>
  </si>
  <si>
    <t>White Party</t>
  </si>
  <si>
    <t>5ml Sugar Syrup</t>
  </si>
  <si>
    <t>Dead Bastard</t>
  </si>
  <si>
    <t>1 oz Brandy</t>
  </si>
  <si>
    <t>Brandy</t>
  </si>
  <si>
    <t>Energy Long Island Iced Tea</t>
  </si>
  <si>
    <t>Vodka 1 oz</t>
  </si>
  <si>
    <t>Mango Kiwi Margarita Splash</t>
  </si>
  <si>
    <t>Kiwi</t>
  </si>
  <si>
    <t>Cynar Julep</t>
  </si>
  <si>
    <t>1.5 ounces Cynar</t>
  </si>
  <si>
    <t>Cynar</t>
  </si>
  <si>
    <t>Bourbon Milk Punch</t>
  </si>
  <si>
    <t>2.5 ounces whole milk</t>
  </si>
  <si>
    <t>whole milk</t>
  </si>
  <si>
    <t>Cavalier</t>
  </si>
  <si>
    <t>1 oz Whipping Cream</t>
  </si>
  <si>
    <t>Whipping Cream</t>
  </si>
  <si>
    <t>Abbi`s Tropical Delight</t>
  </si>
  <si>
    <t>1 Chunk Mango</t>
  </si>
  <si>
    <t>Chunk</t>
  </si>
  <si>
    <t>Mango</t>
  </si>
  <si>
    <t>Ojos Verdes Spicy Margarita</t>
  </si>
  <si>
    <t>0.25 oz agave syrup</t>
  </si>
  <si>
    <t>agave syrup</t>
  </si>
  <si>
    <t>Dirty Volcano</t>
  </si>
  <si>
    <t>1 oz Sours</t>
  </si>
  <si>
    <t>Pokemon Go Squirtle</t>
  </si>
  <si>
    <t>(30ml0 white chocolate liqueur 1 oz</t>
  </si>
  <si>
    <t>white chocolate liqueur</t>
  </si>
  <si>
    <t>(30ml0</t>
  </si>
  <si>
    <t>The Primavera</t>
  </si>
  <si>
    <t>60ml pineapple juice</t>
  </si>
  <si>
    <t>pineapple juice</t>
  </si>
  <si>
    <t>Passion Fruit &amp; Pineapple Sangria</t>
  </si>
  <si>
    <t>Apple</t>
  </si>
  <si>
    <t>Vodka Collins Cocktail</t>
  </si>
  <si>
    <t>The Willy Wonka Cocktail</t>
  </si>
  <si>
    <t>1 part Irish Cream</t>
  </si>
  <si>
    <t>Painkiller</t>
  </si>
  <si>
    <t>Pineapple juice 4 oz</t>
  </si>
  <si>
    <t>Pineapple juice</t>
  </si>
  <si>
    <t>Aperol Sour</t>
  </si>
  <si>
    <t>10.5 parts Gin</t>
  </si>
  <si>
    <t>Godfather</t>
  </si>
  <si>
    <t>0.25 ounce amaretto</t>
  </si>
  <si>
    <t>amaretto</t>
  </si>
  <si>
    <t>Key Lime Martini</t>
  </si>
  <si>
    <t>0.5 fluid ounce vanilla-flavored vodka</t>
  </si>
  <si>
    <t>vanilla-flavored vodka</t>
  </si>
  <si>
    <t>Smirnoff Red Vodka Bulldog</t>
  </si>
  <si>
    <t>150ml Grape juice</t>
  </si>
  <si>
    <t>Grape juice</t>
  </si>
  <si>
    <t>Southside Fizz</t>
  </si>
  <si>
    <t>6 mint leaves</t>
  </si>
  <si>
    <t>mint leaves</t>
  </si>
  <si>
    <t>Abbey Cocktail</t>
  </si>
  <si>
    <t>1 dash Orange bitters</t>
  </si>
  <si>
    <t>Orange bitters</t>
  </si>
  <si>
    <t>Tangerine Fresh</t>
  </si>
  <si>
    <t>10ml Lime Juice</t>
  </si>
  <si>
    <t>Easy Mojito Recipe</t>
  </si>
  <si>
    <t>2 to 4 ounces soda water</t>
  </si>
  <si>
    <t>2|4</t>
  </si>
  <si>
    <t>soda water</t>
  </si>
  <si>
    <t>to</t>
  </si>
  <si>
    <t>Lounge Chair Afternoon</t>
  </si>
  <si>
    <t>0.75 ounce grapefruit juice , freshly squeezed</t>
  </si>
  <si>
    <t>grapefruit juice</t>
  </si>
  <si>
    <t>Big-Batch Pineapple-Basil Vodka Sours</t>
  </si>
  <si>
    <t>0.5 cup fresh basil leaves, plus more for garnish</t>
  </si>
  <si>
    <t>basil leaves</t>
  </si>
  <si>
    <t>, plus more for garnish</t>
  </si>
  <si>
    <t>Hakuna Banana</t>
  </si>
  <si>
    <t>0.33 ounce banana liqueur (preferably Tempus Fugit Creme de Banane)</t>
  </si>
  <si>
    <t>banana liqueur</t>
  </si>
  <si>
    <t>(preferably Tempus Fugit Creme de Banane)</t>
  </si>
  <si>
    <t>Bubblegum Shooters</t>
  </si>
  <si>
    <t>Uncharted 3: Drakes Deception Cocktail</t>
  </si>
  <si>
    <t>Goldschlager 0.5 oz</t>
  </si>
  <si>
    <t>Goldschlager</t>
  </si>
  <si>
    <t>Due Campari</t>
  </si>
  <si>
    <t>0.75 oz Bitters</t>
  </si>
  <si>
    <t>Raspberry Touchdown</t>
  </si>
  <si>
    <t>0.5 oz Orange liquor</t>
  </si>
  <si>
    <t>Orange liquor</t>
  </si>
  <si>
    <t>Hot Buttered Spiced Rum</t>
  </si>
  <si>
    <t>Hot Water</t>
  </si>
  <si>
    <t>Cinco de Mayo Margarita Jello Shots</t>
  </si>
  <si>
    <t>Limes</t>
  </si>
  <si>
    <t>Asterix Cocktail</t>
  </si>
  <si>
    <t>0.67 oz Condensed Milk</t>
  </si>
  <si>
    <t>Condensed Milk</t>
  </si>
  <si>
    <t>Vieux Carre</t>
  </si>
  <si>
    <t>.75 oz of vermouth</t>
  </si>
  <si>
    <t>vermouth</t>
  </si>
  <si>
    <t>Lava Flow Jello Shots</t>
  </si>
  <si>
    <t>Boiling water 8 oz</t>
  </si>
  <si>
    <t>water</t>
  </si>
  <si>
    <t>Boiling</t>
  </si>
  <si>
    <t>Pina Colada Martini</t>
  </si>
  <si>
    <t>Pineapple Wedge</t>
  </si>
  <si>
    <t>Wedge</t>
  </si>
  <si>
    <t>1 part Amaretto</t>
  </si>
  <si>
    <t>Amaretto</t>
  </si>
  <si>
    <t>Smirnoff &amp; Lime</t>
  </si>
  <si>
    <t>1 Mint Sprigs</t>
  </si>
  <si>
    <t>Sprigs</t>
  </si>
  <si>
    <t>Mint</t>
  </si>
  <si>
    <t>Garden Collins</t>
  </si>
  <si>
    <t>0.75 ounce celery syrup (recipe below)</t>
  </si>
  <si>
    <t>celery syrup</t>
  </si>
  <si>
    <t>Jack Daniels Root Canal Float</t>
  </si>
  <si>
    <t>Jack daniels 2 oz</t>
  </si>
  <si>
    <t>Jack daniels</t>
  </si>
  <si>
    <t>Irish Pride</t>
  </si>
  <si>
    <t>2 oz Lemon Juice</t>
  </si>
  <si>
    <t>Deauville Sidecar Royale</t>
  </si>
  <si>
    <t>0.5 oz Cognac</t>
  </si>
  <si>
    <t>Cognac</t>
  </si>
  <si>
    <t>The Drive</t>
  </si>
  <si>
    <t>0.5 part Egg white or Aquafaba</t>
  </si>
  <si>
    <t>Egg white|Aquafaba</t>
  </si>
  <si>
    <t>Prickly Pear Margarita</t>
  </si>
  <si>
    <t>Triple sec 0.5 oz</t>
  </si>
  <si>
    <t>Gin and Bitters</t>
  </si>
  <si>
    <t>0.5 tsp Bitters</t>
  </si>
  <si>
    <t>Champagne Punch</t>
  </si>
  <si>
    <t>1 can frozen pink lemonade concentrate</t>
  </si>
  <si>
    <t>can</t>
  </si>
  <si>
    <t>frozen pink lemonade concentrate</t>
  </si>
  <si>
    <t>Irish Paddy</t>
  </si>
  <si>
    <t>1 oz Creme De Menthe</t>
  </si>
  <si>
    <t>Creme De Menthe</t>
  </si>
  <si>
    <t>Cafe Blanco</t>
  </si>
  <si>
    <t>1 Whipped Cream (Garnish)</t>
  </si>
  <si>
    <t>Halloween Sangria</t>
  </si>
  <si>
    <t>751.0 ml bottle dry red wine, such as Rioja</t>
  </si>
  <si>
    <t>dry red wine</t>
  </si>
  <si>
    <t>bottle|, such as Rioja</t>
  </si>
  <si>
    <t>Huey, Dewey, and Louie in rain coats</t>
  </si>
  <si>
    <t>3 sprigs of lavender</t>
  </si>
  <si>
    <t>sprigs</t>
  </si>
  <si>
    <t>lavender</t>
  </si>
  <si>
    <t>Jeannie in a Bottle</t>
  </si>
  <si>
    <t>Bitter Mocha Old-Fashioned</t>
  </si>
  <si>
    <t>0.25 ounce Caffe Amaro (a coffee liqueuramaro hybrid made by J. Rieger)</t>
  </si>
  <si>
    <t>Caffe Amaro</t>
  </si>
  <si>
    <t>(a coffee liqueuramaro hybrid made by J. Rieger)</t>
  </si>
  <si>
    <t>Kahlua Vanilla Root Beer Float</t>
  </si>
  <si>
    <t>Vanilla ice cream 1 scoop</t>
  </si>
  <si>
    <t>scoop</t>
  </si>
  <si>
    <t>Vanilla ice cream</t>
  </si>
  <si>
    <t>Jackson 5</t>
  </si>
  <si>
    <t>1 oz Rum</t>
  </si>
  <si>
    <t>Rum</t>
  </si>
  <si>
    <t>Sailors Paradise</t>
  </si>
  <si>
    <t>0.75 parts sherry infused with kombu and pineapple (See Editors Note)</t>
  </si>
  <si>
    <t>sherry</t>
  </si>
  <si>
    <t xml:space="preserve"> infused with kombu and pineapple|(See Editors Note)</t>
  </si>
  <si>
    <t>Liquid Bubble Gum</t>
  </si>
  <si>
    <t>6 oz of cola</t>
  </si>
  <si>
    <t>cola</t>
  </si>
  <si>
    <t>Penicillin Cocktail</t>
  </si>
  <si>
    <t>Royal-Tea Cocktail</t>
  </si>
  <si>
    <t>1.5 ounces London dry gin</t>
  </si>
  <si>
    <t>London dry gin</t>
  </si>
  <si>
    <t>Sidecar Cocktail</t>
  </si>
  <si>
    <t>Whitecap</t>
  </si>
  <si>
    <t>0.5 part Dark rum or Aged rum or Demerara rum</t>
  </si>
  <si>
    <t>Dark rum|Aged rum|Demerara rum</t>
  </si>
  <si>
    <t>or|or</t>
  </si>
  <si>
    <t>Barber of Seville from Maison Premiere</t>
  </si>
  <si>
    <t>1 oz manzanilla sherry</t>
  </si>
  <si>
    <t>manzanilla sherry</t>
  </si>
  <si>
    <t>Jack Frost Cocktail</t>
  </si>
  <si>
    <t>Coconut Shredded for rimming glasses</t>
  </si>
  <si>
    <t>Coconut</t>
  </si>
  <si>
    <t>Shredded</t>
  </si>
  <si>
    <t>for rimming glasses</t>
  </si>
  <si>
    <t>Pinky Colada</t>
  </si>
  <si>
    <t>2  3 Dash Grenadine Syrup</t>
  </si>
  <si>
    <t>2|3</t>
  </si>
  <si>
    <t>Bloody Pirate</t>
  </si>
  <si>
    <t>15 ml Lemon Juice</t>
  </si>
  <si>
    <t>Shark Attack</t>
  </si>
  <si>
    <t>1.5 Cup Vodka</t>
  </si>
  <si>
    <t>Paper Lion from Ramen Shop</t>
  </si>
  <si>
    <t>2 dashes absinthe</t>
  </si>
  <si>
    <t>absinthe</t>
  </si>
  <si>
    <t>Mezcal Cocktail: DJ Lisa</t>
  </si>
  <si>
    <t>0.5 oz fresh lime juice</t>
  </si>
  <si>
    <t>Cryonic Shock</t>
  </si>
  <si>
    <t>2 oz Anise Liqueur</t>
  </si>
  <si>
    <t>Anise Liqueur</t>
  </si>
  <si>
    <t>Friesia Fever</t>
  </si>
  <si>
    <t>2 parts Friesia Vodka</t>
  </si>
  <si>
    <t>Friesia Vodka</t>
  </si>
  <si>
    <t>Commodore</t>
  </si>
  <si>
    <t>0.5 part Creme de cacao</t>
  </si>
  <si>
    <t>Creme de cacao</t>
  </si>
  <si>
    <t>Homemade Pumpkin Spice Syrup</t>
  </si>
  <si>
    <t>2 teaspoons whole cloves</t>
  </si>
  <si>
    <t>teaspoons</t>
  </si>
  <si>
    <t>whole cloves</t>
  </si>
  <si>
    <t>Godiva Chocolate Macaroon</t>
  </si>
  <si>
    <t>15ml Ciroc Coconut</t>
  </si>
  <si>
    <t>Ciroc Coconut</t>
  </si>
  <si>
    <t>Elegant Without Number</t>
  </si>
  <si>
    <t>2 parts Vodka</t>
  </si>
  <si>
    <t>Blue Mule</t>
  </si>
  <si>
    <t>Jeffrey Morgenthaler's Amaretto Sour</t>
  </si>
  <si>
    <t>1.5 ounces amaretto, preferably Luxardo</t>
  </si>
  <si>
    <t>, preferably Luxardo</t>
  </si>
  <si>
    <t>Rye Opener</t>
  </si>
  <si>
    <t>2 parts Alberta Rye Dark Batch Whisky</t>
  </si>
  <si>
    <t>Alberta Rye Dark Batch Whisky</t>
  </si>
  <si>
    <t>Banana Spritz</t>
  </si>
  <si>
    <t>1 oz Soda water</t>
  </si>
  <si>
    <t>Beachcomber 2</t>
  </si>
  <si>
    <t>1 Pinch Cinnamon Sugar</t>
  </si>
  <si>
    <t>Cinnamon Sugar</t>
  </si>
  <si>
    <t>Gold Rush</t>
  </si>
  <si>
    <t>1 Dash of Bitters</t>
  </si>
  <si>
    <t>Black Monday</t>
  </si>
  <si>
    <t>.5 oz Black Sambuca</t>
  </si>
  <si>
    <t>Black Sambuca</t>
  </si>
  <si>
    <t>Black Fruit Tree</t>
  </si>
  <si>
    <t>1 oz Almond Liqueur</t>
  </si>
  <si>
    <t>Almond Liqueur</t>
  </si>
  <si>
    <t>Absolutely Fabulous</t>
  </si>
  <si>
    <t>2 shots Cranberry Juice</t>
  </si>
  <si>
    <t>shots</t>
  </si>
  <si>
    <t>Cranberry Juice</t>
  </si>
  <si>
    <t>Bourbon &amp; Berries Cocktail</t>
  </si>
  <si>
    <t>1 tbs strawberry-vanilla syrup</t>
  </si>
  <si>
    <t>tbs</t>
  </si>
  <si>
    <t>strawberry-vanilla syrup</t>
  </si>
  <si>
    <t>Gluhwein</t>
  </si>
  <si>
    <t>2 Cloves</t>
  </si>
  <si>
    <t>Cloves</t>
  </si>
  <si>
    <t>Bramble</t>
  </si>
  <si>
    <t>1 Lemon Wedge (Garnish)</t>
  </si>
  <si>
    <t>Blue Margarita</t>
  </si>
  <si>
    <t>1.5 ounces tequila</t>
  </si>
  <si>
    <t>tequila</t>
  </si>
  <si>
    <t>Hot Buttered Ron Zacapa</t>
  </si>
  <si>
    <t>45ml Zacapa 23</t>
  </si>
  <si>
    <t>Zacapa 23</t>
  </si>
  <si>
    <t>Kahlua Hot Chocolate</t>
  </si>
  <si>
    <t>0.25 cup semisweet or dark chocolate chips (optional but recommended)</t>
  </si>
  <si>
    <t>semisweet|dark chocolate chips</t>
  </si>
  <si>
    <t>or|(optional but recommended)</t>
  </si>
  <si>
    <t>Puerto Rican Sky Rocket</t>
  </si>
  <si>
    <t>fill with Orange Juice</t>
  </si>
  <si>
    <t>Orange Juice</t>
  </si>
  <si>
    <t>Bermuda Rum Swizzle</t>
  </si>
  <si>
    <t>8 ounces orange juice , freshly squeezed</t>
  </si>
  <si>
    <t>orange juice</t>
  </si>
  <si>
    <t>Halloween Hot Chocolate</t>
  </si>
  <si>
    <t>Whipped cream</t>
  </si>
  <si>
    <t>Rattlesnake Cocktail</t>
  </si>
  <si>
    <t>0.5 oz demerara simple syrup</t>
  </si>
  <si>
    <t>demerara simple syrup</t>
  </si>
  <si>
    <t>Bluebeard</t>
  </si>
  <si>
    <t>.5 oz Blueberry Syrup</t>
  </si>
  <si>
    <t>Blueberry Syrup</t>
  </si>
  <si>
    <t>Spice Up Your Life!</t>
  </si>
  <si>
    <t>1 barspoon velvet falernum</t>
  </si>
  <si>
    <t>barspoon</t>
  </si>
  <si>
    <t>velvet falernum</t>
  </si>
  <si>
    <t>B-52 Gunship</t>
  </si>
  <si>
    <t>10 ml Coffee Liqueur</t>
  </si>
  <si>
    <t>Golden Raspberry</t>
  </si>
  <si>
    <t>25 ml Jagermeister</t>
  </si>
  <si>
    <t>Jagermeister</t>
  </si>
  <si>
    <t>Carmel Apple Spritzer</t>
  </si>
  <si>
    <t>1.5 oz Apple Schnapps</t>
  </si>
  <si>
    <t>Apple Schnapps</t>
  </si>
  <si>
    <t>Dublin Mule</t>
  </si>
  <si>
    <t>8 to 12 oz Ginger Beer</t>
  </si>
  <si>
    <t>8|12</t>
  </si>
  <si>
    <t>Ginger Beer</t>
  </si>
  <si>
    <t>Wine Not Sangria</t>
  </si>
  <si>
    <t>Cherry heering 0.5 oz</t>
  </si>
  <si>
    <t>Cherry heering</t>
  </si>
  <si>
    <t>Mojito Tampa</t>
  </si>
  <si>
    <t>2 oz Silver Rum</t>
  </si>
  <si>
    <t>Silver Rum</t>
  </si>
  <si>
    <t>Ramble</t>
  </si>
  <si>
    <t>1 part Lemon juice</t>
  </si>
  <si>
    <t>Rum Sour</t>
  </si>
  <si>
    <t>1 Maraschino cherry</t>
  </si>
  <si>
    <t>Maraschino cherry</t>
  </si>
  <si>
    <t>Bushwacker Adult Milkshake</t>
  </si>
  <si>
    <t>2 oz whole milk</t>
  </si>
  <si>
    <t>Manhasset</t>
  </si>
  <si>
    <t>2 oz of Bourbon</t>
  </si>
  <si>
    <t>Bourbon</t>
  </si>
  <si>
    <t>Kiss the Miss Goodbye</t>
  </si>
  <si>
    <t>12.5 ml Violet Syrup</t>
  </si>
  <si>
    <t>Violet Syrup</t>
  </si>
  <si>
    <t>2 ounces Elijah Craig Small Batch Bourbon</t>
  </si>
  <si>
    <t>Small Batch Bourbon</t>
  </si>
  <si>
    <t>Elijah Craig</t>
  </si>
  <si>
    <t>Peach on the Beach</t>
  </si>
  <si>
    <t>Garnish with Mint Sprig</t>
  </si>
  <si>
    <t>Garnish with</t>
  </si>
  <si>
    <t>Oh, Gosh!</t>
  </si>
  <si>
    <t>0.5 part Lime juice</t>
  </si>
  <si>
    <t>Lime juice</t>
  </si>
  <si>
    <t>Blanqita</t>
  </si>
  <si>
    <t>1 oz Licorice Liqueur</t>
  </si>
  <si>
    <t>Licorice Liqueur</t>
  </si>
  <si>
    <t>Purple Pina</t>
  </si>
  <si>
    <t>Dirty Bong Water</t>
  </si>
  <si>
    <t>Any Port in a Storm</t>
  </si>
  <si>
    <t>0.75 ounce avocado pit orgeat</t>
  </si>
  <si>
    <t>avocado pit orgeat</t>
  </si>
  <si>
    <t>London Fog</t>
  </si>
  <si>
    <t>Vodka Sidecar</t>
  </si>
  <si>
    <t>1 ounce lemon juice</t>
  </si>
  <si>
    <t>Mexican Candy Jello Shots</t>
  </si>
  <si>
    <t>Watermelon pucker 1 oz</t>
  </si>
  <si>
    <t>Watermelon pucker</t>
  </si>
  <si>
    <t>Caribbean Hot Chocolate</t>
  </si>
  <si>
    <t>1 Dash Chocolate Shavings</t>
  </si>
  <si>
    <t>Chocolate Shavings</t>
  </si>
  <si>
    <t>Ron Zacapa Ambar Mojito</t>
  </si>
  <si>
    <t>8 Fresh Mint Leaves</t>
  </si>
  <si>
    <t>Mint Leaves</t>
  </si>
  <si>
    <t>Fresh</t>
  </si>
  <si>
    <t>Elderflower Gimlet</t>
  </si>
  <si>
    <t>12.5ml Elderflower Cordial</t>
  </si>
  <si>
    <t>Elderflower Cordial</t>
  </si>
  <si>
    <t>Classy Lemon Drop Martini</t>
  </si>
  <si>
    <t>0.25 cup simple syrup</t>
  </si>
  <si>
    <t>Nutella Cocktail</t>
  </si>
  <si>
    <t>1 tsp Nutella</t>
  </si>
  <si>
    <t>Nutella</t>
  </si>
  <si>
    <t>Whisky Sour - Calorie Conscious</t>
  </si>
  <si>
    <t>1 Maraschino Cherry (Garnish)</t>
  </si>
  <si>
    <t>Maraschino Cherry</t>
  </si>
  <si>
    <t>Passion Fruit Daiquiri</t>
  </si>
  <si>
    <t>1 Passion Fruit</t>
  </si>
  <si>
    <t>Passion Fruit</t>
  </si>
  <si>
    <t>Improved Whiskey Cocktail</t>
  </si>
  <si>
    <t>2 ounces bourbon or rye whiskey</t>
  </si>
  <si>
    <t>bourbon|rye whiskey</t>
  </si>
  <si>
    <t>B-52 in the Desert</t>
  </si>
  <si>
    <t>Take a Hike from Accomplice Bar</t>
  </si>
  <si>
    <t>4 drops 20 percent saline solution</t>
  </si>
  <si>
    <t>drops</t>
  </si>
  <si>
    <t>20 percent saline solution</t>
  </si>
  <si>
    <t>Earthquake</t>
  </si>
  <si>
    <t>1 ounce absinthe, preferably Lucid</t>
  </si>
  <si>
    <t>, preferably Lucid</t>
  </si>
  <si>
    <t>Coronarita</t>
  </si>
  <si>
    <t>Lime juice 1 oz</t>
  </si>
  <si>
    <t>Tequila Sazerac</t>
  </si>
  <si>
    <t>15 ml Rye Whiskey</t>
  </si>
  <si>
    <t>Rye Whiskey</t>
  </si>
  <si>
    <t>How to make Red Hots Whiskey</t>
  </si>
  <si>
    <t>Whiskey 10 oz</t>
  </si>
  <si>
    <t>Whiskey</t>
  </si>
  <si>
    <t>Ponche De Creme</t>
  </si>
  <si>
    <t>0.25 Pint Dark Rum</t>
  </si>
  <si>
    <t>Pint</t>
  </si>
  <si>
    <t>Cochon Bloody Mary</t>
  </si>
  <si>
    <t>4 Tbps. green hot sauce</t>
  </si>
  <si>
    <t>Tbps.</t>
  </si>
  <si>
    <t>green hot sauce</t>
  </si>
  <si>
    <t>Almond Shirley</t>
  </si>
  <si>
    <t>15ml Grenadine</t>
  </si>
  <si>
    <t>Grenadine</t>
  </si>
  <si>
    <t>Salted Caramel Martini</t>
  </si>
  <si>
    <t>1 ounce caramel syrup, more for rim</t>
  </si>
  <si>
    <t>caramel syrup</t>
  </si>
  <si>
    <t>, more for rim</t>
  </si>
  <si>
    <t>Psycho Killer</t>
  </si>
  <si>
    <t>2 ounces Redbreast 12-year-old Irish whiskey</t>
  </si>
  <si>
    <t>Redbreast 12-year-old Irish whiskey</t>
  </si>
  <si>
    <t>Dry Negroni Cocktail</t>
  </si>
  <si>
    <t>1 oz Bitters</t>
  </si>
  <si>
    <t>Mont Blanc</t>
  </si>
  <si>
    <t>1 oz Cream</t>
  </si>
  <si>
    <t>Bulleit &amp; Peach</t>
  </si>
  <si>
    <t>1 Peach Slice (Garnish)</t>
  </si>
  <si>
    <t>Handbook for the Recently Deceased Cocktail</t>
  </si>
  <si>
    <t>1 oz Prosecco Gruet Blanc de Blanc for that extra sparkle</t>
  </si>
  <si>
    <t>Blanc de Blanc</t>
  </si>
  <si>
    <t>Prosecco Gruet|for that extra sparkle</t>
  </si>
  <si>
    <t>Greenpoint</t>
  </si>
  <si>
    <t>2 ounces rye whiskey</t>
  </si>
  <si>
    <t>rye whiskey</t>
  </si>
  <si>
    <t>Mexican Riptide</t>
  </si>
  <si>
    <t>1 oz Coconut Rum</t>
  </si>
  <si>
    <t>Coconut Rum</t>
  </si>
  <si>
    <t>Chocolate Martini</t>
  </si>
  <si>
    <t>0.5 ounce half-and-half</t>
  </si>
  <si>
    <t>half-and-half</t>
  </si>
  <si>
    <t>Bijou Blanc</t>
  </si>
  <si>
    <t>0.25 ounce Salers</t>
  </si>
  <si>
    <t>Salers</t>
  </si>
  <si>
    <t>Ireland Iced Tea</t>
  </si>
  <si>
    <t>Applesauce Margarita</t>
  </si>
  <si>
    <t>Pineapple juice 1 oz</t>
  </si>
  <si>
    <t>Jamaican Ten-Speed</t>
  </si>
  <si>
    <t>1 part Light rum or Vodka or Vanilla vodka or Citrus vodka or Citrus rum</t>
  </si>
  <si>
    <t>Light rum|Vodka|Vanilla vodka|Citrus vodka|Citrus rum</t>
  </si>
  <si>
    <t>or|or|or|or</t>
  </si>
  <si>
    <t>Summer Fish Bowl</t>
  </si>
  <si>
    <t>1 part Pinnacle Original Vodka</t>
  </si>
  <si>
    <t>Pinnacle Original</t>
  </si>
  <si>
    <t>Zombie Delight</t>
  </si>
  <si>
    <t>Aqua Martini</t>
  </si>
  <si>
    <t>Vegetal Cocktail</t>
  </si>
  <si>
    <t>22ml Agave Nectar</t>
  </si>
  <si>
    <t>Agave Nectar</t>
  </si>
  <si>
    <t>Jasmine</t>
  </si>
  <si>
    <t>0.25 Shot Bitters</t>
  </si>
  <si>
    <t>Shot</t>
  </si>
  <si>
    <t>Banana Alexander</t>
  </si>
  <si>
    <t>1 whole Nutmeg</t>
  </si>
  <si>
    <t>Nutmeg</t>
  </si>
  <si>
    <t>whole</t>
  </si>
  <si>
    <t>4th of July All American Jello Shots</t>
  </si>
  <si>
    <t>Uv cherry vodka 1.5 cups</t>
  </si>
  <si>
    <t>Uv cherry vodka</t>
  </si>
  <si>
    <t>Jet Pilot Cocktail Recipe</t>
  </si>
  <si>
    <t>0.5 ounce Falernum</t>
  </si>
  <si>
    <t>Falernum</t>
  </si>
  <si>
    <t>Ketel One on the Rocks</t>
  </si>
  <si>
    <t>1 Ketel One Vodka</t>
  </si>
  <si>
    <t>Ketel One</t>
  </si>
  <si>
    <t>Oaxaca Old Fashioned</t>
  </si>
  <si>
    <t>2 dashes Mole bitters or Aromatic bitters</t>
  </si>
  <si>
    <t>Mole bitters|Aromatic bitters</t>
  </si>
  <si>
    <t>Don The Beachcombers Zombie</t>
  </si>
  <si>
    <t>Vodka Salty Dog</t>
  </si>
  <si>
    <t>1.5 oz Vodka</t>
  </si>
  <si>
    <t>Red Nosed Sour</t>
  </si>
  <si>
    <t>7.5ml Italian bitters</t>
  </si>
  <si>
    <t>Italian bitters</t>
  </si>
  <si>
    <t>Sex Work Is Real Work</t>
  </si>
  <si>
    <t>1 heaping cup ice</t>
  </si>
  <si>
    <t>heaping</t>
  </si>
  <si>
    <t>Spicy Margarita</t>
  </si>
  <si>
    <t>Garnish: salt rim</t>
  </si>
  <si>
    <t>salt</t>
  </si>
  <si>
    <t>Garnish:|rim</t>
  </si>
  <si>
    <t>Vaporeon Pokemon</t>
  </si>
  <si>
    <t>1 oz Blue Curacao Liqueur</t>
  </si>
  <si>
    <t>Blue Curacao Liqueur</t>
  </si>
  <si>
    <t>Bolduc On The Beach</t>
  </si>
  <si>
    <t>White Gummy Bear Edible Shot Glass</t>
  </si>
  <si>
    <t>Sweet &amp; sour 0.25 oz</t>
  </si>
  <si>
    <t>Sweet &amp; sour</t>
  </si>
  <si>
    <t>Summer of Love Punch Recipe</t>
  </si>
  <si>
    <t>8 oz pisco</t>
  </si>
  <si>
    <t>pisco</t>
  </si>
  <si>
    <t>Black-Eyed Susan</t>
  </si>
  <si>
    <t>10.5 parts Orange juice</t>
  </si>
  <si>
    <t>.5 oz Maraschino Liqueur</t>
  </si>
  <si>
    <t>Maraschino Liqueur</t>
  </si>
  <si>
    <t>Strawberry Mayon Mojito</t>
  </si>
  <si>
    <t>Mint leaves 6 undefined</t>
  </si>
  <si>
    <t>Mint leaves</t>
  </si>
  <si>
    <t>undefined</t>
  </si>
  <si>
    <t>Amaretto Cruise</t>
  </si>
  <si>
    <t>2 oz Orange Juice</t>
  </si>
  <si>
    <t>Cucumber Gimlet</t>
  </si>
  <si>
    <t>Garnish: cucumber wheel, sliced thinly</t>
  </si>
  <si>
    <t>cucumber</t>
  </si>
  <si>
    <t>sliced thinly</t>
  </si>
  <si>
    <t>Coastal Connections from Death &amp; Co Denver</t>
  </si>
  <si>
    <t>0.5 oz penicillin syrup</t>
  </si>
  <si>
    <t>penicillin syrup</t>
  </si>
  <si>
    <t>Batida Rosa</t>
  </si>
  <si>
    <t>2 parts Unaged cachaca</t>
  </si>
  <si>
    <t>Unaged cachaca</t>
  </si>
  <si>
    <t>Ketel, Cucumber &amp; Ruby Grapefruit</t>
  </si>
  <si>
    <t>10ml Elderflower Liqueur</t>
  </si>
  <si>
    <t>Elderflower Liqueur</t>
  </si>
  <si>
    <t>UPSIDE DOWN</t>
  </si>
  <si>
    <t>1 oz Triple Sec</t>
  </si>
  <si>
    <t>Impressive Coconut Martini</t>
  </si>
  <si>
    <t>0.5 ounce cream of coconut</t>
  </si>
  <si>
    <t>In Bokeh</t>
  </si>
  <si>
    <t>1.5 parts Bombay Sapphire gin</t>
  </si>
  <si>
    <t>Bombay Sapphire gin</t>
  </si>
  <si>
    <t>Bertiebreezer</t>
  </si>
  <si>
    <t>3.5 oz Bacardi Breezer Lime</t>
  </si>
  <si>
    <t>Bacardi Breezer Lime</t>
  </si>
  <si>
    <t>Coming Up Daisies</t>
  </si>
  <si>
    <t>0.75 ounce Cointreau</t>
  </si>
  <si>
    <t>Cointreau</t>
  </si>
  <si>
    <t>Big Skyy</t>
  </si>
  <si>
    <t>1 Slice Lemon</t>
  </si>
  <si>
    <t>Citrus Splash</t>
  </si>
  <si>
    <t>1 Strawberry</t>
  </si>
  <si>
    <t>Strawberry</t>
  </si>
  <si>
    <t>Strawberry Swirl Cocktail</t>
  </si>
  <si>
    <t>.5 oz Almond Liqueur</t>
  </si>
  <si>
    <t>Mojo de Ginebra</t>
  </si>
  <si>
    <t>0.5 oz simple syrup</t>
  </si>
  <si>
    <t>Belly</t>
  </si>
  <si>
    <t>Blue Pixie Stick</t>
  </si>
  <si>
    <t>Blue pixie stick rim garnish undefined</t>
  </si>
  <si>
    <t>Blue pixie stick</t>
  </si>
  <si>
    <t>rim garnish undefined</t>
  </si>
  <si>
    <t>Harvest Moon</t>
  </si>
  <si>
    <t>Hugo Cocktail</t>
  </si>
  <si>
    <t>For the garnish: fresh mint</t>
  </si>
  <si>
    <t>mint</t>
  </si>
  <si>
    <t>For the garnish:</t>
  </si>
  <si>
    <t>Hibiscus Spritz</t>
  </si>
  <si>
    <t>10ml Lime juice</t>
  </si>
  <si>
    <t>Bloody Maria</t>
  </si>
  <si>
    <t>Tequila 2 oz</t>
  </si>
  <si>
    <t>Tequila</t>
  </si>
  <si>
    <t>King James From Tobin Shea</t>
  </si>
  <si>
    <t>2 dashes maraschino liqueur</t>
  </si>
  <si>
    <t>maraschino liqueur</t>
  </si>
  <si>
    <t>Cafe Ireland: Irish Whiskey Cocktail</t>
  </si>
  <si>
    <t>0.5 oz dry vermouth</t>
  </si>
  <si>
    <t>dry vermouth</t>
  </si>
  <si>
    <t>Cinnamon Creme Cocktail</t>
  </si>
  <si>
    <t>Chocolate</t>
  </si>
  <si>
    <t>Bahama Mama</t>
  </si>
  <si>
    <t>1 cup crushed ice</t>
  </si>
  <si>
    <t>crushed</t>
  </si>
  <si>
    <t>Maison Premiere's Ramos Gin Fizz</t>
  </si>
  <si>
    <t>0.75 ounce simple syrup, (1:1, sugar to water)</t>
  </si>
  <si>
    <t>, (1:1, sugar to water)</t>
  </si>
  <si>
    <t>Cinco de Mayo Cadillac Margarita Bowl</t>
  </si>
  <si>
    <t>Big Batch Freezer Dirty Martini</t>
  </si>
  <si>
    <t>2 fluid ounces olive brine</t>
  </si>
  <si>
    <t>olive brine</t>
  </si>
  <si>
    <t>Love in the Sky</t>
  </si>
  <si>
    <t>Blue Lagoon Shots</t>
  </si>
  <si>
    <t>Lime juice 1 part</t>
  </si>
  <si>
    <t>Mother's Milk</t>
  </si>
  <si>
    <t>1 oz Butterscotch schnapps</t>
  </si>
  <si>
    <t>Butterscotch schnapps</t>
  </si>
  <si>
    <t>Entwistle's Error</t>
  </si>
  <si>
    <t>4 oz of Tonic water</t>
  </si>
  <si>
    <t>Tonic water</t>
  </si>
  <si>
    <t>1 part White wine aperitif</t>
  </si>
  <si>
    <t>White wine aperitif</t>
  </si>
  <si>
    <t>Raspberry Mochatini</t>
  </si>
  <si>
    <t>25ml Cold Espresso</t>
  </si>
  <si>
    <t>Cold Espresso</t>
  </si>
  <si>
    <t>Bitter Bison</t>
  </si>
  <si>
    <t>1 tsp Lemon Juice</t>
  </si>
  <si>
    <t>Red Mojito</t>
  </si>
  <si>
    <t>50ml Johnnie Walker Red Label</t>
  </si>
  <si>
    <t>Johnnie Walker Red Label</t>
  </si>
  <si>
    <t>Apricot Martini</t>
  </si>
  <si>
    <t>1 dash Angostura Bitters</t>
  </si>
  <si>
    <t>Angostura Bitters</t>
  </si>
  <si>
    <t>Daytona Rolling Thunder</t>
  </si>
  <si>
    <t>Hale Peles Mai Tai</t>
  </si>
  <si>
    <t>1.5 oz Jamaican rum</t>
  </si>
  <si>
    <t>Jamaican rum</t>
  </si>
  <si>
    <t>Super O Martini Cocktail</t>
  </si>
  <si>
    <t>1 oz Gold Rum</t>
  </si>
  <si>
    <t>Gold Rum</t>
  </si>
  <si>
    <t>Coppertone</t>
  </si>
  <si>
    <t>100ml Cherry Cola</t>
  </si>
  <si>
    <t>Cherry Cola</t>
  </si>
  <si>
    <t>Zacapa &amp; Tonic</t>
  </si>
  <si>
    <t>1 Lime Wedge (Garnish)</t>
  </si>
  <si>
    <t>Lime</t>
  </si>
  <si>
    <t>Gimme Smore</t>
  </si>
  <si>
    <t>Half &amp; half 1 splash</t>
  </si>
  <si>
    <t>Half &amp; half</t>
  </si>
  <si>
    <t>Black Forest Sour</t>
  </si>
  <si>
    <t>0.33 part Simple syrup</t>
  </si>
  <si>
    <t>50ml Ruby Red Grapefruit Juice</t>
  </si>
  <si>
    <t>Ruby Red Grapefruit Juice</t>
  </si>
  <si>
    <t>A Rose By Any Other Name</t>
  </si>
  <si>
    <t>6 leaves Mint</t>
  </si>
  <si>
    <t>Dark &amp; Stormy</t>
  </si>
  <si>
    <t>130ml Ginger Beer</t>
  </si>
  <si>
    <t>Fireside 75</t>
  </si>
  <si>
    <t>0.5 part Brandy or Cognac</t>
  </si>
  <si>
    <t>Brandy|Cognac</t>
  </si>
  <si>
    <t>Citronella Cooler</t>
  </si>
  <si>
    <t>1 Splash Lime Juice</t>
  </si>
  <si>
    <t>Infante</t>
  </si>
  <si>
    <t>1 part Lime</t>
  </si>
  <si>
    <t>Autumn In Kingston</t>
  </si>
  <si>
    <t>2 bottles sparkling wine (750ml, chilled)</t>
  </si>
  <si>
    <t>sparkling wine</t>
  </si>
  <si>
    <t>chilled</t>
  </si>
  <si>
    <t>(750ml,|)</t>
  </si>
  <si>
    <t>1 cups cracked ice</t>
  </si>
  <si>
    <t>cracked</t>
  </si>
  <si>
    <t>Hot for Teacher</t>
  </si>
  <si>
    <t>0.25 part Cream of coconut</t>
  </si>
  <si>
    <t>Cream of coconut</t>
  </si>
  <si>
    <t>Orange Bomb</t>
  </si>
  <si>
    <t>.5 oz Half-and-half</t>
  </si>
  <si>
    <t>Half-and-half</t>
  </si>
  <si>
    <t>Riad Star</t>
  </si>
  <si>
    <t>0.75 ounce aquafaba</t>
  </si>
  <si>
    <t>aquafaba</t>
  </si>
  <si>
    <t>White Girl</t>
  </si>
  <si>
    <t>1 oz of Bailey's Irish Cream</t>
  </si>
  <si>
    <t>Bailey's Irish Cream</t>
  </si>
  <si>
    <t>Masala Chai</t>
  </si>
  <si>
    <t>3 Cloves</t>
  </si>
  <si>
    <t>Algonquin Bloody Mary</t>
  </si>
  <si>
    <t>Salt</t>
  </si>
  <si>
    <t>Nog Nog Noggin on Heavens Door</t>
  </si>
  <si>
    <t>1 ounce whole milk</t>
  </si>
  <si>
    <t>Black Zaffa</t>
  </si>
  <si>
    <t>1 oz Peach Schnapps</t>
  </si>
  <si>
    <t>Vodka Sunrise</t>
  </si>
  <si>
    <t>For the garnish: Cocktail cherry, orange slice</t>
  </si>
  <si>
    <t>Cocktail cherry|orange slice</t>
  </si>
  <si>
    <t>For the garnish:|,</t>
  </si>
  <si>
    <t>Ginny`s Slammin` Goddess</t>
  </si>
  <si>
    <t>1 oz Raspberry Liqueur</t>
  </si>
  <si>
    <t>Swimming Upstream: A Tequila Cocktail</t>
  </si>
  <si>
    <t>0.5 oz strawberry syrup</t>
  </si>
  <si>
    <t>strawberry syrup</t>
  </si>
  <si>
    <t>Frozen Ice Cream Mudslide</t>
  </si>
  <si>
    <t>Vanilla ice cream 4 scoops</t>
  </si>
  <si>
    <t>scoops</t>
  </si>
  <si>
    <t>Coffee Chuhi: A Shochu Highball</t>
  </si>
  <si>
    <t>1 oz chilled tonic water</t>
  </si>
  <si>
    <t>tonic water</t>
  </si>
  <si>
    <t>Cherry Electric Lemonade</t>
  </si>
  <si>
    <t>1 oz Gin</t>
  </si>
  <si>
    <t>Orchard Ball</t>
  </si>
  <si>
    <t>1 Bay leaf</t>
  </si>
  <si>
    <t>Bay leaf</t>
  </si>
  <si>
    <t>Sipsmith Gin and Tonic</t>
  </si>
  <si>
    <t>Garnish: Lime Wedge</t>
  </si>
  <si>
    <t>Garnish:</t>
  </si>
  <si>
    <t>15ml Agave Syrup</t>
  </si>
  <si>
    <t>Agave Syrup</t>
  </si>
  <si>
    <t>Gingerbread Sour</t>
  </si>
  <si>
    <t>1 splash gingerbread syrup</t>
  </si>
  <si>
    <t>gingerbread syrup</t>
  </si>
  <si>
    <t>Enemy Lines</t>
  </si>
  <si>
    <t>1 piece Lemon peel</t>
  </si>
  <si>
    <t>piece</t>
  </si>
  <si>
    <t>Lemon peel</t>
  </si>
  <si>
    <t>Bamboo</t>
  </si>
  <si>
    <t>37.5 ml Sherry</t>
  </si>
  <si>
    <t>Sherry</t>
  </si>
  <si>
    <t>John Daly</t>
  </si>
  <si>
    <t>2 ounces iced tea</t>
  </si>
  <si>
    <t>iced tea</t>
  </si>
  <si>
    <t>Bullhive</t>
  </si>
  <si>
    <t>50ml Bulleit Bourbon</t>
  </si>
  <si>
    <t>Bulleit Bourbon</t>
  </si>
  <si>
    <t>Fireside 75 from Cane &amp; Table</t>
  </si>
  <si>
    <t>Sparkling wine, to top</t>
  </si>
  <si>
    <t>Sparkling wine</t>
  </si>
  <si>
    <t>, to top</t>
  </si>
  <si>
    <t>Strawberry Mojito Pitcher</t>
  </si>
  <si>
    <t>50 ml Vodka</t>
  </si>
  <si>
    <t>Long Island Cocktail</t>
  </si>
  <si>
    <t>1 oz Sugar Syrup</t>
  </si>
  <si>
    <t>Cider Old Fashioned</t>
  </si>
  <si>
    <t>Brandied cherry for garnish (optional)</t>
  </si>
  <si>
    <t>Brandied cherry</t>
  </si>
  <si>
    <t>for garnish (optional)</t>
  </si>
  <si>
    <t>Old Fashioned Recipe</t>
  </si>
  <si>
    <t>4 dashes Angostura bitters</t>
  </si>
  <si>
    <t>Mezcal Old Fashioned</t>
  </si>
  <si>
    <t>3 inch simple syrup</t>
  </si>
  <si>
    <t>inch</t>
  </si>
  <si>
    <t>Lesser Key Martini</t>
  </si>
  <si>
    <t>1 teaspoon plantain eau de vie, preferably Edenico Platano</t>
  </si>
  <si>
    <t>plantain eau de vie</t>
  </si>
  <si>
    <t>, preferably Edenico Platano</t>
  </si>
  <si>
    <t>Tanqueray Flower Fizz</t>
  </si>
  <si>
    <t>10ml Fresh Lemon Juice</t>
  </si>
  <si>
    <t>Hot Gin Punch</t>
  </si>
  <si>
    <t>3 large chunks pineapple</t>
  </si>
  <si>
    <t>chunks</t>
  </si>
  <si>
    <t>pineapple</t>
  </si>
  <si>
    <t>Smirnoff Upside-Down Cake</t>
  </si>
  <si>
    <t>1Tbsp Sprinkles (Garnish)</t>
  </si>
  <si>
    <t>Tbsp</t>
  </si>
  <si>
    <t>Sprinkles</t>
  </si>
  <si>
    <t>Jolly Rancher Cocktail</t>
  </si>
  <si>
    <t>6-8 oz Cranberry Juice</t>
  </si>
  <si>
    <t>6|8</t>
  </si>
  <si>
    <t>-</t>
  </si>
  <si>
    <t>Blue Motorcycle 2</t>
  </si>
  <si>
    <t>1 oz Vodka</t>
  </si>
  <si>
    <t>Benjawan: A Yuzu Cocktail</t>
  </si>
  <si>
    <t>1 oz fresh yuzu juice</t>
  </si>
  <si>
    <t>yuzu juice</t>
  </si>
  <si>
    <t>Suck Bang and Blow</t>
  </si>
  <si>
    <t>1 Tropical-Fruit Liqueur</t>
  </si>
  <si>
    <t>Tropical-Fruit Liqueur</t>
  </si>
  <si>
    <t>Golden Delicious</t>
  </si>
  <si>
    <t>1 oz Cinnamon Schnapps</t>
  </si>
  <si>
    <t>Cinnamon Schnapps</t>
  </si>
  <si>
    <t>Original Zombie</t>
  </si>
  <si>
    <t>.5 oz Triple Sec</t>
  </si>
  <si>
    <t>Raspberry Lemon Drop Martini</t>
  </si>
  <si>
    <t>Raspberries 6 undefined</t>
  </si>
  <si>
    <t>Raspberries</t>
  </si>
  <si>
    <t>Batch Moscow Mules</t>
  </si>
  <si>
    <t>3 cups Vodka</t>
  </si>
  <si>
    <t>Alternative Medicine from Sparrow</t>
  </si>
  <si>
    <t>10.5 oz black pepper-turmeric apple brandy</t>
  </si>
  <si>
    <t>black pepper-turmeric apple brandy</t>
  </si>
  <si>
    <t>Chi-Chi</t>
  </si>
  <si>
    <t>scoop of Vanilla Ice-Cream</t>
  </si>
  <si>
    <t>Vanilla Ice-Cream</t>
  </si>
  <si>
    <t>B2 C2</t>
  </si>
  <si>
    <t>4 oz Champagne</t>
  </si>
  <si>
    <t>Champagne</t>
  </si>
  <si>
    <t>Applejack Sour</t>
  </si>
  <si>
    <t>1 Splash Soda Water</t>
  </si>
  <si>
    <t>Jamaican Green Sunrise</t>
  </si>
  <si>
    <t>40 ml White Rum</t>
  </si>
  <si>
    <t>White Rum</t>
  </si>
  <si>
    <t>Skinny Spicy Margarita</t>
  </si>
  <si>
    <t>6 jalapeno slices, divided</t>
  </si>
  <si>
    <t>slices</t>
  </si>
  <si>
    <t>jalapeno</t>
  </si>
  <si>
    <t>, divided</t>
  </si>
  <si>
    <t>Tequila-Infused Margarita Cupcakes Recipe</t>
  </si>
  <si>
    <t>2 tablespoons vegetable oil</t>
  </si>
  <si>
    <t>vegetable oil</t>
  </si>
  <si>
    <t>The Saratoga Brace Up From Alba Huerta</t>
  </si>
  <si>
    <t>1.5 oz cognac</t>
  </si>
  <si>
    <t>cognac</t>
  </si>
  <si>
    <t>Gin-Gin Highball</t>
  </si>
  <si>
    <t>2 dashes Aromatic bitters</t>
  </si>
  <si>
    <t>Aromatic bitters</t>
  </si>
  <si>
    <t>In &amp; Out Lemontini</t>
  </si>
  <si>
    <t>75 ml Vodka</t>
  </si>
  <si>
    <t>Coffee Old Fashioned: Black Hole Sun</t>
  </si>
  <si>
    <t>7 Layer Cookie Cocktail</t>
  </si>
  <si>
    <t>Amaretto 0.5 oz</t>
  </si>
  <si>
    <t>Smoke Flowers</t>
  </si>
  <si>
    <t>0.5 ounce Benedictine</t>
  </si>
  <si>
    <t>Benedictine</t>
  </si>
  <si>
    <t>Jamaica Sour</t>
  </si>
  <si>
    <t>1 Splash of Sour Cherry Liqueur</t>
  </si>
  <si>
    <t>Brass Rail</t>
  </si>
  <si>
    <t>0.5 part Lemon juice</t>
  </si>
  <si>
    <t>Purple Galaxy</t>
  </si>
  <si>
    <t>Blue curacao 1 oz</t>
  </si>
  <si>
    <t>Blue curacao</t>
  </si>
  <si>
    <t>The Teddy Toolman</t>
  </si>
  <si>
    <t>The Avobabo</t>
  </si>
  <si>
    <t>20ml Lime Juice</t>
  </si>
  <si>
    <t>Apple Car</t>
  </si>
  <si>
    <t>0.75 oz Lemon Juice</t>
  </si>
  <si>
    <t>2 oz Cranberry Juice</t>
  </si>
  <si>
    <t>Haymitch's Grassy Knoll Cocktail</t>
  </si>
  <si>
    <t>5 Cubes Ginger</t>
  </si>
  <si>
    <t>Cubes</t>
  </si>
  <si>
    <t>Ginger</t>
  </si>
  <si>
    <t>Blue Lagoon</t>
  </si>
  <si>
    <t>Nutcracker</t>
  </si>
  <si>
    <t>2 parts Rye whiskey or Bourbon</t>
  </si>
  <si>
    <t>Rye whiskey|Bourbon</t>
  </si>
  <si>
    <t>Maia From Martinys</t>
  </si>
  <si>
    <t>0.5 oz yuzu juice</t>
  </si>
  <si>
    <t>Espresso Martini</t>
  </si>
  <si>
    <t>2 fluid ounces coffee-flavored liqueur</t>
  </si>
  <si>
    <t>coffee-flavored liqueur</t>
  </si>
  <si>
    <t>Bulleit Bourbon Pistachio Coffee</t>
  </si>
  <si>
    <t>1 Ground Pistachio (Garnish)</t>
  </si>
  <si>
    <t>Ground Pistachio</t>
  </si>
  <si>
    <t>Shrub</t>
  </si>
  <si>
    <t>1.5 ounces gin or aquavit</t>
  </si>
  <si>
    <t>gin|aquavit</t>
  </si>
  <si>
    <t>Slam Dunk Disco: A Split-Base Cocktail</t>
  </si>
  <si>
    <t>0.25 oz apricot eau de vie</t>
  </si>
  <si>
    <t>Autumn-tini</t>
  </si>
  <si>
    <t>Cayenne Pepper Mix</t>
  </si>
  <si>
    <t>Andy`s Ivory</t>
  </si>
  <si>
    <t>1 oz Coffee Liqueur</t>
  </si>
  <si>
    <t>Absinthe Rickey</t>
  </si>
  <si>
    <t>2 oz absinthe</t>
  </si>
  <si>
    <t>The CDMX Water</t>
  </si>
  <si>
    <t>Gin Sling</t>
  </si>
  <si>
    <t>0.75 part Lemon juice</t>
  </si>
  <si>
    <t>Cantarito</t>
  </si>
  <si>
    <t>1 pinch Salt</t>
  </si>
  <si>
    <t>Not So Fuzzy Navel</t>
  </si>
  <si>
    <t>3 oz Orange Juice</t>
  </si>
  <si>
    <t>Strawberry Lemonade Mojito</t>
  </si>
  <si>
    <t>0.5 Lemon Wedges</t>
  </si>
  <si>
    <t>Wedges</t>
  </si>
  <si>
    <t>Highball</t>
  </si>
  <si>
    <t>150ml Soda Water or Ginger Ale</t>
  </si>
  <si>
    <t>Soda Water|Ginger Ale</t>
  </si>
  <si>
    <t>Slippery When Wet</t>
  </si>
  <si>
    <t>2 parts Gin</t>
  </si>
  <si>
    <t>Morning Star Cocktail</t>
  </si>
  <si>
    <t>Pinch of sea salt</t>
  </si>
  <si>
    <t>sea salt</t>
  </si>
  <si>
    <t>Kiwi Crush</t>
  </si>
  <si>
    <t>0.5 Kiwi fruit</t>
  </si>
  <si>
    <t>Kiwi fruit</t>
  </si>
  <si>
    <t>Cheeky Little Monkey</t>
  </si>
  <si>
    <t>4 oz of Baileys Irish Cream</t>
  </si>
  <si>
    <t>Baileys Irish Cream</t>
  </si>
  <si>
    <t>Pina Colada</t>
  </si>
  <si>
    <t>1.5 oz Pineapple Juice</t>
  </si>
  <si>
    <t>3 for a Dollar Special</t>
  </si>
  <si>
    <t>4 oz Triple Sec</t>
  </si>
  <si>
    <t>Boozy Snickers Milkshake</t>
  </si>
  <si>
    <t>1 cup Milk</t>
  </si>
  <si>
    <t>Coconut Rum Brazilian Lemonade</t>
  </si>
  <si>
    <t>2 cups water</t>
  </si>
  <si>
    <t>Pina Colada Cocktail</t>
  </si>
  <si>
    <t>3 tablespoons crushed pineapple</t>
  </si>
  <si>
    <t>Don Limonada Tea</t>
  </si>
  <si>
    <t>50ml Strong Black Tea</t>
  </si>
  <si>
    <t>Strong Black Tea</t>
  </si>
  <si>
    <t>Keto Margarita</t>
  </si>
  <si>
    <t>1 pint-sized Mason jar</t>
  </si>
  <si>
    <t>French 75 Punch</t>
  </si>
  <si>
    <t>0.75 cup of simple syrup</t>
  </si>
  <si>
    <t>Personal Fishbowl</t>
  </si>
  <si>
    <t>El Bano</t>
  </si>
  <si>
    <t>1 oz of Tequila</t>
  </si>
  <si>
    <t>Hai Karate</t>
  </si>
  <si>
    <t>1 part Pineapple juice</t>
  </si>
  <si>
    <t>Absolutely Cranberry Smash</t>
  </si>
  <si>
    <t>Add Ice</t>
  </si>
  <si>
    <t>Add</t>
  </si>
  <si>
    <t>Quill Riff</t>
  </si>
  <si>
    <t>Purple Orgasm</t>
  </si>
  <si>
    <t>1.5 oz Raspberry Liqueur</t>
  </si>
  <si>
    <t>Ketel One Vodka Cosmopolitan</t>
  </si>
  <si>
    <t>15ml Lime juice</t>
  </si>
  <si>
    <t>Antoinettes Negroni</t>
  </si>
  <si>
    <t>0.5 ounce Campari</t>
  </si>
  <si>
    <t>Campari</t>
  </si>
  <si>
    <t>Borrowed Time</t>
  </si>
  <si>
    <t>Peach Me</t>
  </si>
  <si>
    <t>0.5 ounce peach schnapps</t>
  </si>
  <si>
    <t>peach schnapps</t>
  </si>
  <si>
    <t>Don Julio Sangria</t>
  </si>
  <si>
    <t>Tanqueray Singapore Sling</t>
  </si>
  <si>
    <t>1 Dash Angostura Bitters</t>
  </si>
  <si>
    <t>Don Julio Avant-Garde Paloma</t>
  </si>
  <si>
    <t>12 Dashes vanilla bitters</t>
  </si>
  <si>
    <t>Dashes</t>
  </si>
  <si>
    <t>vanilla bitters</t>
  </si>
  <si>
    <t>Deadly Sin</t>
  </si>
  <si>
    <t>Dark Side</t>
  </si>
  <si>
    <t>2.5 ounces gin</t>
  </si>
  <si>
    <t>Boo Hoo</t>
  </si>
  <si>
    <t>2 oz Chocolate Milk</t>
  </si>
  <si>
    <t>Chocolate Milk</t>
  </si>
  <si>
    <t>Tango Twist</t>
  </si>
  <si>
    <t>Exotic Lemonade</t>
  </si>
  <si>
    <t>Fuzzy Logic</t>
  </si>
  <si>
    <t>2 oz Peach Schnapps</t>
  </si>
  <si>
    <t>Baileys Peaches &amp; Cream</t>
  </si>
  <si>
    <t>1 Slice of Peach (Garnish)</t>
  </si>
  <si>
    <t>of|(Garnish)</t>
  </si>
  <si>
    <t>Highball: The Candice</t>
  </si>
  <si>
    <t>1.5 oz gin</t>
  </si>
  <si>
    <t>Dr P Shots</t>
  </si>
  <si>
    <t>.75 oz of Cognac</t>
  </si>
  <si>
    <t>Fuzzy Evil</t>
  </si>
  <si>
    <t>Zoksel</t>
  </si>
  <si>
    <t>Shipwreck Smash</t>
  </si>
  <si>
    <t>4 Grapes</t>
  </si>
  <si>
    <t>Grapes</t>
  </si>
  <si>
    <t>Australian Captain's Mai Tai</t>
  </si>
  <si>
    <t>15ml Orange Liqueur</t>
  </si>
  <si>
    <t>Pom Pom Cocktail</t>
  </si>
  <si>
    <t>2 Parts Lime Juice</t>
  </si>
  <si>
    <t>Parts</t>
  </si>
  <si>
    <t>Boston Ice Tea</t>
  </si>
  <si>
    <t>Jet Pilot</t>
  </si>
  <si>
    <t>1 tsp Grenadine Syrup</t>
  </si>
  <si>
    <t>Orange Martini</t>
  </si>
  <si>
    <t>0.5 oz Triple Sec</t>
  </si>
  <si>
    <t>Mexican Michelada Bloody Mary Recipe</t>
  </si>
  <si>
    <t>4 drops hot sauce</t>
  </si>
  <si>
    <t>hot sauce</t>
  </si>
  <si>
    <t>Stone Cherry Manhattan</t>
  </si>
  <si>
    <t>25ml Seagram's 7 Crown Stone Cherry Whisky</t>
  </si>
  <si>
    <t>Stone Cherry Whisky</t>
  </si>
  <si>
    <t>Seagram's 7 Crown</t>
  </si>
  <si>
    <t>Matcha Chocolate Bark with Berries and Coconut</t>
  </si>
  <si>
    <t>8 oz white chocolate, finely chopped</t>
  </si>
  <si>
    <t>white chocolate</t>
  </si>
  <si>
    <t>finely chopped</t>
  </si>
  <si>
    <t>70 Negroni</t>
  </si>
  <si>
    <t>30ml Don Julio 70</t>
  </si>
  <si>
    <t>Don Julio 70</t>
  </si>
  <si>
    <t>Dr. Diablo</t>
  </si>
  <si>
    <t>1.5 ounces tequila, preferably Olmeca Altos Plata tequila</t>
  </si>
  <si>
    <t>, preferably Olmeca Altos Plata tequila</t>
  </si>
  <si>
    <t>Boston Cream Pie Martini</t>
  </si>
  <si>
    <t>Milk 1 splash</t>
  </si>
  <si>
    <t>Shimmer Snap Shot</t>
  </si>
  <si>
    <t>1 Slice Orange</t>
  </si>
  <si>
    <t>Sweet Heart Jello Shots</t>
  </si>
  <si>
    <t>Condensed milk 0.5 can</t>
  </si>
  <si>
    <t>Condensed milk</t>
  </si>
  <si>
    <t>Pomegranate Cosmo!</t>
  </si>
  <si>
    <t>For the garnish: Orange twist or lemon twist</t>
  </si>
  <si>
    <t>Orange twist|lemon twist</t>
  </si>
  <si>
    <t>For the garnish:|or</t>
  </si>
  <si>
    <t>Johnnie Walker Aged 18 Years Whisky Sour</t>
  </si>
  <si>
    <t>45ml Johnnie Walker Aged 18 Years</t>
  </si>
  <si>
    <t>Johnnie Walker Aged 18 Years</t>
  </si>
  <si>
    <t>Moscow Mule</t>
  </si>
  <si>
    <t>1 part Lime Juice</t>
  </si>
  <si>
    <t>Captains Grog</t>
  </si>
  <si>
    <t>0.75 part Light rum</t>
  </si>
  <si>
    <t>Light rum</t>
  </si>
  <si>
    <t>Eel Bars Marianito</t>
  </si>
  <si>
    <t>0.5 ounce Curacao, preferably Pierre Ferrand</t>
  </si>
  <si>
    <t>Curacao</t>
  </si>
  <si>
    <t>, preferably Pierre Ferrand</t>
  </si>
  <si>
    <t>Skittles Iced Tea</t>
  </si>
  <si>
    <t>Triple sec 1 oz</t>
  </si>
  <si>
    <t>Espress Yaself</t>
  </si>
  <si>
    <t>0.5 ounce mezcal</t>
  </si>
  <si>
    <t>mezcal</t>
  </si>
  <si>
    <t>El Nino</t>
  </si>
  <si>
    <t>Soda water 1 splash</t>
  </si>
  <si>
    <t>Classic Greyhound Cocktail</t>
  </si>
  <si>
    <t>1.5 ounces gin (or vodka for a Vodka Greyhound)</t>
  </si>
  <si>
    <t>gin|vodka</t>
  </si>
  <si>
    <t>(or|for a Vodka Greyhound)</t>
  </si>
  <si>
    <t>Mimosa Mocktail</t>
  </si>
  <si>
    <t>2 oz pineapple juice</t>
  </si>
  <si>
    <t>Century City Cocktail</t>
  </si>
  <si>
    <t>1 oz Cognac</t>
  </si>
  <si>
    <t>Jagermeister Bloody Mary</t>
  </si>
  <si>
    <t>0.5 cup fresh pineapple juice</t>
  </si>
  <si>
    <t>Red Rye Finish Manhattan</t>
  </si>
  <si>
    <t>25ml Sweet Vermouth</t>
  </si>
  <si>
    <t>Sweet Vermouth</t>
  </si>
  <si>
    <t>Kahlua Martini</t>
  </si>
  <si>
    <t>coffee</t>
  </si>
  <si>
    <t>Baileys Banana Colada</t>
  </si>
  <si>
    <t>0.5 Peeled Banana</t>
  </si>
  <si>
    <t>Banana</t>
  </si>
  <si>
    <t>Peeled</t>
  </si>
  <si>
    <t>Egg-Nog - Classic Cooked</t>
  </si>
  <si>
    <t>6 Egg</t>
  </si>
  <si>
    <t>Egg</t>
  </si>
  <si>
    <t>Orange Tic Tac</t>
  </si>
  <si>
    <t>6 oz Energy Soda</t>
  </si>
  <si>
    <t>Maple Nut Shot</t>
  </si>
  <si>
    <t>1 part of rum</t>
  </si>
  <si>
    <t>rum</t>
  </si>
  <si>
    <t>Mexican Martini</t>
  </si>
  <si>
    <t>Garnish: salt rim (optional)</t>
  </si>
  <si>
    <t>Garnish:|rim (optional)</t>
  </si>
  <si>
    <t>Blackberry Shrub Vodka Cocktail</t>
  </si>
  <si>
    <t>Top with ginger beer</t>
  </si>
  <si>
    <t>ginger beer</t>
  </si>
  <si>
    <t>Top with</t>
  </si>
  <si>
    <t>Pineapple Limonita</t>
  </si>
  <si>
    <t>1 cups tequila</t>
  </si>
  <si>
    <t>Ginger Bumble</t>
  </si>
  <si>
    <t>1 tsp Honey syrup</t>
  </si>
  <si>
    <t>Honey syrup</t>
  </si>
  <si>
    <t>Chocolate Caramel Cream Easter Cocktail</t>
  </si>
  <si>
    <t>1 oz Caramel Liqueur or</t>
  </si>
  <si>
    <t>Caramel Liqueur</t>
  </si>
  <si>
    <t>Spritz</t>
  </si>
  <si>
    <t>6 cl Prosecco</t>
  </si>
  <si>
    <t>Prosecco</t>
  </si>
  <si>
    <t>Tropical Freeze</t>
  </si>
  <si>
    <t>99 bananas 1 oz</t>
  </si>
  <si>
    <t>99 bananas</t>
  </si>
  <si>
    <t>La Guildive</t>
  </si>
  <si>
    <t>2 parts Aged rum or Demerara rum</t>
  </si>
  <si>
    <t>Aged rum|Demerara rum</t>
  </si>
  <si>
    <t xml:space="preserve">or </t>
  </si>
  <si>
    <t>White Christmas Cocktail Recipe</t>
  </si>
  <si>
    <t>1 ounce Southern Comfort</t>
  </si>
  <si>
    <t>Southern Comfort</t>
  </si>
  <si>
    <t>Clementine Old Fashioned</t>
  </si>
  <si>
    <t>3 fluid ounces bourbon</t>
  </si>
  <si>
    <t>bourbon</t>
  </si>
  <si>
    <t>Storm King</t>
  </si>
  <si>
    <t>0.25 part Sweet herbal liqueur</t>
  </si>
  <si>
    <t>Sweet herbal liqueur</t>
  </si>
  <si>
    <t>0.75 oz of Vodka</t>
  </si>
  <si>
    <t>Tenacious</t>
  </si>
  <si>
    <t>50ml Tanqueray No. Ten Gin</t>
  </si>
  <si>
    <t>Tanqueray No. Ten Gin</t>
  </si>
  <si>
    <t>Irish Maid</t>
  </si>
  <si>
    <t>0.75 ounce lemon juice, freshly squeezed</t>
  </si>
  <si>
    <t>Rum Special</t>
  </si>
  <si>
    <t>1 oz of Captain Morgan's spiced rum</t>
  </si>
  <si>
    <t>spiced rum</t>
  </si>
  <si>
    <t>Captain Morgan's</t>
  </si>
  <si>
    <t>Ciroc Encore</t>
  </si>
  <si>
    <t>Biscayne Cocktail</t>
  </si>
  <si>
    <t>1 oz Forbidden Fruit liqueur</t>
  </si>
  <si>
    <t>Forbidden Fruit liqueur</t>
  </si>
  <si>
    <t>Oranj-a-Bloom</t>
  </si>
  <si>
    <t>4 parts Wheat beer</t>
  </si>
  <si>
    <t>Wheat beer</t>
  </si>
  <si>
    <t>Goombay Smash</t>
  </si>
  <si>
    <t>Smooth Pineapple Daiquiri</t>
  </si>
  <si>
    <t>.5  1 Cup Ice</t>
  </si>
  <si>
    <t>Amaretto Sour Frappe</t>
  </si>
  <si>
    <t>1.5 ounces amaretto, preferably Lazzaroni</t>
  </si>
  <si>
    <t>,preferably Lazzaroni</t>
  </si>
  <si>
    <t>Vicuna from Limantour</t>
  </si>
  <si>
    <t>Alaskan Thunder</t>
  </si>
  <si>
    <t>.5 oz Bourbon Whiskey</t>
  </si>
  <si>
    <t>Bourbon Whiskey</t>
  </si>
  <si>
    <t>Marijuana Jungle Juice Bowl</t>
  </si>
  <si>
    <t>Everclear 3 oz</t>
  </si>
  <si>
    <t>Everclear</t>
  </si>
  <si>
    <t>The Colorado Bulldog</t>
  </si>
  <si>
    <t>Crushed ice, for serving</t>
  </si>
  <si>
    <t>Crushed</t>
  </si>
  <si>
    <t>,for serving</t>
  </si>
  <si>
    <t>Gordon's French 75</t>
  </si>
  <si>
    <t>50ml Gordon's Gin</t>
  </si>
  <si>
    <t>Gordon's</t>
  </si>
  <si>
    <t>Updated Sidecar</t>
  </si>
  <si>
    <t>0.75 oz of Cointreau</t>
  </si>
  <si>
    <t>0.5 ounce lime juice, freshly squeezed</t>
  </si>
  <si>
    <t>Banana Shadow</t>
  </si>
  <si>
    <t>0.25 ounce Giffard Banane du Bresil</t>
  </si>
  <si>
    <t>Banane du Bresil</t>
  </si>
  <si>
    <t>Giffard</t>
  </si>
  <si>
    <t>Finnish Long Drink</t>
  </si>
  <si>
    <t>2 fluid ounces white grapefruit juice</t>
  </si>
  <si>
    <t>white grapefruit juice</t>
  </si>
  <si>
    <t>Haku Martini</t>
  </si>
  <si>
    <t>0.25 part Dry Vermouth</t>
  </si>
  <si>
    <t>Lemon Drop Martini</t>
  </si>
  <si>
    <t>Gordon's Gin Bramble</t>
  </si>
  <si>
    <t>10ml Creme de Mure</t>
  </si>
  <si>
    <t>Creme de Mure</t>
  </si>
  <si>
    <t>Hot Buttered Rum</t>
  </si>
  <si>
    <t>Butter</t>
  </si>
  <si>
    <t>Cosmopolitan Cocktail</t>
  </si>
  <si>
    <t>0.25 fluid ounce triple sec</t>
  </si>
  <si>
    <t>triple sec</t>
  </si>
  <si>
    <t>Orange Soda Driver</t>
  </si>
  <si>
    <t>1 oz Orange Juice</t>
  </si>
  <si>
    <t>Tequila Champagne Sangria</t>
  </si>
  <si>
    <t>Mandrin Cherry Smash</t>
  </si>
  <si>
    <t>1.5 oz Mandarin Vodka</t>
  </si>
  <si>
    <t>Mandarin Vodka</t>
  </si>
  <si>
    <t>China Village Mai Tai</t>
  </si>
  <si>
    <t>Ice Cubes</t>
  </si>
  <si>
    <t>Melon Kamikaze</t>
  </si>
  <si>
    <t>0.25 ounce lemon juice , freshly squeezed</t>
  </si>
  <si>
    <t>Guava Mojito</t>
  </si>
  <si>
    <t>3 fluid ounces passion fruit-flavored rum</t>
  </si>
  <si>
    <t>passion fruit-flavored rum</t>
  </si>
  <si>
    <t>Toilet Water</t>
  </si>
  <si>
    <t>Lemon lime soda 2 l</t>
  </si>
  <si>
    <t>l</t>
  </si>
  <si>
    <t>Classic Whiskey Sour</t>
  </si>
  <si>
    <t>1 fluid ounce simple syrup</t>
  </si>
  <si>
    <t>Apple Dubonnet</t>
  </si>
  <si>
    <t>2 oz Apple Brandy</t>
  </si>
  <si>
    <t>Apple Brandy</t>
  </si>
  <si>
    <t>Gobble-Tini</t>
  </si>
  <si>
    <t>3 Cranberries (Garnish)</t>
  </si>
  <si>
    <t>Cranberries</t>
  </si>
  <si>
    <t>Vieux Mot</t>
  </si>
  <si>
    <t>0.5 part Simple syrup or Lemon syrup or Elderflower syrup or Oleo saccharum</t>
  </si>
  <si>
    <t>Simple syrup|Lemon syrup|Elderflower syrup|Oleo saccharum</t>
  </si>
  <si>
    <t>or|or|or</t>
  </si>
  <si>
    <t>Oi Boy</t>
  </si>
  <si>
    <t>3 slices Cucumber</t>
  </si>
  <si>
    <t>Cucumber</t>
  </si>
  <si>
    <t>Classic Bloody Mary</t>
  </si>
  <si>
    <t>ice cubes, as needed</t>
  </si>
  <si>
    <t>cubes</t>
  </si>
  <si>
    <t>, as needed</t>
  </si>
  <si>
    <t>Pedro Suckerpunch</t>
  </si>
  <si>
    <t>10.5 part Bourbon</t>
  </si>
  <si>
    <t>The Way of The G&amp;T</t>
  </si>
  <si>
    <t>1 to 2 drops saline solution or a pinch of salt</t>
  </si>
  <si>
    <t>1|2</t>
  </si>
  <si>
    <t>saline solution</t>
  </si>
  <si>
    <t>to|or a pinch of salt</t>
  </si>
  <si>
    <t>The Surfboard</t>
  </si>
  <si>
    <t>Blue raspberry sour punchies infused rum 2 oz</t>
  </si>
  <si>
    <t>Blue raspberry sour punchies infused rum</t>
  </si>
  <si>
    <t>Sparkling Apple Martini</t>
  </si>
  <si>
    <t>35ml Ciroc Vodka</t>
  </si>
  <si>
    <t>The A-List</t>
  </si>
  <si>
    <t xml:space="preserve">Lemon </t>
  </si>
  <si>
    <t>Nagel Nectar</t>
  </si>
  <si>
    <t>3 oz Butterscotch Schnapps</t>
  </si>
  <si>
    <t>Butterscotch Schnapps</t>
  </si>
  <si>
    <t>World's Greatest Martini</t>
  </si>
  <si>
    <t>0.5 fluid ounce dry vermouth</t>
  </si>
  <si>
    <t>Sparkling Golden Sangria</t>
  </si>
  <si>
    <t>0.25 cups granulated sugar</t>
  </si>
  <si>
    <t>granulated sugar</t>
  </si>
  <si>
    <t>Black Manhattan Recipe</t>
  </si>
  <si>
    <t>1 dash Angostura bitters</t>
  </si>
  <si>
    <t>Basil Gin and Tonic</t>
  </si>
  <si>
    <t>2 oz of Tonic water</t>
  </si>
  <si>
    <t>Pomegranate Margarita</t>
  </si>
  <si>
    <t>Kosher salt or Himalayan pink salt, for the rim (optional)</t>
  </si>
  <si>
    <t>Kosher salt|Himalayan pink salt</t>
  </si>
  <si>
    <t xml:space="preserve">, for the rim (optional) </t>
  </si>
  <si>
    <t>Bourbon Sidecar</t>
  </si>
  <si>
    <t>0.5 oz of Lemon Juice</t>
  </si>
  <si>
    <t>Purple People Eater</t>
  </si>
  <si>
    <t>Sweet &amp; sour mix 1 oz</t>
  </si>
  <si>
    <t>Sweet &amp; sour mix</t>
  </si>
  <si>
    <t>Kentucky Maid Cocktail</t>
  </si>
  <si>
    <t>Cucumber Slice</t>
  </si>
  <si>
    <t>Alicia Perrys Whiskey Sour</t>
  </si>
  <si>
    <t>0.75 ounce lemon juice</t>
  </si>
  <si>
    <t>Weekenders' Punch</t>
  </si>
  <si>
    <t>12 parts Riesling</t>
  </si>
  <si>
    <t>Riesling</t>
  </si>
  <si>
    <t>Screaming Multiple Orgasm On The Beach</t>
  </si>
  <si>
    <t>Pomegranate Prosecco Cocktail</t>
  </si>
  <si>
    <t>Crown and Ginger</t>
  </si>
  <si>
    <t>1 oz Canadian Whisky</t>
  </si>
  <si>
    <t>Canadian Whisky</t>
  </si>
  <si>
    <t>Old Cuban</t>
  </si>
  <si>
    <t>2 oz Prosecco</t>
  </si>
  <si>
    <t>Strawberry and Coffee Cream Soda</t>
  </si>
  <si>
    <t>Peach Margarita</t>
  </si>
  <si>
    <t>0.5 ounce triple sec</t>
  </si>
  <si>
    <t>Bull Breaker</t>
  </si>
  <si>
    <t>1 part Sipsmith London Dry Gin</t>
  </si>
  <si>
    <t>London Dry Gin</t>
  </si>
  <si>
    <t>Sipsmith</t>
  </si>
  <si>
    <t>Deep Blue</t>
  </si>
  <si>
    <t>10 ml Blue Curacao Liqueur</t>
  </si>
  <si>
    <t>White Cosmo Cocktail</t>
  </si>
  <si>
    <t>1 ounce white cranberry juice</t>
  </si>
  <si>
    <t>white cranberry juice</t>
  </si>
  <si>
    <t>Dash of Angostura bittes</t>
  </si>
  <si>
    <t>Angostura bittes</t>
  </si>
  <si>
    <t>Bali Dream</t>
  </si>
  <si>
    <t>10 ml Coconut Liqueur</t>
  </si>
  <si>
    <t>Coconut Liqueur</t>
  </si>
  <si>
    <t>Wild Raspberry Limeade</t>
  </si>
  <si>
    <t>50ml Lemon-Lime soda</t>
  </si>
  <si>
    <t>Lemon-Lime soda</t>
  </si>
  <si>
    <t>Nick Jarrett's Ramos Gin Fizz</t>
  </si>
  <si>
    <t>club soda, to top</t>
  </si>
  <si>
    <t>club soda</t>
  </si>
  <si>
    <t>Coconut Breeze</t>
  </si>
  <si>
    <t>1.5 oz Cherry Vodka</t>
  </si>
  <si>
    <t>Cherry Vodka</t>
  </si>
  <si>
    <t>Pink Cadillac</t>
  </si>
  <si>
    <t>5-6 cl of bitter lemon</t>
  </si>
  <si>
    <t>5|6</t>
  </si>
  <si>
    <t>bitter lemon</t>
  </si>
  <si>
    <t>-|of</t>
  </si>
  <si>
    <t>Pink Chihuahua</t>
  </si>
  <si>
    <t>12.5ml Lemon juice</t>
  </si>
  <si>
    <t>A Kissed Buttery Nipple</t>
  </si>
  <si>
    <t>2 oz Butterscotch Schnapps</t>
  </si>
  <si>
    <t>Lemon Drop Jello Shot Martini</t>
  </si>
  <si>
    <t xml:space="preserve"> water</t>
  </si>
  <si>
    <t>Chocolate &amp; Orange Martini</t>
  </si>
  <si>
    <t>1 oz Grand Garonne Orange Liqueur</t>
  </si>
  <si>
    <t>Grand Garonne</t>
  </si>
  <si>
    <t>Maker's Mark Eggnog</t>
  </si>
  <si>
    <t>1.5 cups Sugar</t>
  </si>
  <si>
    <t>Black Jack</t>
  </si>
  <si>
    <t>15 ml Jack Daniels</t>
  </si>
  <si>
    <t>Jack Daniels</t>
  </si>
  <si>
    <t>Great White Shark Attack</t>
  </si>
  <si>
    <t>3 oz White Rum</t>
  </si>
  <si>
    <t>Dapertini</t>
  </si>
  <si>
    <t>1 Lemon Twist (Garnish)</t>
  </si>
  <si>
    <t>Twist</t>
  </si>
  <si>
    <t>Johnnie Walker Red Rob Roy</t>
  </si>
  <si>
    <t>15ml Sweet vermouth</t>
  </si>
  <si>
    <t>Sweet vermouth</t>
  </si>
  <si>
    <t>0.5 part Grenadine</t>
  </si>
  <si>
    <t>Tanqueray Gin Blush</t>
  </si>
  <si>
    <t>Coffee Keokee</t>
  </si>
  <si>
    <t>0.75 oz Brandy</t>
  </si>
  <si>
    <t>Sex In The City</t>
  </si>
  <si>
    <t>Passion fruit liqueur 0.5 oz</t>
  </si>
  <si>
    <t>Passion fruit liqueur</t>
  </si>
  <si>
    <t>Milkshake Cocktail</t>
  </si>
  <si>
    <t>1 Egg Yolk</t>
  </si>
  <si>
    <t>Egg Yolk</t>
  </si>
  <si>
    <t>Cleveland Steamer</t>
  </si>
  <si>
    <t>1 Splash Margarita Mix</t>
  </si>
  <si>
    <t>Margarita Mix</t>
  </si>
  <si>
    <t>Cherry Hooker</t>
  </si>
  <si>
    <t>Cymbal</t>
  </si>
  <si>
    <t>2 oz of dry vermouth</t>
  </si>
  <si>
    <t>Merchants Wife</t>
  </si>
  <si>
    <t>0.75 part Simple syrup</t>
  </si>
  <si>
    <t>Georgia Julep</t>
  </si>
  <si>
    <t>12 Mint leaves</t>
  </si>
  <si>
    <t>Emerald Daiquiri</t>
  </si>
  <si>
    <t>Smirnoff Red Vodka Mojito</t>
  </si>
  <si>
    <t>Ozone 2</t>
  </si>
  <si>
    <t>0.75 oz Bourbon Whiskey</t>
  </si>
  <si>
    <t>Pup Paloma</t>
  </si>
  <si>
    <t>1 oz Cazul Silver Tequila</t>
  </si>
  <si>
    <t>Silver Tequila</t>
  </si>
  <si>
    <t>Cazul</t>
  </si>
  <si>
    <t>Cancun Cocktail</t>
  </si>
  <si>
    <t>.5 oz Coconut Rum</t>
  </si>
  <si>
    <t>Cold in the Shadows</t>
  </si>
  <si>
    <t>1 part Lime juice</t>
  </si>
  <si>
    <t>Nilla Wafer Infused Vodka</t>
  </si>
  <si>
    <t>0.33 oz Bols Creme de Cassis</t>
  </si>
  <si>
    <t>Bols Creme de Cassis</t>
  </si>
  <si>
    <t>Everyday Superhero: A Blackberry Smash</t>
  </si>
  <si>
    <t>0.75 oz simple syrup</t>
  </si>
  <si>
    <t>Warhead Sour Dippin Shots</t>
  </si>
  <si>
    <t>Crooked Sister</t>
  </si>
  <si>
    <t>1 oz White Creme De Cacao</t>
  </si>
  <si>
    <t>White Creme De Cacao</t>
  </si>
  <si>
    <t>Miracle Naughty and Nice Holiday Shots</t>
  </si>
  <si>
    <t>9 oz creme de cacao</t>
  </si>
  <si>
    <t>creme de cacao</t>
  </si>
  <si>
    <t>Tornado Cocktail</t>
  </si>
  <si>
    <t>1 ounce vodka</t>
  </si>
  <si>
    <t>The Nice List</t>
  </si>
  <si>
    <t>Garnish: dehydrated orange wheel</t>
  </si>
  <si>
    <t>dehydrated</t>
  </si>
  <si>
    <t>Raspberry Lime Margarita</t>
  </si>
  <si>
    <t>Rosy Martini</t>
  </si>
  <si>
    <t>.5 oz Orange Liqueur</t>
  </si>
  <si>
    <t>Daiquiri Natural</t>
  </si>
  <si>
    <t>0.75 oz of Lime Juice</t>
  </si>
  <si>
    <t>Salty Lemon Gin and Tonic</t>
  </si>
  <si>
    <t>0.25 preserved lemon</t>
  </si>
  <si>
    <t>preserved lemon</t>
  </si>
  <si>
    <t>Johnnie Summer</t>
  </si>
  <si>
    <t>1 Orange Slice</t>
  </si>
  <si>
    <t>Ring the Alarm</t>
  </si>
  <si>
    <t>1.5 ounces mezcal</t>
  </si>
  <si>
    <t>Hokie</t>
  </si>
  <si>
    <t>2 oz Sours</t>
  </si>
  <si>
    <t>Bloody Virgin Bull</t>
  </si>
  <si>
    <t>Tabasco sauce</t>
  </si>
  <si>
    <t>Caribbean Sunrise</t>
  </si>
  <si>
    <t>60 ml Orange Juice</t>
  </si>
  <si>
    <t>Cima Summer Special: A Spicy, Tropical Cocktail</t>
  </si>
  <si>
    <t>3 dashes fire tincture</t>
  </si>
  <si>
    <t>fire tincture</t>
  </si>
  <si>
    <t>Unicorn Shots</t>
  </si>
  <si>
    <t>Elevated Gin &amp; Tonic</t>
  </si>
  <si>
    <t>6 oz Tonic</t>
  </si>
  <si>
    <t>Tonic</t>
  </si>
  <si>
    <t>Plain Sailing</t>
  </si>
  <si>
    <t>0.5 ounce sloe gin</t>
  </si>
  <si>
    <t>sloe gin</t>
  </si>
  <si>
    <t>American Collins</t>
  </si>
  <si>
    <t>12.5 ml Lemon Juice</t>
  </si>
  <si>
    <t>Holy Water</t>
  </si>
  <si>
    <t>2 oz of Vodka</t>
  </si>
  <si>
    <t>Beet Beet Cooler</t>
  </si>
  <si>
    <t>1 cl Cherry Heering</t>
  </si>
  <si>
    <t>Cherry Heering</t>
  </si>
  <si>
    <t>Pepper Manhattan</t>
  </si>
  <si>
    <t>.5 oz Sweet Vermouth</t>
  </si>
  <si>
    <t>Planter's Punch</t>
  </si>
  <si>
    <t>Gimlet</t>
  </si>
  <si>
    <t>45ml Tanqueray No.TEN</t>
  </si>
  <si>
    <t>Tanqueray No.TEN</t>
  </si>
  <si>
    <t>Absolut Melon Mojito</t>
  </si>
  <si>
    <t>Watermelon rum 1 oz</t>
  </si>
  <si>
    <t>Watermelon rum</t>
  </si>
  <si>
    <t>Mexican Coffee</t>
  </si>
  <si>
    <t>Sweetened whipped cream , whipped to soft peaks (or vegan whipped cream for dairy-free)</t>
  </si>
  <si>
    <t>Sweetened whipped cream|vegan whipped cream)</t>
  </si>
  <si>
    <t>, whipped to soft peaks (or|for dairy-free)</t>
  </si>
  <si>
    <t>New Crush</t>
  </si>
  <si>
    <t>1.5 ounces blanco vermouth, preferably Lustau Vermut Blanco</t>
  </si>
  <si>
    <t>blanco vermouth</t>
  </si>
  <si>
    <t>, preferably Lustau Vermut Blanco</t>
  </si>
  <si>
    <t>Blanco Fizz</t>
  </si>
  <si>
    <t>25ml Fresh lime juice</t>
  </si>
  <si>
    <t>Shes No Gentleman</t>
  </si>
  <si>
    <t>1.5 ounces Black Bottle blended scotch</t>
  </si>
  <si>
    <t>blended scotch</t>
  </si>
  <si>
    <t>Black Bottle</t>
  </si>
  <si>
    <t>2 cl golden rum</t>
  </si>
  <si>
    <t>Blue Hotty</t>
  </si>
  <si>
    <t>0.2 Part White Rum</t>
  </si>
  <si>
    <t>Part</t>
  </si>
  <si>
    <t>Bar Gotos Whisky Highball</t>
  </si>
  <si>
    <t>1.25 ounces Japanese whisky, preferably Toki, chilled in the freezer</t>
  </si>
  <si>
    <t>Japanese whisky</t>
  </si>
  <si>
    <t>, preferably Toki,|in the freezer</t>
  </si>
  <si>
    <t>Pornstar Martini</t>
  </si>
  <si>
    <t>Fresh Passion Fruit</t>
  </si>
  <si>
    <t>Micheladas with Tajin</t>
  </si>
  <si>
    <t>0.25 teaspoon cayenne pepper</t>
  </si>
  <si>
    <t>cayenne pepper</t>
  </si>
  <si>
    <t>Jamaica Kiss</t>
  </si>
  <si>
    <t>cubes Ice</t>
  </si>
  <si>
    <t>Tart Gin &amp; Tonic</t>
  </si>
  <si>
    <t>1.5 ounces Suntory Roku Gin</t>
  </si>
  <si>
    <t>Roku Gin</t>
  </si>
  <si>
    <t>Suntory</t>
  </si>
  <si>
    <t>The Grand Manhattan Cocktail</t>
  </si>
  <si>
    <t>1.5 ounces bourbon whiskey</t>
  </si>
  <si>
    <t>White Russian</t>
  </si>
  <si>
    <t>9 cl ice cold organic whole milk - I had let a few Coco Pops steep in it for about 10 minutes</t>
  </si>
  <si>
    <t>organic whole milk</t>
  </si>
  <si>
    <t>ice cold</t>
  </si>
  <si>
    <t xml:space="preserve"> - I had let a few Coco Pops steep in it for about 10 minutes</t>
  </si>
  <si>
    <t>Mint Hot Chocolate</t>
  </si>
  <si>
    <t>1 Candy Cane (Garnish)</t>
  </si>
  <si>
    <t>Candy Cane</t>
  </si>
  <si>
    <t>1 can frozen limeade concentrate</t>
  </si>
  <si>
    <t>limeade concentrate</t>
  </si>
  <si>
    <t>frozen</t>
  </si>
  <si>
    <t>Pink Panties</t>
  </si>
  <si>
    <t>1 Cup Water</t>
  </si>
  <si>
    <t>Water</t>
  </si>
  <si>
    <t>Early Fall Lowball</t>
  </si>
  <si>
    <t>2 parts Strong chilled Chai</t>
  </si>
  <si>
    <t>Strong chilled Chai</t>
  </si>
  <si>
    <t>0.25 oz simple syrup</t>
  </si>
  <si>
    <t>Spiked Italian Soda</t>
  </si>
  <si>
    <t>Syrup of choice 1.5 oz</t>
  </si>
  <si>
    <t>Syrup of choice</t>
  </si>
  <si>
    <t>Classic Painkiller Cocktail</t>
  </si>
  <si>
    <t>4 ounces pineapple juice</t>
  </si>
  <si>
    <t>Averna Limonata</t>
  </si>
  <si>
    <t>2 ounces Averna</t>
  </si>
  <si>
    <t>Averna</t>
  </si>
  <si>
    <t>Rum Old-fashioned</t>
  </si>
  <si>
    <t>1 tsp Water</t>
  </si>
  <si>
    <t>Passionate Affair</t>
  </si>
  <si>
    <t>1 oz Strawberry Schnapps</t>
  </si>
  <si>
    <t>Strawberry Schnapps</t>
  </si>
  <si>
    <t>Farmers Cocktail</t>
  </si>
  <si>
    <t>2 ounces Veev spirit</t>
  </si>
  <si>
    <t>Veev spirit</t>
  </si>
  <si>
    <t>Berry Vodka Smash</t>
  </si>
  <si>
    <t>1.5 ounces vodka</t>
  </si>
  <si>
    <t>Roadrunner Punch</t>
  </si>
  <si>
    <t>Fruit Punch</t>
  </si>
  <si>
    <t>Artillery Punch</t>
  </si>
  <si>
    <t>1 pint Jamaican Rum</t>
  </si>
  <si>
    <t>pint</t>
  </si>
  <si>
    <t>Jamaican Rum</t>
  </si>
  <si>
    <t>Singapore Sling</t>
  </si>
  <si>
    <t>0.25 oz of benedictine</t>
  </si>
  <si>
    <t>benedictine</t>
  </si>
  <si>
    <t>Toni The Negroni</t>
  </si>
  <si>
    <t>10ml Clarified Pomelo</t>
  </si>
  <si>
    <t>Clarified Pomelo</t>
  </si>
  <si>
    <t>Chocolate Pumpkin</t>
  </si>
  <si>
    <t>1 oz Bols Pumpkin Spice</t>
  </si>
  <si>
    <t>Bols Pumpkin Spice</t>
  </si>
  <si>
    <t>Strawberry French 75</t>
  </si>
  <si>
    <t>Brut Champagne, to top</t>
  </si>
  <si>
    <t>Brut Champagne</t>
  </si>
  <si>
    <t>Toro</t>
  </si>
  <si>
    <t>1 Part Vodka</t>
  </si>
  <si>
    <t>High Octane Green Summer</t>
  </si>
  <si>
    <t>Peppermint Tonic</t>
  </si>
  <si>
    <t>1.5 oz Bols Peppermint Green</t>
  </si>
  <si>
    <t>Bols Peppermint Green</t>
  </si>
  <si>
    <t>Born on the 4th of July Cocktail</t>
  </si>
  <si>
    <t>1.5 oz Blue Curacao Liqueur</t>
  </si>
  <si>
    <t>Cloud Walker</t>
  </si>
  <si>
    <t>0.75 oz Scotch Whiskey</t>
  </si>
  <si>
    <t>Scotch Whiskey</t>
  </si>
  <si>
    <t>Octopus`s Garden</t>
  </si>
  <si>
    <t>1 Shot Dry Vermouth</t>
  </si>
  <si>
    <t>Fresh Raspberry Mojito</t>
  </si>
  <si>
    <t>Watermelon Margaritas</t>
  </si>
  <si>
    <t>1 tablespoon vodka</t>
  </si>
  <si>
    <t>Vermouth Cocktail: Hello Stranger</t>
  </si>
  <si>
    <t>14 oz passion fruit syrup</t>
  </si>
  <si>
    <t>passion fruit syrup</t>
  </si>
  <si>
    <t>Almond Driver</t>
  </si>
  <si>
    <t>100ml Orange Juice</t>
  </si>
  <si>
    <t>Cookie Dough Shot</t>
  </si>
  <si>
    <t>Dark chocolate liqueur 1 part</t>
  </si>
  <si>
    <t>Dark chocolate liqueur</t>
  </si>
  <si>
    <t>Pennington Daiquiri</t>
  </si>
  <si>
    <t>0.75 oz brandy</t>
  </si>
  <si>
    <t>brandy</t>
  </si>
  <si>
    <t>Irish Cream BTB</t>
  </si>
  <si>
    <t>1 Cup Whiskey</t>
  </si>
  <si>
    <t>Strawberry Cosmopolitan</t>
  </si>
  <si>
    <t>Banker</t>
  </si>
  <si>
    <t>6 cl applejack- I used Laird's</t>
  </si>
  <si>
    <t>applejack</t>
  </si>
  <si>
    <t>- I used Laird's</t>
  </si>
  <si>
    <t>Johnnie Walker Paddock Press</t>
  </si>
  <si>
    <t>2 Peach Slices</t>
  </si>
  <si>
    <t>Old Fashioned</t>
  </si>
  <si>
    <t>3 dashes bitters</t>
  </si>
  <si>
    <t>bitters</t>
  </si>
  <si>
    <t>Don Quixote</t>
  </si>
  <si>
    <t>0.5 ounce Appleton Estate 12 Year rum</t>
  </si>
  <si>
    <t>Appleton Estate 12 Year rum</t>
  </si>
  <si>
    <t>Strawberry Daiquiri</t>
  </si>
  <si>
    <t>0.5 oz of Lime Juice</t>
  </si>
  <si>
    <t>Mama-rita</t>
  </si>
  <si>
    <t>1 Tsp Agave or honey</t>
  </si>
  <si>
    <t>Agave|honey</t>
  </si>
  <si>
    <t>Bobby Burns</t>
  </si>
  <si>
    <t>12.5ml Benedictine</t>
  </si>
  <si>
    <t>Pearl Collins</t>
  </si>
  <si>
    <t>1 part Gin or Aged gin or Botanical gin</t>
  </si>
  <si>
    <t>Gin|Aged gin|Botanical gin</t>
  </si>
  <si>
    <t>Peach Beer Julep</t>
  </si>
  <si>
    <t>2 peach slices (or other stone fruit)</t>
  </si>
  <si>
    <t>peach</t>
  </si>
  <si>
    <t>(or other stone fruit)</t>
  </si>
  <si>
    <t>Mai Tai (Classic Recipe)</t>
  </si>
  <si>
    <t>0.5 ounce dark rum, to float (optional)</t>
  </si>
  <si>
    <t>dark rum</t>
  </si>
  <si>
    <t>,  to float () optional</t>
  </si>
  <si>
    <t>Burning Demon Piss</t>
  </si>
  <si>
    <t>OREGANO PUNCH</t>
  </si>
  <si>
    <t>300ml Mezcal Union</t>
  </si>
  <si>
    <t>Mezcal Union</t>
  </si>
  <si>
    <t>Applepuckertini</t>
  </si>
  <si>
    <t>2 oz Sour Apple Schnapps</t>
  </si>
  <si>
    <t>Sour Apple Schnapps</t>
  </si>
  <si>
    <t>Apple Pie Shot</t>
  </si>
  <si>
    <t>Tequila Swizzle: Salt and Flattery</t>
  </si>
  <si>
    <t>1 oz blanc vermouth</t>
  </si>
  <si>
    <t>blanc vermouth</t>
  </si>
  <si>
    <t>Pumpkin Sazerac</t>
  </si>
  <si>
    <t>2 ounces cognac (or rye whiskey)</t>
  </si>
  <si>
    <t>cognac|rye whiskey</t>
  </si>
  <si>
    <t>(or|)</t>
  </si>
  <si>
    <t>Captain Jungle Bird</t>
  </si>
  <si>
    <t>20ml Campari</t>
  </si>
  <si>
    <t>Absinthe Frappe</t>
  </si>
  <si>
    <t>Brandy Vermouth Cocktail</t>
  </si>
  <si>
    <t>Fairytale Rose</t>
  </si>
  <si>
    <t>Rose garnish undefined</t>
  </si>
  <si>
    <t>garnish undefined</t>
  </si>
  <si>
    <t>Ritz Cocktail</t>
  </si>
  <si>
    <t>0.25 oz fresh lemon juice</t>
  </si>
  <si>
    <t>The Crypt</t>
  </si>
  <si>
    <t>How to Make Easy Maraschino Cherries</t>
  </si>
  <si>
    <t>1 pound fresh cherries, pitted</t>
  </si>
  <si>
    <t>pound</t>
  </si>
  <si>
    <t>cherries</t>
  </si>
  <si>
    <t>pitted</t>
  </si>
  <si>
    <t>Gin &amp; It</t>
  </si>
  <si>
    <t>Pussy Popper</t>
  </si>
  <si>
    <t>2 oz of Cranberry Juice</t>
  </si>
  <si>
    <t>Cranberry Mimosa</t>
  </si>
  <si>
    <t>1.5 ounces unsweetened cranberry juice, chilled if possible</t>
  </si>
  <si>
    <t>unsweetened cranberry</t>
  </si>
  <si>
    <t>,|if possible</t>
  </si>
  <si>
    <t>Classic Old-Fashioned</t>
  </si>
  <si>
    <t>1 Sugar</t>
  </si>
  <si>
    <t>Rockwell Places Jungle Bird</t>
  </si>
  <si>
    <t>2 ounces pineapple juice</t>
  </si>
  <si>
    <t>Night Watch</t>
  </si>
  <si>
    <t>1 dash Aromatic bitters</t>
  </si>
  <si>
    <t>Irish Affogato</t>
  </si>
  <si>
    <t>0.5 ounce Baileys Irish cream</t>
  </si>
  <si>
    <t>Baileys Irish cream</t>
  </si>
  <si>
    <t>Cupid's Mule</t>
  </si>
  <si>
    <t>1 parts Elderflower Liqueur</t>
  </si>
  <si>
    <t>Othos Faux-Paranormal Fizz</t>
  </si>
  <si>
    <t>Lavender for garnish</t>
  </si>
  <si>
    <t>Lavender</t>
  </si>
  <si>
    <t>for garnish</t>
  </si>
  <si>
    <t>Ozone</t>
  </si>
  <si>
    <t>1 Splash Bitter Beer</t>
  </si>
  <si>
    <t>Bitter Beer</t>
  </si>
  <si>
    <t>Liquid Panty Dropper</t>
  </si>
  <si>
    <t>The Flaming German</t>
  </si>
  <si>
    <t>Jagermeister 0.5 oz</t>
  </si>
  <si>
    <t>Casino</t>
  </si>
  <si>
    <t>1 Cherry</t>
  </si>
  <si>
    <t>Cherry</t>
  </si>
  <si>
    <t>Pomegranate KY</t>
  </si>
  <si>
    <t>50ml Pomegranate juice</t>
  </si>
  <si>
    <t>Pomegranate juice</t>
  </si>
  <si>
    <t>French Quarter Smash</t>
  </si>
  <si>
    <t>3 lemon wedges</t>
  </si>
  <si>
    <t>wedges</t>
  </si>
  <si>
    <t>lemon</t>
  </si>
  <si>
    <t>Australian Caipirinha</t>
  </si>
  <si>
    <t>Frozen Mint Julep Margarita</t>
  </si>
  <si>
    <t>2 fluid ounces tequila</t>
  </si>
  <si>
    <t>Silver Ghost</t>
  </si>
  <si>
    <t>Lime Wheel</t>
  </si>
  <si>
    <t>Wheel</t>
  </si>
  <si>
    <t>King's Elixir</t>
  </si>
  <si>
    <t>5ml shot Agave nectar blended with brewed matcha tea (2:1)</t>
  </si>
  <si>
    <t>Agave nectar</t>
  </si>
  <si>
    <t>brewed</t>
  </si>
  <si>
    <t>shot|blended with matcha tea (2:1)</t>
  </si>
  <si>
    <t>ViceVersas MiTo</t>
  </si>
  <si>
    <t>400 milliliters Thai bananainfused Campari</t>
  </si>
  <si>
    <t>milliliters</t>
  </si>
  <si>
    <t>Thai bananainfused Campari</t>
  </si>
  <si>
    <t>Four Horsemen Shot</t>
  </si>
  <si>
    <t>.25 oz Bourbon Whiskey</t>
  </si>
  <si>
    <t>Bloody Punch</t>
  </si>
  <si>
    <t>1 cup Blueberries</t>
  </si>
  <si>
    <t>Godiva Cream</t>
  </si>
  <si>
    <t>2 Drop Vanilla Extract</t>
  </si>
  <si>
    <t>Drop</t>
  </si>
  <si>
    <t>Vanilla Extract</t>
  </si>
  <si>
    <t>Atomic Lokade</t>
  </si>
  <si>
    <t>0.5 oz Triple sec</t>
  </si>
  <si>
    <t>Emerald Isle</t>
  </si>
  <si>
    <t>2 dashes Bitters</t>
  </si>
  <si>
    <t>Candy Bar</t>
  </si>
  <si>
    <t>.5 oz Hazelnut Liqueur</t>
  </si>
  <si>
    <t>Hazelnut Liqueur</t>
  </si>
  <si>
    <t>Jack Daniel's Very Merry Eggnog</t>
  </si>
  <si>
    <t>1 cup brandy</t>
  </si>
  <si>
    <t>Homemade Bloody Mary Mix</t>
  </si>
  <si>
    <t>3 tablespoons pickled jalapeno pepper juice</t>
  </si>
  <si>
    <t>pickled jalapeno pepper juice</t>
  </si>
  <si>
    <t>Brain Blender</t>
  </si>
  <si>
    <t>.5 oz Lime Juice</t>
  </si>
  <si>
    <t>Apple Martini 3</t>
  </si>
  <si>
    <t>1 oz Apple Vodka</t>
  </si>
  <si>
    <t>Apple Vodka</t>
  </si>
  <si>
    <t>Piper's Kilt</t>
  </si>
  <si>
    <t>0.5 ounce pink peppercorn honey (see Editor's Note)</t>
  </si>
  <si>
    <t>pink peppercorn honey</t>
  </si>
  <si>
    <t>(see Editor's Note)</t>
  </si>
  <si>
    <t>Grinch Punch</t>
  </si>
  <si>
    <t>1 can Pineapple Juice 12 oz</t>
  </si>
  <si>
    <t>1 can</t>
  </si>
  <si>
    <t>Cosmotequila</t>
  </si>
  <si>
    <t>2 oz Gold Tequila</t>
  </si>
  <si>
    <t>Gold Tequila</t>
  </si>
  <si>
    <t>Star Splitter</t>
  </si>
  <si>
    <t>0.5 part Agave nectar</t>
  </si>
  <si>
    <t>Kir Royale</t>
  </si>
  <si>
    <t>20 ml Creme de Cassis</t>
  </si>
  <si>
    <t>Creme de Cassis</t>
  </si>
  <si>
    <t>Rusty Ringo</t>
  </si>
  <si>
    <t>1.75 ounces calvados, preferably Boulard VSOP</t>
  </si>
  <si>
    <t>calvados</t>
  </si>
  <si>
    <t>, preferably Boulard VSOP</t>
  </si>
  <si>
    <t>Cuba Libre</t>
  </si>
  <si>
    <t>2 Dashes of Angostura Bitters</t>
  </si>
  <si>
    <t>ABC Pousse Cafe</t>
  </si>
  <si>
    <t>.5 oz Irish Cream</t>
  </si>
  <si>
    <t>Banana Daiquiri</t>
  </si>
  <si>
    <t>0.25 ounce demerara syrup</t>
  </si>
  <si>
    <t>demerara syrup</t>
  </si>
  <si>
    <t>Apple Sangria (Spanish Style)</t>
  </si>
  <si>
    <t>3 cinnamon sticks</t>
  </si>
  <si>
    <t>cinnamon sticks</t>
  </si>
  <si>
    <t>Lambrusco Spritz</t>
  </si>
  <si>
    <t>4 dashes fernet</t>
  </si>
  <si>
    <t>fernet</t>
  </si>
  <si>
    <t>Watermelon Margarita</t>
  </si>
  <si>
    <t>0.75 cup white tequila</t>
  </si>
  <si>
    <t>white tequila</t>
  </si>
  <si>
    <t>California Lemonade</t>
  </si>
  <si>
    <t>70ml Orange juice</t>
  </si>
  <si>
    <t>Ajax Punch</t>
  </si>
  <si>
    <t>10.5 parts Light rum</t>
  </si>
  <si>
    <t>Tropical Punch: That Party Last Night</t>
  </si>
  <si>
    <t>DIY Viniq</t>
  </si>
  <si>
    <t>1 part Raspberry Vodka</t>
  </si>
  <si>
    <t>Raspberry Vodka</t>
  </si>
  <si>
    <t>Brown Elephant</t>
  </si>
  <si>
    <t>2 oz Milk</t>
  </si>
  <si>
    <t>1 oz fresh lime juice</t>
  </si>
  <si>
    <t>Lime In Ti' Coconut</t>
  </si>
  <si>
    <t>0.5 ounce blanc vermouth, preferably Dolin</t>
  </si>
  <si>
    <t>, preferably Dolin</t>
  </si>
  <si>
    <t>Spiced Christmas Punch</t>
  </si>
  <si>
    <t>24 parts Club Soda</t>
  </si>
  <si>
    <t>Homemade Creme de Menthe Recipe</t>
  </si>
  <si>
    <t>1 cup granulated sugar</t>
  </si>
  <si>
    <t>sugar</t>
  </si>
  <si>
    <t>granulated</t>
  </si>
  <si>
    <t>Tequila Collins</t>
  </si>
  <si>
    <t>3 to 5 ounces club soda, to taste</t>
  </si>
  <si>
    <t>3|5</t>
  </si>
  <si>
    <t>to|, to taste</t>
  </si>
  <si>
    <t>Bijou</t>
  </si>
  <si>
    <t>1 oz sweet Vermouth</t>
  </si>
  <si>
    <t>sweet Vermouth</t>
  </si>
  <si>
    <t>Melon Cup</t>
  </si>
  <si>
    <t>1 Lemon Wheel (Garnish)</t>
  </si>
  <si>
    <t>12 oz good-quality white rum, like Rhum J.M.</t>
  </si>
  <si>
    <t>good-quality|like Rhum J.M.</t>
  </si>
  <si>
    <t>1.5 ounces  Cognac (or other brandy)</t>
  </si>
  <si>
    <t xml:space="preserve"> Cognac</t>
  </si>
  <si>
    <t>(or other brandy)</t>
  </si>
  <si>
    <t>Reeses Peanut Butter Cup Spiked Milkshake</t>
  </si>
  <si>
    <t>Chocolate vodka 1.5 oz</t>
  </si>
  <si>
    <t>Chocolate vodka</t>
  </si>
  <si>
    <t>Hurricane</t>
  </si>
  <si>
    <t>1 part Light rum or Aged rum or Spiced rum</t>
  </si>
  <si>
    <t>Light rum|Aged rum|Spiced rum</t>
  </si>
  <si>
    <t>Lava Flow</t>
  </si>
  <si>
    <t>2 fluid ounces cream of coconut</t>
  </si>
  <si>
    <t>Violet Gin Fizz</t>
  </si>
  <si>
    <t>0.5 fluid ounce creme de violette</t>
  </si>
  <si>
    <t>creme de violette</t>
  </si>
  <si>
    <t>Stone Fence</t>
  </si>
  <si>
    <t>Classic Mojito</t>
  </si>
  <si>
    <t>1 lime, cut into wedges, plus additional for garnish</t>
  </si>
  <si>
    <t>, cut into|plus additional for garnish</t>
  </si>
  <si>
    <t>White Lady</t>
  </si>
  <si>
    <t>12.5ml Triple Sec</t>
  </si>
  <si>
    <t>Frozen Strawberry Margarita</t>
  </si>
  <si>
    <t>6 cups ice</t>
  </si>
  <si>
    <t>Chocolate Chip Cookie Martini</t>
  </si>
  <si>
    <t>Dark rum 1 oz</t>
  </si>
  <si>
    <t>Dark rum</t>
  </si>
  <si>
    <t>Homemade Eggnog Recipe</t>
  </si>
  <si>
    <t>1 cup bourbon whiskey</t>
  </si>
  <si>
    <t>Cinco De Mayo Margarita Fishbowl</t>
  </si>
  <si>
    <t>Cocktail artist margarita mix 1.5 bottles</t>
  </si>
  <si>
    <t>margarita mix</t>
  </si>
  <si>
    <t>Cocktail artist</t>
  </si>
  <si>
    <t>Johnnie Walker Black Old Fashioned</t>
  </si>
  <si>
    <t>1 Sugar Cube</t>
  </si>
  <si>
    <t>Sugar Cube</t>
  </si>
  <si>
    <t>Maple Leaf</t>
  </si>
  <si>
    <t>2 dashes Apple Bitters</t>
  </si>
  <si>
    <t>Apple Bitters</t>
  </si>
  <si>
    <t>The Newark Cocktail</t>
  </si>
  <si>
    <t>0.25 oz Fernet Branca</t>
  </si>
  <si>
    <t>Fernet Branca</t>
  </si>
  <si>
    <t>Bourbon and Peach Smash</t>
  </si>
  <si>
    <t>Ginger ale</t>
  </si>
  <si>
    <t>Haig Club Spritz</t>
  </si>
  <si>
    <t>100ml Soda</t>
  </si>
  <si>
    <t>Soda</t>
  </si>
  <si>
    <t>Canecutter</t>
  </si>
  <si>
    <t>fill with Cola</t>
  </si>
  <si>
    <t>Cola</t>
  </si>
  <si>
    <t>Cranberry Blitz</t>
  </si>
  <si>
    <t>1 oz of Cranberry Juice</t>
  </si>
  <si>
    <t>Amaretto Sour</t>
  </si>
  <si>
    <t>1 oz fresh lemon juice</t>
  </si>
  <si>
    <t>Old Cuban Cocktail</t>
  </si>
  <si>
    <t>Death Bed</t>
  </si>
  <si>
    <t>0.75 part Cherry brandy</t>
  </si>
  <si>
    <t>Cherry brandy</t>
  </si>
  <si>
    <t>Grandpas Sun Tea Cocktail</t>
  </si>
  <si>
    <t>12 oz mezcal</t>
  </si>
  <si>
    <t>Classic Martini Recipe</t>
  </si>
  <si>
    <t>2 oz gin</t>
  </si>
  <si>
    <t>Chocolate Heart</t>
  </si>
  <si>
    <t>3 oz Cream</t>
  </si>
  <si>
    <t>White Negroni (A Modern Classic!)</t>
  </si>
  <si>
    <t>Ice, for serving (try clear ice !)</t>
  </si>
  <si>
    <t>, for serving (try clear ice !)</t>
  </si>
  <si>
    <t>Mrs. Claus' Wildside Punch</t>
  </si>
  <si>
    <t>Lime twists, for garnish</t>
  </si>
  <si>
    <t>twists</t>
  </si>
  <si>
    <t>Champs Elysees Cocktail</t>
  </si>
  <si>
    <t>.5 oz Herbal Liqueur</t>
  </si>
  <si>
    <t>Tanqueray Flor de Sevilla Negroni</t>
  </si>
  <si>
    <t>Mimosa</t>
  </si>
  <si>
    <t>75 ml Champagne</t>
  </si>
  <si>
    <t>Ponche de Mezcal Para El Ano Nuevo</t>
  </si>
  <si>
    <t>Whole nutmeg, for garnish</t>
  </si>
  <si>
    <t>nutmeg</t>
  </si>
  <si>
    <t>Whole</t>
  </si>
  <si>
    <t>Chunky Monkey</t>
  </si>
  <si>
    <t>3 oz Coffee Liqueur</t>
  </si>
  <si>
    <t>Ciroc Sparkling Lemonade</t>
  </si>
  <si>
    <t>75ml Champagne</t>
  </si>
  <si>
    <t>Burnt Lemon Martini</t>
  </si>
  <si>
    <t>Irish Eyes</t>
  </si>
  <si>
    <t>Maraschino cherry, to garnish</t>
  </si>
  <si>
    <t>, to garnish</t>
  </si>
  <si>
    <t>Mint Julep</t>
  </si>
  <si>
    <t>2 cups white sugar</t>
  </si>
  <si>
    <t>white sugar</t>
  </si>
  <si>
    <t>Presidio Old Fashioned</t>
  </si>
  <si>
    <t>1 oz sotol</t>
  </si>
  <si>
    <t>sotol</t>
  </si>
  <si>
    <t>Temasek Tides</t>
  </si>
  <si>
    <t>40ml Gordon's Gin</t>
  </si>
  <si>
    <t>Espresso Mexicano</t>
  </si>
  <si>
    <t>0.5 part Amaro</t>
  </si>
  <si>
    <t>Peroni Negroni</t>
  </si>
  <si>
    <t>6 oz Peroni lager</t>
  </si>
  <si>
    <t>Peroni lager</t>
  </si>
  <si>
    <t>Eggnog Recipe</t>
  </si>
  <si>
    <t>6 tsp. pure vanilla extract</t>
  </si>
  <si>
    <t>tsp.</t>
  </si>
  <si>
    <t>pure vanilla extract</t>
  </si>
  <si>
    <t>Frozen Swamp Water</t>
  </si>
  <si>
    <t>Blue curacao 0.5 oz</t>
  </si>
  <si>
    <t>Apple Cider Margarita</t>
  </si>
  <si>
    <t>2 cups Apple Cider</t>
  </si>
  <si>
    <t>Apple Cider</t>
  </si>
  <si>
    <t>Tropical Oasis Cocktail</t>
  </si>
  <si>
    <t>Harvest Punch</t>
  </si>
  <si>
    <t>0.67 cups American Whiskey</t>
  </si>
  <si>
    <t>American Whiskey</t>
  </si>
  <si>
    <t>Jedi Mind Trick Cocktail</t>
  </si>
  <si>
    <t>1 splash Light Rum</t>
  </si>
  <si>
    <t>Light Rum</t>
  </si>
  <si>
    <t>Jalisco Express</t>
  </si>
  <si>
    <t>50ml Espresso</t>
  </si>
  <si>
    <t>Espresso</t>
  </si>
  <si>
    <t>Bee Jay</t>
  </si>
  <si>
    <t>0.5 shot of Irish cream</t>
  </si>
  <si>
    <t>shot</t>
  </si>
  <si>
    <t>Irish cream</t>
  </si>
  <si>
    <t>Everything Nice</t>
  </si>
  <si>
    <t>3 dashes Regans' orange bitters</t>
  </si>
  <si>
    <t>orange bitters</t>
  </si>
  <si>
    <t>Regans'</t>
  </si>
  <si>
    <t>Sour Cherry</t>
  </si>
  <si>
    <t>6 cl rye - I used Old Overholt</t>
  </si>
  <si>
    <t>rye</t>
  </si>
  <si>
    <t>Fino Martini</t>
  </si>
  <si>
    <t>1 Twist Lemon</t>
  </si>
  <si>
    <t>Strawberry Nights, A Vodka Cocktail</t>
  </si>
  <si>
    <t>1.5 oz vodka</t>
  </si>
  <si>
    <t>Ciroc Amaretto &amp; Cider</t>
  </si>
  <si>
    <t>Blue Green</t>
  </si>
  <si>
    <t>1 oz Lime Juice</t>
  </si>
  <si>
    <t>Chicago Fizz</t>
  </si>
  <si>
    <t>.5 Juice of Lemon</t>
  </si>
  <si>
    <t>Smash</t>
  </si>
  <si>
    <t>0.5 oz White Rum</t>
  </si>
  <si>
    <t>Vanilla Crush</t>
  </si>
  <si>
    <t>25ml Orange Juice</t>
  </si>
  <si>
    <t>Frozen Derby Mint Juleps</t>
  </si>
  <si>
    <t>2.5 fluid ounces lemon juice</t>
  </si>
  <si>
    <t>Tequila Time Lemonade</t>
  </si>
  <si>
    <t>2 lemon wedges</t>
  </si>
  <si>
    <t>Maxwell Cocktail</t>
  </si>
  <si>
    <t>0.5 oz Lemon Juice</t>
  </si>
  <si>
    <t>Pomegranate Cosmo</t>
  </si>
  <si>
    <t>35ml Smirnoff Lime</t>
  </si>
  <si>
    <t>Smirnoff Lime</t>
  </si>
  <si>
    <t>The Spaghetti Incident in the Jungle</t>
  </si>
  <si>
    <t>0.75 ounce Aperol</t>
  </si>
  <si>
    <t>Aperol</t>
  </si>
  <si>
    <t>Carrot Margarita: Pedro Rabbit</t>
  </si>
  <si>
    <t>Pumpkin Spiced Sangria</t>
  </si>
  <si>
    <t>3 parts Pinot Grigio</t>
  </si>
  <si>
    <t>Pinot Grigio</t>
  </si>
  <si>
    <t>Harrison Ginsbergs Martini</t>
  </si>
  <si>
    <t>0.5 ounce Noilly Prat extra-dry vermouth</t>
  </si>
  <si>
    <t>extra-dry vermouth</t>
  </si>
  <si>
    <t>Noilly Prat</t>
  </si>
  <si>
    <t>Salt &amp; Pepper Martini</t>
  </si>
  <si>
    <t>0.5 ounce manzanilla sherry</t>
  </si>
  <si>
    <t>A Splash of Mexico</t>
  </si>
  <si>
    <t>6 oz Larger Beer</t>
  </si>
  <si>
    <t>Larger Beer</t>
  </si>
  <si>
    <t>Mint Chocolate Martini</t>
  </si>
  <si>
    <t>Creme de cacao 0.5 oz</t>
  </si>
  <si>
    <t>Comrade Collins</t>
  </si>
  <si>
    <t>25 ml Lemon Juice</t>
  </si>
  <si>
    <t>Blue Bulldog Margarita</t>
  </si>
  <si>
    <t>Lime juice 4 oz</t>
  </si>
  <si>
    <t>Embassy</t>
  </si>
  <si>
    <t>Lime Wedge</t>
  </si>
  <si>
    <t>Kahawa Chungu</t>
  </si>
  <si>
    <t>10g Black pepper</t>
  </si>
  <si>
    <t>g</t>
  </si>
  <si>
    <t>Black pepper</t>
  </si>
  <si>
    <t>La Berceuse</t>
  </si>
  <si>
    <t>10.5 parts Blanco tequila or Aged tequila</t>
  </si>
  <si>
    <t>Blanco tequila|Aged tequila</t>
  </si>
  <si>
    <t>Bloody Mary Shots</t>
  </si>
  <si>
    <t>Worcestershire 1 dash</t>
  </si>
  <si>
    <t>Worcestershire</t>
  </si>
  <si>
    <t>Watermelon Coriander Spritz</t>
  </si>
  <si>
    <t>2 oz Gallant Watermelon Coriander Vodka</t>
  </si>
  <si>
    <t>Gallant Watermelon Coriander Vodka</t>
  </si>
  <si>
    <t>I Love Lamp</t>
  </si>
  <si>
    <t>0.75 part Lime juice</t>
  </si>
  <si>
    <t>Vodka Espresso</t>
  </si>
  <si>
    <t>Blue Fizz</t>
  </si>
  <si>
    <t>2 tsp Sugar</t>
  </si>
  <si>
    <t>Italian Amaretto Margaritas On the Rocks</t>
  </si>
  <si>
    <t>5 fluid ounces tequila</t>
  </si>
  <si>
    <t>Juicy Fruit Punch with Champagne</t>
  </si>
  <si>
    <t>2 tablespoons pineapple juice</t>
  </si>
  <si>
    <t>Banana Cream Pie</t>
  </si>
  <si>
    <t>Whipped cream vodka 1 oz</t>
  </si>
  <si>
    <t>Whipped cream vodka</t>
  </si>
  <si>
    <t>Island Hookup</t>
  </si>
  <si>
    <t>Maraschino liqueur 0.25 tsp</t>
  </si>
  <si>
    <t>Maraschino liqueur</t>
  </si>
  <si>
    <t>Frozen Blue Raspberry</t>
  </si>
  <si>
    <t>Salty Dog Cocktail</t>
  </si>
  <si>
    <t>For the garnish: Grapefruit wedge</t>
  </si>
  <si>
    <t>Grapefruit</t>
  </si>
  <si>
    <t>Gargoyle &amp; Spire</t>
  </si>
  <si>
    <t>3 parts Sparkling white wine</t>
  </si>
  <si>
    <t>Sparkling white wine</t>
  </si>
  <si>
    <t>Singapore Sling Slush</t>
  </si>
  <si>
    <t>2 bottles lemon-lime flavored carbonated beverage</t>
  </si>
  <si>
    <t>lemon-lime flavored carbonated beverage</t>
  </si>
  <si>
    <t>Oranges, Etc.</t>
  </si>
  <si>
    <t>2 parts Orange soda</t>
  </si>
  <si>
    <t>Orange soda</t>
  </si>
  <si>
    <t>Licorice Whip</t>
  </si>
  <si>
    <t>4  5 oz Lemonade</t>
  </si>
  <si>
    <t>Pearl Diver</t>
  </si>
  <si>
    <t>.5 oz Melon Liqueur</t>
  </si>
  <si>
    <t>Bloody Maria Cocktail</t>
  </si>
  <si>
    <t>1 teaspoon horseradish</t>
  </si>
  <si>
    <t>horseradish</t>
  </si>
  <si>
    <t>Paper Plane</t>
  </si>
  <si>
    <t>1 parts Vigo Amaro or Amaro Nonino</t>
  </si>
  <si>
    <t>Vigo Amaro|Amaro Nonino</t>
  </si>
  <si>
    <t>Balmoral</t>
  </si>
  <si>
    <t>SQRRL Carajillo</t>
  </si>
  <si>
    <t>1 part Espresso</t>
  </si>
  <si>
    <t>Hibiscus Tea Cobbler</t>
  </si>
  <si>
    <t>1 wheel of lemon, sliced in two</t>
  </si>
  <si>
    <t>sliced in two</t>
  </si>
  <si>
    <t>Caramel Apple Mimosa</t>
  </si>
  <si>
    <t>0.25 cups apple cider</t>
  </si>
  <si>
    <t>apple cider</t>
  </si>
  <si>
    <t>Blackberry-Lime Mimosa</t>
  </si>
  <si>
    <t>2 tablespoons lime juice</t>
  </si>
  <si>
    <t>Papercut</t>
  </si>
  <si>
    <t>0.75 part Bitter orange aperitif</t>
  </si>
  <si>
    <t>Bitter orange aperitif</t>
  </si>
  <si>
    <t>The Sweet Taste of Victory</t>
  </si>
  <si>
    <t>0.75 part Raspberry liqueur or Blackberry liqueur</t>
  </si>
  <si>
    <t>Raspberry liqueur|Blackberry liqueur</t>
  </si>
  <si>
    <t>Classy Bitch</t>
  </si>
  <si>
    <t>The Fonzworth: A Whiskey Sour Recipe</t>
  </si>
  <si>
    <t>1.5 oz carrot fennel syrup</t>
  </si>
  <si>
    <t>carrot fennel syrup</t>
  </si>
  <si>
    <t>Serendipity</t>
  </si>
  <si>
    <t>20ml Honey &amp; camomile syrup</t>
  </si>
  <si>
    <t>Honey &amp; camomile syrup</t>
  </si>
  <si>
    <t>Addison</t>
  </si>
  <si>
    <t>1.5 shot Vermouth</t>
  </si>
  <si>
    <t>Vermouth</t>
  </si>
  <si>
    <t>Caipiroska Cocktail Recipe</t>
  </si>
  <si>
    <t>1 cup crushed ice, or more as needed</t>
  </si>
  <si>
    <t>, or more as needed</t>
  </si>
  <si>
    <t>Spruce Goose</t>
  </si>
  <si>
    <t>3 dashes Absinthe or Anise liqueur</t>
  </si>
  <si>
    <t>Absinthe|Anise liqueur</t>
  </si>
  <si>
    <t>Mini M&amp;M Shots</t>
  </si>
  <si>
    <t>Albino Grasshopper</t>
  </si>
  <si>
    <t>0.5 oz Bols Peppermint White</t>
  </si>
  <si>
    <t>Bols Peppermint White</t>
  </si>
  <si>
    <t>Apple Cider Slush</t>
  </si>
  <si>
    <t>Apple cider (frozen into cubes)</t>
  </si>
  <si>
    <t>Apple cider</t>
  </si>
  <si>
    <t>(|into|)</t>
  </si>
  <si>
    <t>Area 51 Shot</t>
  </si>
  <si>
    <t>Chit-Cha Toddy</t>
  </si>
  <si>
    <t>6 ounces lemon juice, freshly squeezed</t>
  </si>
  <si>
    <t>2 tablespoons tequila</t>
  </si>
  <si>
    <t>Grand Imperial Margarita</t>
  </si>
  <si>
    <t>1.5 oz Tequila</t>
  </si>
  <si>
    <t>Sparkling PB&amp;J Sidecars</t>
  </si>
  <si>
    <t>3 fluid ounces sparkling water</t>
  </si>
  <si>
    <t>sparkling water</t>
  </si>
  <si>
    <t>Caribbean Screwdriver</t>
  </si>
  <si>
    <t>Creme de banana 1 oz</t>
  </si>
  <si>
    <t>Creme de banana</t>
  </si>
  <si>
    <t>Fresh Banana Daiquiri</t>
  </si>
  <si>
    <t>1 cup ice cubes</t>
  </si>
  <si>
    <t>Mango Passion</t>
  </si>
  <si>
    <t>15ml Passionfruit Syrup</t>
  </si>
  <si>
    <t>Passionfruit Syrup</t>
  </si>
  <si>
    <t>Waterfront Cooler</t>
  </si>
  <si>
    <t>2 strawberries, halved</t>
  </si>
  <si>
    <t>strawberries</t>
  </si>
  <si>
    <t>halved</t>
  </si>
  <si>
    <t>Pebble Rebel</t>
  </si>
  <si>
    <t>1 ounce Fruity Pebble-infused vodka (see Editor's Note)</t>
  </si>
  <si>
    <t>Fruity Pebble-infused vodka</t>
  </si>
  <si>
    <t>Banana Monkey</t>
  </si>
  <si>
    <t>1 fluid ounce coffee-flavored liqueur</t>
  </si>
  <si>
    <t>Irish Coffee Jello Shots</t>
  </si>
  <si>
    <t>Irish whiskey 1 oz</t>
  </si>
  <si>
    <t>Irish whiskey</t>
  </si>
  <si>
    <t>The Arnold Palmer</t>
  </si>
  <si>
    <t>9 ounces (~ 1 cup ) unsweetened iced tea</t>
  </si>
  <si>
    <t>unsweetened iced tea</t>
  </si>
  <si>
    <t>(~ 1 cup )</t>
  </si>
  <si>
    <t>Whiskey 2 oz</t>
  </si>
  <si>
    <t>Malibu Bay Breeze</t>
  </si>
  <si>
    <t>1 lime wedge</t>
  </si>
  <si>
    <t>1 tsp Benedictine Herbal Liqueur</t>
  </si>
  <si>
    <t>Benedictine Herbal Liqueur</t>
  </si>
  <si>
    <t>Manhattan Transfer</t>
  </si>
  <si>
    <t>Garnish: orange twist</t>
  </si>
  <si>
    <t>twist</t>
  </si>
  <si>
    <t>Flying Blue Bird</t>
  </si>
  <si>
    <t>3 viola flowers garnish undefined</t>
  </si>
  <si>
    <t>viola flowers</t>
  </si>
  <si>
    <t>Blue Moon</t>
  </si>
  <si>
    <t>50ml Johnnie Walker Blue Label</t>
  </si>
  <si>
    <t>Johnnie Walker Blue Label</t>
  </si>
  <si>
    <t>Darryl Strawberry (at the Yankees)</t>
  </si>
  <si>
    <t>0.5 ounce rich Demerara syrup (2:1, Demerara sugar to water)</t>
  </si>
  <si>
    <t>rich Demerara syrup</t>
  </si>
  <si>
    <t xml:space="preserve"> (2:1, Demerara sugar to water) </t>
  </si>
  <si>
    <t>Cobra</t>
  </si>
  <si>
    <t>1 oz of Blue Curacao</t>
  </si>
  <si>
    <t>Blue Curacao</t>
  </si>
  <si>
    <t>Charles Deetzs New Home</t>
  </si>
  <si>
    <t>Orange Peel for garnish</t>
  </si>
  <si>
    <t>Orange Peel</t>
  </si>
  <si>
    <t>50 ml Anejo Rum</t>
  </si>
  <si>
    <t>Anejo Rum</t>
  </si>
  <si>
    <t>Black Magic Screwdriver</t>
  </si>
  <si>
    <t>Grenadine 1 splash</t>
  </si>
  <si>
    <t>Jungle Cat</t>
  </si>
  <si>
    <t>Creamy Coconut Margarita</t>
  </si>
  <si>
    <t>1 ounce cream of coconut note: not to be confused with coconut cream</t>
  </si>
  <si>
    <t>note: not to be confused with coconut cream</t>
  </si>
  <si>
    <t>Barnaby`s Buffalo Blizzard</t>
  </si>
  <si>
    <t>2 tbsp Ice Cream</t>
  </si>
  <si>
    <t>Ice Cream</t>
  </si>
  <si>
    <t>3 cl dill aquavit - I used D Argentum from Den Ny Spritfabrik - you could use vodka instead</t>
  </si>
  <si>
    <t>dill aquavit</t>
  </si>
  <si>
    <t>Butterscotch Den Old Fashioned</t>
  </si>
  <si>
    <t>0.25 oz medium-aged rum</t>
  </si>
  <si>
    <t>medium-aged rum</t>
  </si>
  <si>
    <t>Pineapple Paloma</t>
  </si>
  <si>
    <t>Johnnie Walker Gold Label Reserve Ginger Fizz</t>
  </si>
  <si>
    <t>Honey Cider</t>
  </si>
  <si>
    <t>100ml Apple juice</t>
  </si>
  <si>
    <t>Apple juice</t>
  </si>
  <si>
    <t>Rum Aid</t>
  </si>
  <si>
    <t>Pineapple Martini</t>
  </si>
  <si>
    <t>1 ounce triple sec</t>
  </si>
  <si>
    <t>Pop Rocks Jello Shots</t>
  </si>
  <si>
    <t>Blue jello 3 oz</t>
  </si>
  <si>
    <t>Blue jello</t>
  </si>
  <si>
    <t>Johnnie Walker Storm</t>
  </si>
  <si>
    <t>10ml Honey Syrup</t>
  </si>
  <si>
    <t>Honey Syrup</t>
  </si>
  <si>
    <t>Carioca</t>
  </si>
  <si>
    <t>10.5 parts Aged rum</t>
  </si>
  <si>
    <t>Aged rum</t>
  </si>
  <si>
    <t>Samson Swizzle</t>
  </si>
  <si>
    <t>0.33 ounce cinnamon syrup (see Editor's Note)</t>
  </si>
  <si>
    <t>cinnamon syrup</t>
  </si>
  <si>
    <t>Alternate Root</t>
  </si>
  <si>
    <t>Portonico: A Blended Green Cocktail</t>
  </si>
  <si>
    <t>1.5 oz white port</t>
  </si>
  <si>
    <t>white port</t>
  </si>
  <si>
    <t>Spanish Coffee</t>
  </si>
  <si>
    <t>0.5 ounce Triple Sec (or other orange liqueur )</t>
  </si>
  <si>
    <t>(or other orange liqueur )</t>
  </si>
  <si>
    <t>Crown Royal Classic Manhattan</t>
  </si>
  <si>
    <t>Mezcal Negroni: Hells Belles</t>
  </si>
  <si>
    <t>10.5 oz Cocchi Americano Rosa</t>
  </si>
  <si>
    <t>Cocchi Americano Rosa</t>
  </si>
  <si>
    <t>Godiva Chocolate Martini</t>
  </si>
  <si>
    <t>Godiva chocolate liqueur 1.5 oz</t>
  </si>
  <si>
    <t>chocolate liqueur</t>
  </si>
  <si>
    <t>Godiva</t>
  </si>
  <si>
    <t>Matts Corona</t>
  </si>
  <si>
    <t>Fireworks</t>
  </si>
  <si>
    <t>0.33 oz Gin</t>
  </si>
  <si>
    <t>Chili Crab Bloody Maria</t>
  </si>
  <si>
    <t>50ml DON JULIOTM REPOSADO</t>
  </si>
  <si>
    <t>REPOSADO</t>
  </si>
  <si>
    <t>DON JULIOTM</t>
  </si>
  <si>
    <t>White Gummy Bear Shots</t>
  </si>
  <si>
    <t>3 parts Sparkling Apple Cider</t>
  </si>
  <si>
    <t>Sparkling Apple Cider</t>
  </si>
  <si>
    <t>Cannibalized Christian</t>
  </si>
  <si>
    <t>0.75 oz Herbal Liqueur</t>
  </si>
  <si>
    <t>Mezcal Cocktail: A Love Supreme</t>
  </si>
  <si>
    <t>2 oz mezcal</t>
  </si>
  <si>
    <t>Bloody Mary Tomato Shot Glasses</t>
  </si>
  <si>
    <t>Tap</t>
  </si>
  <si>
    <t>Illusion</t>
  </si>
  <si>
    <t>25 ml White Rum</t>
  </si>
  <si>
    <t>Popsicle Margarita</t>
  </si>
  <si>
    <t>Mango puree 0.5 oz</t>
  </si>
  <si>
    <t>Mango puree</t>
  </si>
  <si>
    <t>Lemon Drop</t>
  </si>
  <si>
    <t>Old-Fashioned Appetizer</t>
  </si>
  <si>
    <t>1 orange slice</t>
  </si>
  <si>
    <t>Red Berry Cheesecake</t>
  </si>
  <si>
    <t>Amaretto 1 splash</t>
  </si>
  <si>
    <t>Boozy Shakerato</t>
  </si>
  <si>
    <t>0.25 part Simple syrup or Brown sugar syrup</t>
  </si>
  <si>
    <t>Simple syrup|Brown sugar syrup</t>
  </si>
  <si>
    <t>Felching Banana</t>
  </si>
  <si>
    <t>1 Splash Banana Liqueur</t>
  </si>
  <si>
    <t>Banana Liqueur</t>
  </si>
  <si>
    <t>Paradise Bay</t>
  </si>
  <si>
    <t>Pineapple juice 1 part</t>
  </si>
  <si>
    <t>Charitys Secret Sauce</t>
  </si>
  <si>
    <t>Apple sauce 2 bar spoons</t>
  </si>
  <si>
    <t>bar spoons</t>
  </si>
  <si>
    <t>Apple sauce</t>
  </si>
  <si>
    <t>Scrumdriver</t>
  </si>
  <si>
    <t>4 Dash Lime Juice</t>
  </si>
  <si>
    <t>Azuluna</t>
  </si>
  <si>
    <t>1 Cup Crushed Ice</t>
  </si>
  <si>
    <t>Peach Cooler</t>
  </si>
  <si>
    <t>Garnish of peach slice and lemon wheel</t>
  </si>
  <si>
    <t>slice|wheel</t>
  </si>
  <si>
    <t>peach|lemon</t>
  </si>
  <si>
    <t>Garnish of|and</t>
  </si>
  <si>
    <t>American Rose</t>
  </si>
  <si>
    <t>.5 Peach</t>
  </si>
  <si>
    <t>Dephaekt</t>
  </si>
  <si>
    <t>0.67 Lemonade</t>
  </si>
  <si>
    <t>Vodka Gummy Bear Party Cups</t>
  </si>
  <si>
    <t>Citrus vodka 1 oz</t>
  </si>
  <si>
    <t>Citrus vodka</t>
  </si>
  <si>
    <t>Mint Russian</t>
  </si>
  <si>
    <t>Dear Elijah</t>
  </si>
  <si>
    <t>0.5 ounce Frangelico</t>
  </si>
  <si>
    <t>Frangelico</t>
  </si>
  <si>
    <t>Brain on Fire Shot</t>
  </si>
  <si>
    <t>Peach schnapps 1 oz</t>
  </si>
  <si>
    <t>Sparkling Apple Pie Cocktail</t>
  </si>
  <si>
    <t>Apple juice 3 oz</t>
  </si>
  <si>
    <t>The Perfect Mai Tai</t>
  </si>
  <si>
    <t>0.5 gallon fresh orange juice</t>
  </si>
  <si>
    <t>gallon</t>
  </si>
  <si>
    <t>Genetic Polymorphism</t>
  </si>
  <si>
    <t>4.5 cl gin - I used Sipsmith VJOP which really stood firm against both C &amp; V</t>
  </si>
  <si>
    <t>- I used Sipsmith VJOP which really stood firm against both C &amp; V</t>
  </si>
  <si>
    <t>Perfectly Peach Iced Tea Cocktail</t>
  </si>
  <si>
    <t>6 oz Iced tea</t>
  </si>
  <si>
    <t>Iced tea</t>
  </si>
  <si>
    <t>Fermented Blueberry Basil</t>
  </si>
  <si>
    <t>2% salt to the weight of the berries</t>
  </si>
  <si>
    <t>2%|to the weight of the berries</t>
  </si>
  <si>
    <t>Jamaican Bahama Mama</t>
  </si>
  <si>
    <t>Anejo Old Fashioned</t>
  </si>
  <si>
    <t>0.5 parts Agave Nectar</t>
  </si>
  <si>
    <t>Charlie Chaplin</t>
  </si>
  <si>
    <t>1 part Apricot liqueur</t>
  </si>
  <si>
    <t>Apricot liqueur</t>
  </si>
  <si>
    <t>Cody Spunk</t>
  </si>
  <si>
    <t>.5 oz Cream</t>
  </si>
  <si>
    <t>Scottish Highland Liqueur</t>
  </si>
  <si>
    <t>2 2-inch strips Lemon</t>
  </si>
  <si>
    <t>strips</t>
  </si>
  <si>
    <t>Pina Colada Riff: Sport Pilot</t>
  </si>
  <si>
    <t>10.5 oz reposado tequila</t>
  </si>
  <si>
    <t>reposado tequila</t>
  </si>
  <si>
    <t>5 cubes Lemon Grass</t>
  </si>
  <si>
    <t>Lemon Grass</t>
  </si>
  <si>
    <t>Australian Tom Collins</t>
  </si>
  <si>
    <t>Brandy Classic</t>
  </si>
  <si>
    <t>Italian Greyhound</t>
  </si>
  <si>
    <t>0.5 oz Bitters</t>
  </si>
  <si>
    <t>Ocho</t>
  </si>
  <si>
    <t>2 ounces hibiscus-raspberry mezcal</t>
  </si>
  <si>
    <t>hibiscus-raspberry mezcal</t>
  </si>
  <si>
    <t>Mata Hari</t>
  </si>
  <si>
    <t>1.25 ounces cognac</t>
  </si>
  <si>
    <t>Coopers Regard</t>
  </si>
  <si>
    <t>0.5 part Cherry brandy</t>
  </si>
  <si>
    <t>Strawberry Shortcake Shooters</t>
  </si>
  <si>
    <t>3 parts Sparkling white wine or Sparkling rose wine</t>
  </si>
  <si>
    <t>John the Baptist</t>
  </si>
  <si>
    <t>1 ounce Green Spot Irish whiskey</t>
  </si>
  <si>
    <t>Green Spot Irish whiskey</t>
  </si>
  <si>
    <t>The Apple Brandy Cup</t>
  </si>
  <si>
    <t>Jager Bomb Ice Cube</t>
  </si>
  <si>
    <t>Energy drink</t>
  </si>
  <si>
    <t>Northern Harvest Buck</t>
  </si>
  <si>
    <t>Candy Cane Vodka</t>
  </si>
  <si>
    <t>Candy canes</t>
  </si>
  <si>
    <t>Lime juice 0.75 oz</t>
  </si>
  <si>
    <t>Frozen Daiquiri</t>
  </si>
  <si>
    <t>2 ounces simple syrup</t>
  </si>
  <si>
    <t>Sky Banana</t>
  </si>
  <si>
    <t>45ml Zacapa Grand Solera Reserva</t>
  </si>
  <si>
    <t>Zacapa Grand Solera Reserva</t>
  </si>
  <si>
    <t>Brian Auel</t>
  </si>
  <si>
    <t>1.5 oz Peach Liqueur</t>
  </si>
  <si>
    <t>Mermaid Water</t>
  </si>
  <si>
    <t>Thai Coffee</t>
  </si>
  <si>
    <t>4-5 whole green Cardamom</t>
  </si>
  <si>
    <t>4|5</t>
  </si>
  <si>
    <t>green Cardamom</t>
  </si>
  <si>
    <t>Mini Mangoneada Shots</t>
  </si>
  <si>
    <t>Tajin rim undefined</t>
  </si>
  <si>
    <t>Tajin rim</t>
  </si>
  <si>
    <t>0.75 ounce George Dickel rye whiskey</t>
  </si>
  <si>
    <t>George Dickel</t>
  </si>
  <si>
    <t>Cool Breeze Fru-Fru</t>
  </si>
  <si>
    <t>3 oz Cranberry Juice</t>
  </si>
  <si>
    <t>Chocolate Covered Cherry Shots</t>
  </si>
  <si>
    <t>Kahlua 1 oz</t>
  </si>
  <si>
    <t>Kahlua</t>
  </si>
  <si>
    <t>Golden Phone</t>
  </si>
  <si>
    <t>1 ounce blanco tequila</t>
  </si>
  <si>
    <t>blanco tequila</t>
  </si>
  <si>
    <t>Jack O'Lantern Cream</t>
  </si>
  <si>
    <t>1.5 oz Silver Rum</t>
  </si>
  <si>
    <t>Berrylicious Frozen Sangria Slushie</t>
  </si>
  <si>
    <t>0.33 cup fresh raspberries</t>
  </si>
  <si>
    <t>raspberries</t>
  </si>
  <si>
    <t>Classic Gin Sling</t>
  </si>
  <si>
    <t>1.5 ounces gin</t>
  </si>
  <si>
    <t>0.5 cup water</t>
  </si>
  <si>
    <t>Negroni</t>
  </si>
  <si>
    <t>1 ounce Campari</t>
  </si>
  <si>
    <t>1 oz Creme De Bananes</t>
  </si>
  <si>
    <t>Creme De Bananes</t>
  </si>
  <si>
    <t>20ml Fresh lime juice</t>
  </si>
  <si>
    <t>Don Fashioned</t>
  </si>
  <si>
    <t>500ml Filtered water</t>
  </si>
  <si>
    <t>Filtered</t>
  </si>
  <si>
    <t>Chapala</t>
  </si>
  <si>
    <t>1 tbsp Orange Juice</t>
  </si>
  <si>
    <t>Clockwork Orange: A Dessert Cocktail</t>
  </si>
  <si>
    <t>6 dashes orange bitters</t>
  </si>
  <si>
    <t>Atone-Mint</t>
  </si>
  <si>
    <t>50 ml Sparkling Water</t>
  </si>
  <si>
    <t>Sparkling Water</t>
  </si>
  <si>
    <t>Thanksgiving Cocktail 2</t>
  </si>
  <si>
    <t>0.5 tsp Lemon Juice</t>
  </si>
  <si>
    <t>French 75 Cocktail</t>
  </si>
  <si>
    <t>4 fluid ounces chilled Champagne</t>
  </si>
  <si>
    <t>We do not Sow Cocktail</t>
  </si>
  <si>
    <t>3 slices Orange</t>
  </si>
  <si>
    <t>Freddie Fudpucker</t>
  </si>
  <si>
    <t>2 parts Blanco tequila or Aged tequila</t>
  </si>
  <si>
    <t>Session Manhattan</t>
  </si>
  <si>
    <t>0.5 part Dry vermouth</t>
  </si>
  <si>
    <t>Dry vermouth</t>
  </si>
  <si>
    <t>splash of Limoncello</t>
  </si>
  <si>
    <t>Limoncello</t>
  </si>
  <si>
    <t>Bourbon Lift</t>
  </si>
  <si>
    <t>10.5 parts Bourbon or Blended whiskey</t>
  </si>
  <si>
    <t>Bourbon|Blended whiskey</t>
  </si>
  <si>
    <t>Not Your Childhood Milkshake</t>
  </si>
  <si>
    <t>Vanilla ice cream 6 scoops</t>
  </si>
  <si>
    <t>Strawberry Fishbowl</t>
  </si>
  <si>
    <t>Rum 1 bottle</t>
  </si>
  <si>
    <t>bottle</t>
  </si>
  <si>
    <t>Seedlip Grove 42 &amp; Tonic</t>
  </si>
  <si>
    <t>50ml Seedlip Grove 42</t>
  </si>
  <si>
    <t>Seedlip Grove 42</t>
  </si>
  <si>
    <t>Margarita La Bamba</t>
  </si>
  <si>
    <t>0.5 oz of Triple Sec</t>
  </si>
  <si>
    <t>Broth Back</t>
  </si>
  <si>
    <t>0.75 pound dried shiitake</t>
  </si>
  <si>
    <t>shiitake</t>
  </si>
  <si>
    <t>dried</t>
  </si>
  <si>
    <t>NT Pucker Punch Fizz</t>
  </si>
  <si>
    <t>Smirnoff Cranberry and Lemon Soda</t>
  </si>
  <si>
    <t>50ml Smirnoff Cranberry</t>
  </si>
  <si>
    <t>Smirnoff Cranberry</t>
  </si>
  <si>
    <t>Cherasberry Rum and Coke</t>
  </si>
  <si>
    <t>4 oz Cherry Cola</t>
  </si>
  <si>
    <t>Cinnful Sour</t>
  </si>
  <si>
    <t>15ml Lemon Juice</t>
  </si>
  <si>
    <t>Last Word</t>
  </si>
  <si>
    <t>0.75 oz Maraschino Liqueur</t>
  </si>
  <si>
    <t>Baby Turtle</t>
  </si>
  <si>
    <t>0.5 ounce cinnamon syrup</t>
  </si>
  <si>
    <t>Blue Crack Pipe</t>
  </si>
  <si>
    <t>Energy drink 0.5 pint</t>
  </si>
  <si>
    <t>Culture to Culture</t>
  </si>
  <si>
    <t>0.5 parts Minus 8 verjus</t>
  </si>
  <si>
    <t>Minus 8 verjus</t>
  </si>
  <si>
    <t>Fog Cutter</t>
  </si>
  <si>
    <t>0.5 part Orgeat</t>
  </si>
  <si>
    <t>Orgeat</t>
  </si>
  <si>
    <t>Limon Squeeze</t>
  </si>
  <si>
    <t>1.5 oz Lemon Rum</t>
  </si>
  <si>
    <t>Lemon Rum</t>
  </si>
  <si>
    <t>Luau Daiquiri</t>
  </si>
  <si>
    <t>0.75 part Orange juice</t>
  </si>
  <si>
    <t>The Chrysanthemum Cocktail</t>
  </si>
  <si>
    <t>0.75 ounce brandy</t>
  </si>
  <si>
    <t>Tie Me To The Bedpost Baby</t>
  </si>
  <si>
    <t>1 Part Peach Liqueur</t>
  </si>
  <si>
    <t>Countess of the Caribbean: A Rum Cocktail</t>
  </si>
  <si>
    <t>0.5 oz Aperol</t>
  </si>
  <si>
    <t>The Brandy Smash Cocktail</t>
  </si>
  <si>
    <t>Mint sprig, for garnish</t>
  </si>
  <si>
    <t>sprig</t>
  </si>
  <si>
    <t xml:space="preserve"> , for garnish             </t>
  </si>
  <si>
    <t>White Gummy Bear Jello Shots</t>
  </si>
  <si>
    <t>Manolitos Swampwater</t>
  </si>
  <si>
    <t>15 ounces ice (by weight)</t>
  </si>
  <si>
    <t>(by weight)</t>
  </si>
  <si>
    <t>Banana Cream Colada</t>
  </si>
  <si>
    <t>Spooky Juice</t>
  </si>
  <si>
    <t>1 Dash Grenadine Syrup</t>
  </si>
  <si>
    <t>Chapel Hill</t>
  </si>
  <si>
    <t>Avengers: The Incredible Hulk</t>
  </si>
  <si>
    <t>Vodka 0.5 oz</t>
  </si>
  <si>
    <t>Jolly Rancher Popsicle</t>
  </si>
  <si>
    <t>Melon liqueur 1 oz</t>
  </si>
  <si>
    <t>Melon liqueur</t>
  </si>
  <si>
    <t>BEST Bloody Maria</t>
  </si>
  <si>
    <t>0.5 teaspoon celery salt</t>
  </si>
  <si>
    <t>celery salt</t>
  </si>
  <si>
    <t>Tabard</t>
  </si>
  <si>
    <t>0.5 part Dry sherry</t>
  </si>
  <si>
    <t>Dry sherry</t>
  </si>
  <si>
    <t>Rum &amp; Cherry Cola Jello Shots</t>
  </si>
  <si>
    <t>Plain gelatin 1 pack</t>
  </si>
  <si>
    <t>pack</t>
  </si>
  <si>
    <t>Plain gelatin</t>
  </si>
  <si>
    <t>The Shamrock</t>
  </si>
  <si>
    <t>37.5ml Dry Vermouth</t>
  </si>
  <si>
    <t>Big Red</t>
  </si>
  <si>
    <t>2 ounces Budweiser</t>
  </si>
  <si>
    <t>Budweiser</t>
  </si>
  <si>
    <t>Purple Haze Shot</t>
  </si>
  <si>
    <t>Original Mulekicker</t>
  </si>
  <si>
    <t>1.5 oz Grenadine Syrup</t>
  </si>
  <si>
    <t>Crazy Monkey</t>
  </si>
  <si>
    <t>2 oz Strawberry Daiquiri Mix</t>
  </si>
  <si>
    <t>Strawberry Daiquiri Mix</t>
  </si>
  <si>
    <t>The Black Spot</t>
  </si>
  <si>
    <t>0.67 oz of coffee liqueur</t>
  </si>
  <si>
    <t>Aaron Josephs Southside</t>
  </si>
  <si>
    <t>6-8 mint leaves</t>
  </si>
  <si>
    <t>Parisian Blond Cocktail</t>
  </si>
  <si>
    <t>Master Bandit</t>
  </si>
  <si>
    <t>1.75 ounces navy strength gin, preferably Fords Officers' Reserve</t>
  </si>
  <si>
    <t>navy strength gin</t>
  </si>
  <si>
    <t xml:space="preserve"> , preferably Fords Officers' Reserve </t>
  </si>
  <si>
    <t>Homemade Cocktail Bitters</t>
  </si>
  <si>
    <t>1 teaspoon coriander seeds</t>
  </si>
  <si>
    <t>coriander seeds</t>
  </si>
  <si>
    <t>Car Wreck</t>
  </si>
  <si>
    <t>Royal Tea</t>
  </si>
  <si>
    <t>10ml Peach schnapps</t>
  </si>
  <si>
    <t>Strawberry Cocktail: Seven Year Itch</t>
  </si>
  <si>
    <t>0.5 oz elderflower liqueur</t>
  </si>
  <si>
    <t>elderflower liqueur</t>
  </si>
  <si>
    <t>Old Roe &amp; Co.</t>
  </si>
  <si>
    <t>5ml Honeyed Water</t>
  </si>
  <si>
    <t>Honeyed Water</t>
  </si>
  <si>
    <t>Blueberry Drop Martini</t>
  </si>
  <si>
    <t>Simple syrup 1 oz</t>
  </si>
  <si>
    <t>Shoe Maker</t>
  </si>
  <si>
    <t>2 ounces Knappogue Castle 12-year-old single malt Irish whiskey</t>
  </si>
  <si>
    <t>Knappogue Castle 12-year-old single malt Irish whiskey</t>
  </si>
  <si>
    <t>1 pinch saffron</t>
  </si>
  <si>
    <t>saffron</t>
  </si>
  <si>
    <t>Jamaican Milk Punch</t>
  </si>
  <si>
    <t>Jamaican rum 1.5 oz</t>
  </si>
  <si>
    <t>Don Julio &amp; Tonic</t>
  </si>
  <si>
    <t>50ml Don Julio</t>
  </si>
  <si>
    <t>Fuzzy Fruity Brain Blitzer</t>
  </si>
  <si>
    <t>0.67 oz Blue Curacao Liqueur</t>
  </si>
  <si>
    <t>Cosmic Kool-Aid</t>
  </si>
  <si>
    <t>0.75 oz Grenadine Syrup</t>
  </si>
  <si>
    <t>Fall Sangria</t>
  </si>
  <si>
    <t>1 cups cranberry juice</t>
  </si>
  <si>
    <t>cranberry juice</t>
  </si>
  <si>
    <t>B&amp;B</t>
  </si>
  <si>
    <t>25ml Benedictine</t>
  </si>
  <si>
    <t>DIY Salted Caramel Vodka</t>
  </si>
  <si>
    <t>Caramel</t>
  </si>
  <si>
    <t>Jerk-Spiced Bloody Mary</t>
  </si>
  <si>
    <t>810 lime or lemon wedges</t>
  </si>
  <si>
    <t>lime|lemon</t>
  </si>
  <si>
    <t>Candy Cane Jello Treat</t>
  </si>
  <si>
    <t>Kombucha Sangria</t>
  </si>
  <si>
    <t>0.5 ounce lemon juice, freshly squeezed</t>
  </si>
  <si>
    <t>Italian Wedding Cake-tini</t>
  </si>
  <si>
    <t>25ml Baileys Coffee Irish Cream Liqueur</t>
  </si>
  <si>
    <t>Irish Cream Liqueur</t>
  </si>
  <si>
    <t>Baileys Coffee</t>
  </si>
  <si>
    <t>Classic Chicago Fizz Cocktail</t>
  </si>
  <si>
    <t>0.5 ounce freshly squeezed lemon juice</t>
  </si>
  <si>
    <t>Winter Spice Syrup</t>
  </si>
  <si>
    <t>1L Water</t>
  </si>
  <si>
    <t>L</t>
  </si>
  <si>
    <t>Pit Stop Flip</t>
  </si>
  <si>
    <t>0.5 part Heavy whipping cream</t>
  </si>
  <si>
    <t>Heavy whipping cream</t>
  </si>
  <si>
    <t>Girl Scout Cookie Shot</t>
  </si>
  <si>
    <t>Irish cream 0.5 oz</t>
  </si>
  <si>
    <t>Normandie Old Fashioned</t>
  </si>
  <si>
    <t>3 ounces Coconut-infused bourbon</t>
  </si>
  <si>
    <t>Coconut-infused bourbon</t>
  </si>
  <si>
    <t>The Modern</t>
  </si>
  <si>
    <t>1 teaspoon sugar</t>
  </si>
  <si>
    <t>Growing Strong Cocktail</t>
  </si>
  <si>
    <t>4 Basil Leaves</t>
  </si>
  <si>
    <t>Basil Leaves</t>
  </si>
  <si>
    <t>Bobby Heugels Freezer Martini</t>
  </si>
  <si>
    <t>9.5 ounces filtered water</t>
  </si>
  <si>
    <t>filtered</t>
  </si>
  <si>
    <t>Charles Dickenss Punch</t>
  </si>
  <si>
    <t>2 cups rum, preferably Smith &amp; Cross</t>
  </si>
  <si>
    <t xml:space="preserve"> , preferably Smith &amp; Cross </t>
  </si>
  <si>
    <t>Golden Hour Highball</t>
  </si>
  <si>
    <t>Melon Ballsfest</t>
  </si>
  <si>
    <t>Banana Cream Pi</t>
  </si>
  <si>
    <t>1 oz Banana Liqueur</t>
  </si>
  <si>
    <t>Crown Royal Black &amp; Apple Juice</t>
  </si>
  <si>
    <t>100ml Apple Juice</t>
  </si>
  <si>
    <t>Upside-Down Cake</t>
  </si>
  <si>
    <t>1 Orange Twist (Garnish)</t>
  </si>
  <si>
    <t>Bonaparte Velvet</t>
  </si>
  <si>
    <t>Sex On My Face</t>
  </si>
  <si>
    <t>4 oz pineapple juice</t>
  </si>
  <si>
    <t>Jim Beam Black Hot Toddy</t>
  </si>
  <si>
    <t>1 twist Lemon Peel</t>
  </si>
  <si>
    <t>Lemon Peel</t>
  </si>
  <si>
    <t>Blazer</t>
  </si>
  <si>
    <t>2 parts Courvoisier VSOP Cognac</t>
  </si>
  <si>
    <t>VSOP Cognac</t>
  </si>
  <si>
    <t>Courvoisier</t>
  </si>
  <si>
    <t>Lady of Singapore</t>
  </si>
  <si>
    <t>The Blue One</t>
  </si>
  <si>
    <t>Angel`s Tip 2</t>
  </si>
  <si>
    <t>0.75 oz White Creme De Cacao</t>
  </si>
  <si>
    <t>Peach Cicel</t>
  </si>
  <si>
    <t>2 Scoop Peach Sherbet</t>
  </si>
  <si>
    <t>Scoop</t>
  </si>
  <si>
    <t>Peach Sherbet</t>
  </si>
  <si>
    <t>Right Hand</t>
  </si>
  <si>
    <t>Baby`s Bottom</t>
  </si>
  <si>
    <t>.5 oz White Creme De Cacao</t>
  </si>
  <si>
    <t>Kickapoo Mountain Joy Juice</t>
  </si>
  <si>
    <t>0.5 oz of Captain Morgan's spiced rum</t>
  </si>
  <si>
    <t>of|Captain Morgan's</t>
  </si>
  <si>
    <t>Green Jungle Juice Shots</t>
  </si>
  <si>
    <t>Bittered Bourbon Peanuts</t>
  </si>
  <si>
    <t>0.5 cup cane sugar</t>
  </si>
  <si>
    <t>cane sugar</t>
  </si>
  <si>
    <t>Cucumber Gin &amp; Tonic Popsicles</t>
  </si>
  <si>
    <t>0.25 lime, juiced</t>
  </si>
  <si>
    <t xml:space="preserve"> ,  </t>
  </si>
  <si>
    <t>David Caradine</t>
  </si>
  <si>
    <t>1 Part Cream</t>
  </si>
  <si>
    <t>Salted Gin Rickey</t>
  </si>
  <si>
    <t>25ml Lime Juice</t>
  </si>
  <si>
    <t>Coffee Flip</t>
  </si>
  <si>
    <t>1 Egg</t>
  </si>
  <si>
    <t>The Ultimate Ketel One Dirty Martini</t>
  </si>
  <si>
    <t>1 Whole Blue Cheese Stuffed Olive (Garnish)</t>
  </si>
  <si>
    <t>Blue Cheese Stuffed Olive</t>
  </si>
  <si>
    <t>Tequila Gummy Bears</t>
  </si>
  <si>
    <t>Green food coloring</t>
  </si>
  <si>
    <t>Mojitos by the Pitcher</t>
  </si>
  <si>
    <t>3 medium limes, quartered</t>
  </si>
  <si>
    <t>quartered</t>
  </si>
  <si>
    <t>Golf Cocktail</t>
  </si>
  <si>
    <t>Sriracha Bloody Mary</t>
  </si>
  <si>
    <t>Tomato juice 4 oz</t>
  </si>
  <si>
    <t>Tomato juice</t>
  </si>
  <si>
    <t>Halloween Jungle Juice</t>
  </si>
  <si>
    <t>Brandy Snapper</t>
  </si>
  <si>
    <t>2 parts Cognac or Brandy</t>
  </si>
  <si>
    <t>Cognac|Brandy</t>
  </si>
  <si>
    <t>Martinez Cocktail</t>
  </si>
  <si>
    <t>0.25 tsp Triple sec</t>
  </si>
  <si>
    <t>Oreo Jello Shots</t>
  </si>
  <si>
    <t>Sweetened condensed milk 4 oz</t>
  </si>
  <si>
    <t>Sweetened condensed milk</t>
  </si>
  <si>
    <t>Candy Apple Sour</t>
  </si>
  <si>
    <t>I See Nothing</t>
  </si>
  <si>
    <t>0.75 shot of Irish cream</t>
  </si>
  <si>
    <t>Apple Comfort</t>
  </si>
  <si>
    <t>Alexander</t>
  </si>
  <si>
    <t>Christmas Martini</t>
  </si>
  <si>
    <t>1 tsp Peppermint Schnapps</t>
  </si>
  <si>
    <t>Peppermint Schnapps</t>
  </si>
  <si>
    <t>There Will Be Rum</t>
  </si>
  <si>
    <t>1 ounce Ruby Red Grapefruit Juice</t>
  </si>
  <si>
    <t>Salty Bird</t>
  </si>
  <si>
    <t>10.5 parts Pineapple juice</t>
  </si>
  <si>
    <t>Brandy Hot Toddy</t>
  </si>
  <si>
    <t>1 cinnamon stick</t>
  </si>
  <si>
    <t>cinnamon stick</t>
  </si>
  <si>
    <t>Ciroc Coconut &amp; Strawberry Lemonade</t>
  </si>
  <si>
    <t>0.5 Strawberry (Garnish)</t>
  </si>
  <si>
    <t>Superclean: A Sotol Margarita</t>
  </si>
  <si>
    <t>0.75 oz basil syrup</t>
  </si>
  <si>
    <t>basil syrup</t>
  </si>
  <si>
    <t>Boozy Cherry Coke Float</t>
  </si>
  <si>
    <t>2 oz Dark Cherry Vanilla Whiskey</t>
  </si>
  <si>
    <t>Dark Cherry Vanilla Whiskey</t>
  </si>
  <si>
    <t>Mini Stoplight Margaritas</t>
  </si>
  <si>
    <t>Tommy's Margarita</t>
  </si>
  <si>
    <t>4.5 cl Tequila</t>
  </si>
  <si>
    <t>Australian Garden Sour</t>
  </si>
  <si>
    <t>1 Rosemary sprig</t>
  </si>
  <si>
    <t>Rosemary</t>
  </si>
  <si>
    <t>Barbies Revenge Shot</t>
  </si>
  <si>
    <t>Fernandito</t>
  </si>
  <si>
    <t>3 parts Cola</t>
  </si>
  <si>
    <t>Coconut Gin</t>
  </si>
  <si>
    <t>Unicorn</t>
  </si>
  <si>
    <t>Candyfloss</t>
  </si>
  <si>
    <t>Bulleit Bourbon Orange Cruiser</t>
  </si>
  <si>
    <t>Cheaterita</t>
  </si>
  <si>
    <t>6 oz Lemonade</t>
  </si>
  <si>
    <t>Tequila Tropical</t>
  </si>
  <si>
    <t>25ml Orange juice</t>
  </si>
  <si>
    <t>Brazilian Moscow Mule</t>
  </si>
  <si>
    <t>Harry Denton Martini</t>
  </si>
  <si>
    <t>1 .25 oz Gin</t>
  </si>
  <si>
    <t>Deckside Derby: A Rye Whiskey Cocktail</t>
  </si>
  <si>
    <t>0.75 oz honey syrup</t>
  </si>
  <si>
    <t>honey syrup</t>
  </si>
  <si>
    <t>Dirty Old Man</t>
  </si>
  <si>
    <t>0.75 ounce mezcal, preferably Ilegal</t>
  </si>
  <si>
    <t xml:space="preserve"> , preferably Ilegal </t>
  </si>
  <si>
    <t>Farnell</t>
  </si>
  <si>
    <t>25 ml Jack Daniels</t>
  </si>
  <si>
    <t>1.5 ounces white Creme de Cacao</t>
  </si>
  <si>
    <t>white Creme de Cacao</t>
  </si>
  <si>
    <t>Strawberrylicious Daiquiris</t>
  </si>
  <si>
    <t>0.5 cup white sugar</t>
  </si>
  <si>
    <t>1 dash Regans orange bitters</t>
  </si>
  <si>
    <t>Regans orange bitters</t>
  </si>
  <si>
    <t>Raspberry Beer Cocktail</t>
  </si>
  <si>
    <t>Pink lemonade 1 frozen</t>
  </si>
  <si>
    <t>Pink lemonade</t>
  </si>
  <si>
    <t>Bleeding Apple</t>
  </si>
  <si>
    <t>1 Splash Grenadine Syrup</t>
  </si>
  <si>
    <t>Christmas Mimosa</t>
  </si>
  <si>
    <t>Rosemary springs to garnish</t>
  </si>
  <si>
    <t>to garnish</t>
  </si>
  <si>
    <t>Rum Cocktail: The Departed</t>
  </si>
  <si>
    <t>1 oz Campari</t>
  </si>
  <si>
    <t>Mango Beer Margarita Pitcher</t>
  </si>
  <si>
    <t>Spicy Mango Margarita</t>
  </si>
  <si>
    <t>2-3 Slices Jalapeno</t>
  </si>
  <si>
    <t>Jalapeno</t>
  </si>
  <si>
    <t>Transfusion</t>
  </si>
  <si>
    <t>2 parts Ginger ale</t>
  </si>
  <si>
    <t>Surfer on Acid</t>
  </si>
  <si>
    <t>0.5 oz of Jagermeister</t>
  </si>
  <si>
    <t>Gregneck`s Long Island</t>
  </si>
  <si>
    <t>.5 oz White Rum</t>
  </si>
  <si>
    <t>Pina Colada Milkshake</t>
  </si>
  <si>
    <t>Cream of coconut 0.5 oz</t>
  </si>
  <si>
    <t>Cherry Coke</t>
  </si>
  <si>
    <t>1 cl Maraschino liqueur</t>
  </si>
  <si>
    <t>Kingston Club</t>
  </si>
  <si>
    <t>2.5 cl fresh lime juice</t>
  </si>
  <si>
    <t>Alabama Slammer</t>
  </si>
  <si>
    <t>1 oz of Pineapple Juice</t>
  </si>
  <si>
    <t>Jim Beam Orleans</t>
  </si>
  <si>
    <t>1 teaspoon Absinthe</t>
  </si>
  <si>
    <t>Absinthe</t>
  </si>
  <si>
    <t>Basil Hayden's Golden Hour</t>
  </si>
  <si>
    <t>0.75 part Lillet Blanc</t>
  </si>
  <si>
    <t>Lillet Blanc</t>
  </si>
  <si>
    <t>Homemade Spiced Pear Liqueur</t>
  </si>
  <si>
    <t>1 ripe pear, peeled and sliced into eighths</t>
  </si>
  <si>
    <t>pear</t>
  </si>
  <si>
    <t>ripe|peeled|sliced into eighths</t>
  </si>
  <si>
    <t>,|and</t>
  </si>
  <si>
    <t>Jungle Juice for a Crowd</t>
  </si>
  <si>
    <t>4 cups halved fresh strawberries</t>
  </si>
  <si>
    <t>Turkeyball</t>
  </si>
  <si>
    <t>0.75 oz Amaretto</t>
  </si>
  <si>
    <t>Necromancer</t>
  </si>
  <si>
    <t>1 dash Absinthe or Anise liqueur</t>
  </si>
  <si>
    <t>Sunset Kid</t>
  </si>
  <si>
    <t>2 parts Aged tequila</t>
  </si>
  <si>
    <t>Aged tequila</t>
  </si>
  <si>
    <t>Canteloupe Dizzy</t>
  </si>
  <si>
    <t>Iron Man- The Avengers: Age of Ultron</t>
  </si>
  <si>
    <t>Lemon lime soda 1 splash</t>
  </si>
  <si>
    <t>Booda`s Black Brew</t>
  </si>
  <si>
    <t>Brown and Beige</t>
  </si>
  <si>
    <t>2 oz Jamaican Rum Cream</t>
  </si>
  <si>
    <t>Jamaican Rum Cream</t>
  </si>
  <si>
    <t>Pom Royale Vermouth Slushie</t>
  </si>
  <si>
    <t>3 oz sparkling wine</t>
  </si>
  <si>
    <t>Muletide Cocktail</t>
  </si>
  <si>
    <t>34 oz amontillado sherry</t>
  </si>
  <si>
    <t>amontillado sherry</t>
  </si>
  <si>
    <t>Rum Punch</t>
  </si>
  <si>
    <t>1.25 ounces dark rum</t>
  </si>
  <si>
    <t>Blood Sage</t>
  </si>
  <si>
    <t>0.75 ounce simple syrup</t>
  </si>
  <si>
    <t>Black Russian Cocktail</t>
  </si>
  <si>
    <t>Gibson Recipe</t>
  </si>
  <si>
    <t>1 Silver Skin Onion (Garnish)</t>
  </si>
  <si>
    <t>Silver Skin Onion</t>
  </si>
  <si>
    <t>Juan Collins</t>
  </si>
  <si>
    <t>Garnish Lemon Peel</t>
  </si>
  <si>
    <t>Garnish</t>
  </si>
  <si>
    <t>Frozen Gin &amp; Tonic</t>
  </si>
  <si>
    <t>0.5 oz tonic syrup</t>
  </si>
  <si>
    <t>tonic syrup</t>
  </si>
  <si>
    <t>Beam Me Up</t>
  </si>
  <si>
    <t>0.25 cup cinnamon whiskey, such as Fireball Cinnamon Whisky</t>
  </si>
  <si>
    <t>cinnamon whiskey</t>
  </si>
  <si>
    <t xml:space="preserve"> , such as Fireball Cinnamon Whisky </t>
  </si>
  <si>
    <t>Harm`s Way</t>
  </si>
  <si>
    <t>3 oz Apple Juice</t>
  </si>
  <si>
    <t>Jamboree</t>
  </si>
  <si>
    <t>0.25 ounce Blume Marillen apricot eau-de-vie</t>
  </si>
  <si>
    <t>Blume Marillen apricot eau-de-vie</t>
  </si>
  <si>
    <t>Apollo 13</t>
  </si>
  <si>
    <t>Ode to Bax Beet Pinot</t>
  </si>
  <si>
    <t>3 cl Malt syrup (add 1 part hot water to two parts Malt Syrup mix and cool)</t>
  </si>
  <si>
    <t>Malt syrup</t>
  </si>
  <si>
    <t>(add 1 part hot water to two parts Malt Syrup mix and cool)</t>
  </si>
  <si>
    <t>Monastery</t>
  </si>
  <si>
    <t>0.5 part Honey syrup</t>
  </si>
  <si>
    <t>Maracuya Sour Cocktail</t>
  </si>
  <si>
    <t>Black Bison</t>
  </si>
  <si>
    <t>Mamie Taylor</t>
  </si>
  <si>
    <t>2 dashes Orange bitters</t>
  </si>
  <si>
    <t>1.5 oz White Rum</t>
  </si>
  <si>
    <t>Wild Eyed Rose</t>
  </si>
  <si>
    <t>Blue Margarita Pitcher</t>
  </si>
  <si>
    <t>Triple sec 24 oz</t>
  </si>
  <si>
    <t>Jarritos Tamarind Margarita</t>
  </si>
  <si>
    <t>Of salt 1 pinch</t>
  </si>
  <si>
    <t>Of</t>
  </si>
  <si>
    <t>Deach Desire</t>
  </si>
  <si>
    <t>Jamaican Crow</t>
  </si>
  <si>
    <t>1 pinch nutmeg</t>
  </si>
  <si>
    <t>Dusk Till Dawn</t>
  </si>
  <si>
    <t>150ml (De-ionised) Water</t>
  </si>
  <si>
    <t>De-ionised</t>
  </si>
  <si>
    <t>(|)</t>
  </si>
  <si>
    <t>Arak-Drizzled Heirloom Tomatoes</t>
  </si>
  <si>
    <t>Arak, or Pastis</t>
  </si>
  <si>
    <t>Arak|Pastis</t>
  </si>
  <si>
    <t xml:space="preserve"> ,|or</t>
  </si>
  <si>
    <t>Cafe Royal's Tequila Matador</t>
  </si>
  <si>
    <t>1 ounce tequila</t>
  </si>
  <si>
    <t>Baileys Over Ice With A Marshmallow</t>
  </si>
  <si>
    <t>1 Toasted Marshmallow</t>
  </si>
  <si>
    <t>Marshmallow</t>
  </si>
  <si>
    <t>Toasted</t>
  </si>
  <si>
    <t>Hairy Sunrise</t>
  </si>
  <si>
    <t>2-3 dash of grenadine syrup</t>
  </si>
  <si>
    <t>grenadine syrup</t>
  </si>
  <si>
    <t>Black Mushroom</t>
  </si>
  <si>
    <t>25 ml Black Haus</t>
  </si>
  <si>
    <t>Black Haus</t>
  </si>
  <si>
    <t>U-Boot</t>
  </si>
  <si>
    <t>25 ml Vodka</t>
  </si>
  <si>
    <t>Il Poeta</t>
  </si>
  <si>
    <t>1 Smoke of a cigar</t>
  </si>
  <si>
    <t>Smoke</t>
  </si>
  <si>
    <t>cigar</t>
  </si>
  <si>
    <t>of a</t>
  </si>
  <si>
    <t>Peanut Butter &amp; Jello Shots</t>
  </si>
  <si>
    <t>Hot water 8 oz</t>
  </si>
  <si>
    <t>Hot</t>
  </si>
  <si>
    <t>Fish House Punch</t>
  </si>
  <si>
    <t>3.5 cups Water</t>
  </si>
  <si>
    <t>1 ounce warm water</t>
  </si>
  <si>
    <t>warm</t>
  </si>
  <si>
    <t>Hot Buttered Captain (H)</t>
  </si>
  <si>
    <t>150ml Hot water</t>
  </si>
  <si>
    <t>Neon</t>
  </si>
  <si>
    <t>25ml Black Haus Blackberry Schnapps</t>
  </si>
  <si>
    <t>Black Haus Blackberry Schnapps</t>
  </si>
  <si>
    <t>Bounty Bar Margarita</t>
  </si>
  <si>
    <t>Maple Rum Flip</t>
  </si>
  <si>
    <t>1.5 ounces aged rum</t>
  </si>
  <si>
    <t>aged rum</t>
  </si>
  <si>
    <t>Joy Juice</t>
  </si>
  <si>
    <t>Classic Sea Breeze Cocktail</t>
  </si>
  <si>
    <t>Cherry Margarita Seltzer</t>
  </si>
  <si>
    <t xml:space="preserve"> , for garnish </t>
  </si>
  <si>
    <t>Brandy Melba</t>
  </si>
  <si>
    <t>.5 oz Raspberry Liqueur</t>
  </si>
  <si>
    <t>Ojen Cocktail</t>
  </si>
  <si>
    <t>1 tsp Sugar</t>
  </si>
  <si>
    <t>1 teaspoon agave syrup, or to taste</t>
  </si>
  <si>
    <t xml:space="preserve"> , or to taste </t>
  </si>
  <si>
    <t>Ciroc Peach Lemonade</t>
  </si>
  <si>
    <t>50ml Iced tea</t>
  </si>
  <si>
    <t>Vampire Elixir</t>
  </si>
  <si>
    <t>Half &amp; half 1 oz</t>
  </si>
  <si>
    <t>Hemingway Hi Ball</t>
  </si>
  <si>
    <t>3 ounces Fever-Tree Sparkling Pink Grapefruit (chilled)</t>
  </si>
  <si>
    <t>Fever-Tree Sparkling Pink Grapefruit</t>
  </si>
  <si>
    <t>0.25 lime, cut into 2 wedges</t>
  </si>
  <si>
    <t xml:space="preserve">,  cut into 2 </t>
  </si>
  <si>
    <t>0.5 part Bourbon or Rye whiskey or Blended whiskey</t>
  </si>
  <si>
    <t>Bourbon|Rye whiskey|Blended whiskey</t>
  </si>
  <si>
    <t>Iron Ranger</t>
  </si>
  <si>
    <t>The Danforths Monorail Martini</t>
  </si>
  <si>
    <t>Kool Aid Shooter</t>
  </si>
  <si>
    <t>Melon liqueur 0.5 oz</t>
  </si>
  <si>
    <t>Bourbon Hot Toddy</t>
  </si>
  <si>
    <t>0.5 cup steaming hot water</t>
  </si>
  <si>
    <t>steaming hot</t>
  </si>
  <si>
    <t>Whiskey Sparkler</t>
  </si>
  <si>
    <t>1 sugar cube</t>
  </si>
  <si>
    <t>cube</t>
  </si>
  <si>
    <t>Mezcal Sour</t>
  </si>
  <si>
    <t>Angostura bitters, for the garnish</t>
  </si>
  <si>
    <t xml:space="preserve"> , for the garnish </t>
  </si>
  <si>
    <t>Quick and Easy Mango Margaritas</t>
  </si>
  <si>
    <t>12 fluid ounces margarita mix</t>
  </si>
  <si>
    <t>Emerald Cocktail</t>
  </si>
  <si>
    <t>Jade</t>
  </si>
  <si>
    <t>0.5 part Simple syrup</t>
  </si>
  <si>
    <t>Apple Pie</t>
  </si>
  <si>
    <t>Wine Cooler</t>
  </si>
  <si>
    <t>5 oz Lemon-lime soda</t>
  </si>
  <si>
    <t>Lemon-lime soda</t>
  </si>
  <si>
    <t>Dot`s Hot Spot</t>
  </si>
  <si>
    <t>1 Cinnamon Sugar</t>
  </si>
  <si>
    <t>Bleeding Weasel</t>
  </si>
  <si>
    <t>0.25 oz Coconut Rum</t>
  </si>
  <si>
    <t>Michelada</t>
  </si>
  <si>
    <t>Beer 8 oz</t>
  </si>
  <si>
    <t>Cranberry Rum Mimosa</t>
  </si>
  <si>
    <t>2 fluid ounces champagne</t>
  </si>
  <si>
    <t>champagne</t>
  </si>
  <si>
    <t>Blue Passion Pina Colada</t>
  </si>
  <si>
    <t>Rum Flip</t>
  </si>
  <si>
    <t>2 parts Aged rum or Dark rum or Demerara rum or Black rum</t>
  </si>
  <si>
    <t>Aged rum|Dark rum|Demerara rum|Black rum</t>
  </si>
  <si>
    <t>Flat White Rumtini</t>
  </si>
  <si>
    <t>30ml Baileys Original Irish Cream</t>
  </si>
  <si>
    <t>Texas T&amp;T</t>
  </si>
  <si>
    <t>150ml Tonic Water</t>
  </si>
  <si>
    <t>Tonic Water</t>
  </si>
  <si>
    <t>Frozen Mint Daiquiri</t>
  </si>
  <si>
    <t>2 oz White Rum</t>
  </si>
  <si>
    <t>Caipirissima</t>
  </si>
  <si>
    <t>2 Lime</t>
  </si>
  <si>
    <t>Flaming Dr Pepper</t>
  </si>
  <si>
    <t>0.5 ounce Cynar</t>
  </si>
  <si>
    <t>Fall Amaro Recipe</t>
  </si>
  <si>
    <t>maple syrup</t>
  </si>
  <si>
    <t>2.5 cl gin</t>
  </si>
  <si>
    <t>Bloody Cab</t>
  </si>
  <si>
    <t>1 dash Tabasco Sauce</t>
  </si>
  <si>
    <t>Tabasco Sauce</t>
  </si>
  <si>
    <t>Passion Fruit Martini</t>
  </si>
  <si>
    <t>3 fluid ounces gin</t>
  </si>
  <si>
    <t>Electric Lizard</t>
  </si>
  <si>
    <t>Halekulani Cocktail</t>
  </si>
  <si>
    <t>Canada Cocktail</t>
  </si>
  <si>
    <t>1.5 oz Whiskey</t>
  </si>
  <si>
    <t>Anna`s Banana</t>
  </si>
  <si>
    <t>Classic Aviation Cocktail</t>
  </si>
  <si>
    <t>2 ounces gin</t>
  </si>
  <si>
    <t>Frozen Sangria</t>
  </si>
  <si>
    <t>Nitro Mojito</t>
  </si>
  <si>
    <t>Fresh lime juice 0.75 oz</t>
  </si>
  <si>
    <t>Fireman`s Ice Tea</t>
  </si>
  <si>
    <t>6 cl freshly squeezed clementine juice</t>
  </si>
  <si>
    <t>clementine juice</t>
  </si>
  <si>
    <t>April Shower</t>
  </si>
  <si>
    <t>Iosepa</t>
  </si>
  <si>
    <t>1 ounce carrot juice</t>
  </si>
  <si>
    <t>carrot juice</t>
  </si>
  <si>
    <t>Dante's Jungle Bird</t>
  </si>
  <si>
    <t>0.25 ounce Zucca Rabarbaro Amaro</t>
  </si>
  <si>
    <t>Zucca Rabarbaro Amaro</t>
  </si>
  <si>
    <t>Electro Lit</t>
  </si>
  <si>
    <t>1.5 ounces tequila, preferably Olmeca Altos</t>
  </si>
  <si>
    <t xml:space="preserve"> , preferably Olmeca Altos </t>
  </si>
  <si>
    <t>Wassail</t>
  </si>
  <si>
    <t>2 cinnamon sticks</t>
  </si>
  <si>
    <t>Jungle Juice</t>
  </si>
  <si>
    <t>4 bottles Wine</t>
  </si>
  <si>
    <t>Wine</t>
  </si>
  <si>
    <t>Peachy Colada</t>
  </si>
  <si>
    <t>.5 oz Coconut Cream</t>
  </si>
  <si>
    <t>Coconut Cream</t>
  </si>
  <si>
    <t>Club soda, to top</t>
  </si>
  <si>
    <t xml:space="preserve"> , to top </t>
  </si>
  <si>
    <t>Flaming Spanish Coffee</t>
  </si>
  <si>
    <t>2 tablespoons brown sugar, or spiced sugar</t>
  </si>
  <si>
    <t>brown sugar|spiced sugar</t>
  </si>
  <si>
    <t xml:space="preserve"> ,  or</t>
  </si>
  <si>
    <t>0.5 cup apple cider</t>
  </si>
  <si>
    <t>California Rattle Snake</t>
  </si>
  <si>
    <t>1 Splash Sours</t>
  </si>
  <si>
    <t>Arctic Fish</t>
  </si>
  <si>
    <t>0.33 part Vodka</t>
  </si>
  <si>
    <t>RumRunner`s RubyRed</t>
  </si>
  <si>
    <t>5  6 oz Grapefruit Juice</t>
  </si>
  <si>
    <t>My Hot Toddy Recipe</t>
  </si>
  <si>
    <t>2dashes Peychaud's Bitters</t>
  </si>
  <si>
    <t>Peychaud's Bitters</t>
  </si>
  <si>
    <t>Conflict &amp; Compromise</t>
  </si>
  <si>
    <t>0.5 ounce agave nectar</t>
  </si>
  <si>
    <t>agave nectar</t>
  </si>
  <si>
    <t>Reverse Manhattan</t>
  </si>
  <si>
    <t>2 parts Sweet vermouth</t>
  </si>
  <si>
    <t>Love on a Wire</t>
  </si>
  <si>
    <t>1.25 ounces blackberry-balsamic syrup</t>
  </si>
  <si>
    <t>blackberry-balsamic syrup</t>
  </si>
  <si>
    <t>Cherry Cheese Cake</t>
  </si>
  <si>
    <t>0.5 oz of stoli vanil vodka</t>
  </si>
  <si>
    <t>stoli vanil vodka</t>
  </si>
  <si>
    <t>1.5 ounces bourbon</t>
  </si>
  <si>
    <t>Bottled Martini: The Invitation</t>
  </si>
  <si>
    <t>1.5 cups gin</t>
  </si>
  <si>
    <t>Commodore Perry</t>
  </si>
  <si>
    <t>2 parts Sparkling white wine</t>
  </si>
  <si>
    <t>Banana Cow</t>
  </si>
  <si>
    <t>1 Slice Banana</t>
  </si>
  <si>
    <t>Frozen Summer Slush</t>
  </si>
  <si>
    <t>2 cups boiling water</t>
  </si>
  <si>
    <t>boiling</t>
  </si>
  <si>
    <t>Yellow Submarine from the Broken Shaker</t>
  </si>
  <si>
    <t>0.75 oz fresh lime juice</t>
  </si>
  <si>
    <t>Thanksgiving Apple Pie Margarita Cups</t>
  </si>
  <si>
    <t>Cinnamon</t>
  </si>
  <si>
    <t>Cherry Popper 4</t>
  </si>
  <si>
    <t>8 oz Black Cherry Soda</t>
  </si>
  <si>
    <t>Black Cherry Soda</t>
  </si>
  <si>
    <t>Top up with Champagne</t>
  </si>
  <si>
    <t>Top up with</t>
  </si>
  <si>
    <t>As Night Falls</t>
  </si>
  <si>
    <t>2 Coriander Leaves</t>
  </si>
  <si>
    <t>Coriander Leaves</t>
  </si>
  <si>
    <t>Tropical Fluff</t>
  </si>
  <si>
    <t>Ours is the Fury Cocktail</t>
  </si>
  <si>
    <t>The Highland Fling</t>
  </si>
  <si>
    <t>10ml Sweet Vermouth</t>
  </si>
  <si>
    <t>Shochu Old-Fashioned</t>
  </si>
  <si>
    <t>2.25 ounces Satsuma Kuradashi Genshu sweet potato shochu</t>
  </si>
  <si>
    <t>Satsuma Kuradashi Genshu sweet potato shochu</t>
  </si>
  <si>
    <t>Pancake Shot</t>
  </si>
  <si>
    <t>Grand marnier 1 splash</t>
  </si>
  <si>
    <t>Grand marnier</t>
  </si>
  <si>
    <t>Black Gin</t>
  </si>
  <si>
    <t>2 tsp Sweet Vermouth</t>
  </si>
  <si>
    <t>Giant Long Beach Iced Tea</t>
  </si>
  <si>
    <t>Sweet &amp; sour 4 oz</t>
  </si>
  <si>
    <t>Aperol Schuhmann</t>
  </si>
  <si>
    <t>2 cl Lemon Juice</t>
  </si>
  <si>
    <t>Angels Tit</t>
  </si>
  <si>
    <t>10 ml Maraschino Liqueur</t>
  </si>
  <si>
    <t>Bitter Elder</t>
  </si>
  <si>
    <t>75 ml Apple Juice</t>
  </si>
  <si>
    <t>1 oz Bourbon Whiskey</t>
  </si>
  <si>
    <t>Strawberry Knockout</t>
  </si>
  <si>
    <t>Champagne Holiday Punch</t>
  </si>
  <si>
    <t>1 cup club soda</t>
  </si>
  <si>
    <t>Apple Berry Smoothie</t>
  </si>
  <si>
    <t>1 cup Berries</t>
  </si>
  <si>
    <t>Berries</t>
  </si>
  <si>
    <t>Manuka Maple Sour Cocktail</t>
  </si>
  <si>
    <t>0.67 ounce maple syrup</t>
  </si>
  <si>
    <t>Kiwi Martini</t>
  </si>
  <si>
    <t>0.5 Kiwi</t>
  </si>
  <si>
    <t>Miami Vice</t>
  </si>
  <si>
    <t>White rum 2 oz</t>
  </si>
  <si>
    <t>Cherry Smash</t>
  </si>
  <si>
    <t>2 fluid ounces rye whiskey</t>
  </si>
  <si>
    <t>Butterscotch Milk Punch</t>
  </si>
  <si>
    <t>.5 oz Scotch Whiskey</t>
  </si>
  <si>
    <t>1 tsp of sugar</t>
  </si>
  <si>
    <t>La Sirena Clandestinas Amaro Cocktail</t>
  </si>
  <si>
    <t>1 oz walnut liqueur</t>
  </si>
  <si>
    <t>walnut liqueur</t>
  </si>
  <si>
    <t>1 ounce sweet vermouth, preferably Cocchi Torino</t>
  </si>
  <si>
    <t>sweet vermouth</t>
  </si>
  <si>
    <t xml:space="preserve"> , preferably Cocchi Torino </t>
  </si>
  <si>
    <t>Fiddlers Toast</t>
  </si>
  <si>
    <t>Big Kev's Texas-Style Long Island Iced Tea</t>
  </si>
  <si>
    <t>1 fluid ounce dry gin</t>
  </si>
  <si>
    <t>dry gin</t>
  </si>
  <si>
    <t>Hot Gold</t>
  </si>
  <si>
    <t>Choc-O-Nut Shake</t>
  </si>
  <si>
    <t>Tanqueray &amp; Tonic - Calorie Conscious</t>
  </si>
  <si>
    <t>Blue Denim</t>
  </si>
  <si>
    <t>2 Dash Bitters</t>
  </si>
  <si>
    <t>Strawberry Margarita Colada</t>
  </si>
  <si>
    <t>Reposado Paloma</t>
  </si>
  <si>
    <t>50ml Don Julio Reposado Tequila</t>
  </si>
  <si>
    <t>Reposado Tequila</t>
  </si>
  <si>
    <t>El Tropical Mango Margarita</t>
  </si>
  <si>
    <t>1 lime wedge and paper umbrella for garnish</t>
  </si>
  <si>
    <t>lime wedge|paper umbrella</t>
  </si>
  <si>
    <t>and|for garnish</t>
  </si>
  <si>
    <t>Brass Monkey</t>
  </si>
  <si>
    <t>0.5 oz of Vodka</t>
  </si>
  <si>
    <t>Granny Smith`s Best Apple Martini</t>
  </si>
  <si>
    <t>2 Slice Apple</t>
  </si>
  <si>
    <t>Magic Mountain Dew</t>
  </si>
  <si>
    <t>Mountain dew 2 l</t>
  </si>
  <si>
    <t>Mountain dew</t>
  </si>
  <si>
    <t>Lazy Day Colada</t>
  </si>
  <si>
    <t>1 part Cruzan Aged Light Rum</t>
  </si>
  <si>
    <t>Cruzan Aged Light Rum</t>
  </si>
  <si>
    <t>Thyme sprig, for garnish</t>
  </si>
  <si>
    <t>Thyme</t>
  </si>
  <si>
    <t>Bee's Knees Cocktail</t>
  </si>
  <si>
    <t>Cinco de Mayo Party Punch</t>
  </si>
  <si>
    <t>Jolly Rancher Slush Shots</t>
  </si>
  <si>
    <t>Sour apple pucker 1 oz</t>
  </si>
  <si>
    <t>Sour apple pucker</t>
  </si>
  <si>
    <t>Wallaby-Darned</t>
  </si>
  <si>
    <t>0.5 cup champagne</t>
  </si>
  <si>
    <t>Steel Vomit</t>
  </si>
  <si>
    <t>2 oz Peppermint and Hot Cinnamon Schnapps</t>
  </si>
  <si>
    <t>Peppermint|Hot Cinnamon Schnapps</t>
  </si>
  <si>
    <t>and</t>
  </si>
  <si>
    <t>Hershey Nugget Martini</t>
  </si>
  <si>
    <t>Pecans</t>
  </si>
  <si>
    <t>Blue Dragonfly</t>
  </si>
  <si>
    <t>Medd</t>
  </si>
  <si>
    <t>60 g Yeast</t>
  </si>
  <si>
    <t>Yeast</t>
  </si>
  <si>
    <t>Sun Stealer</t>
  </si>
  <si>
    <t>0.75 part Sweet vermouth</t>
  </si>
  <si>
    <t>Saratoga Brace Up</t>
  </si>
  <si>
    <t>1 tsp Absinthe or Anise liqueur</t>
  </si>
  <si>
    <t>Beautiful Side Ride</t>
  </si>
  <si>
    <t>0.5 Bar Spoon Horseradish Sauce</t>
  </si>
  <si>
    <t>Bar Spoon</t>
  </si>
  <si>
    <t>Horseradish Sauce</t>
  </si>
  <si>
    <t>1 pinch ground nutmeg</t>
  </si>
  <si>
    <t>ground</t>
  </si>
  <si>
    <t>3 cl gin - I used Tanqueray</t>
  </si>
  <si>
    <t>Easy Bay Breeze Cocktail</t>
  </si>
  <si>
    <t>1 teaspoon maple syrup or simple syrup</t>
  </si>
  <si>
    <t>maple syrup|simple syrup</t>
  </si>
  <si>
    <t>Full House</t>
  </si>
  <si>
    <t>20 ml Apple Whiskey</t>
  </si>
  <si>
    <t>Apple Whiskey</t>
  </si>
  <si>
    <t>Swedish Christmas Glogg</t>
  </si>
  <si>
    <t>1 cup raisins</t>
  </si>
  <si>
    <t>raisins</t>
  </si>
  <si>
    <t>Tzatzikitini Cocktail</t>
  </si>
  <si>
    <t>Dash of Salt</t>
  </si>
  <si>
    <t>Chartreuse Swizzle</t>
  </si>
  <si>
    <t>1.5 cl Wray and Nephew over proof rum</t>
  </si>
  <si>
    <t>over proof rum</t>
  </si>
  <si>
    <t>Wray and Nephew</t>
  </si>
  <si>
    <t>Ancient Mariner</t>
  </si>
  <si>
    <t>1 ounce demerara rum</t>
  </si>
  <si>
    <t>demerara rum</t>
  </si>
  <si>
    <t>Rose Sangria</t>
  </si>
  <si>
    <t>0.5 cup strawberries , sliced</t>
  </si>
  <si>
    <t>sliced</t>
  </si>
  <si>
    <t>The Grinch Hot Chocolate</t>
  </si>
  <si>
    <t>Candy</t>
  </si>
  <si>
    <t>Beauty On The Beach</t>
  </si>
  <si>
    <t>2 Dash Orange Bitters</t>
  </si>
  <si>
    <t>Orange Bitters</t>
  </si>
  <si>
    <t>Red Light Negroni</t>
  </si>
  <si>
    <t>1 oz Sweet Vermouth</t>
  </si>
  <si>
    <t>Hand Grenade Cocktail</t>
  </si>
  <si>
    <t>My Father's Lime Daiquiri</t>
  </si>
  <si>
    <t>10 fluid ounces white rum</t>
  </si>
  <si>
    <t>1 lemon peel or wheel</t>
  </si>
  <si>
    <t>lemon peel or wheel</t>
  </si>
  <si>
    <t>Black Bottom</t>
  </si>
  <si>
    <t>0.25 oz Blackberry Brandy</t>
  </si>
  <si>
    <t>Champagne Cobbler</t>
  </si>
  <si>
    <t>Spring Walker Highball (1)</t>
  </si>
  <si>
    <t>25ml Ginger Ale</t>
  </si>
  <si>
    <t>Ginger Ale</t>
  </si>
  <si>
    <t>Bumbo</t>
  </si>
  <si>
    <t>0.25 tsp Nutmeg</t>
  </si>
  <si>
    <t>Bird Bomb</t>
  </si>
  <si>
    <t>8 oz Lemonade</t>
  </si>
  <si>
    <t>Banana Sandwich</t>
  </si>
  <si>
    <t>0.33 oz Creme De Bananes</t>
  </si>
  <si>
    <t>Johns Blend</t>
  </si>
  <si>
    <t>0.25 ounce cacao simple syrup</t>
  </si>
  <si>
    <t>cacao simple syrup</t>
  </si>
  <si>
    <t>Pokemon Go Flareon</t>
  </si>
  <si>
    <t>Tapos</t>
  </si>
  <si>
    <t>30ml Mr Black Coffee Liqueur</t>
  </si>
  <si>
    <t>Mr Black</t>
  </si>
  <si>
    <t>Darkbloom Recipe</t>
  </si>
  <si>
    <t>40ml Coconut Oil Washed Johnnie Walker Black</t>
  </si>
  <si>
    <t>Coconut Oil Washed Johnnie Walker Black</t>
  </si>
  <si>
    <t>1 lemon, sliced into rounds</t>
  </si>
  <si>
    <t>sliced into rounds</t>
  </si>
  <si>
    <t>Mulled Haig</t>
  </si>
  <si>
    <t>15ml Tawny port</t>
  </si>
  <si>
    <t>Tawny port</t>
  </si>
  <si>
    <t>Orchid Seed</t>
  </si>
  <si>
    <t>50ml Freshly extracted Pink Lady juice</t>
  </si>
  <si>
    <t>Pink Lady juice</t>
  </si>
  <si>
    <t>Freshly</t>
  </si>
  <si>
    <t>Malibu Italian Surfer</t>
  </si>
  <si>
    <t>Black Pearl's 'The Hand in Hand'</t>
  </si>
  <si>
    <t>150ml dilution</t>
  </si>
  <si>
    <t>dilution</t>
  </si>
  <si>
    <t>Cantaloupe Paloma</t>
  </si>
  <si>
    <t>Brotherhood</t>
  </si>
  <si>
    <t>1.5 ounces Michael Collins blended Irish whiskey</t>
  </si>
  <si>
    <t>blended Irish whiskey</t>
  </si>
  <si>
    <t>Michael Collins</t>
  </si>
  <si>
    <t>Suffering Bastard</t>
  </si>
  <si>
    <t>Ginger beer , to top</t>
  </si>
  <si>
    <t>Ginger beer</t>
  </si>
  <si>
    <t>Carrot Shrub</t>
  </si>
  <si>
    <t>1.25 ounces carrot juice</t>
  </si>
  <si>
    <t>Strawberry Wine Slush</t>
  </si>
  <si>
    <t>Simple syrup 1 splash</t>
  </si>
  <si>
    <t>Vodka Collins</t>
  </si>
  <si>
    <t>1.5 parts Pinnacle Original Vodka</t>
  </si>
  <si>
    <t>Pinnacle Original Vodka</t>
  </si>
  <si>
    <t>Porn Star Martini</t>
  </si>
  <si>
    <t>50ml Champagne</t>
  </si>
  <si>
    <t>South for the Winter: A Clarified Punch</t>
  </si>
  <si>
    <t>1.5 oz fresh lime juice</t>
  </si>
  <si>
    <t>Anchors Away</t>
  </si>
  <si>
    <t>1 Slice Pineapple</t>
  </si>
  <si>
    <t>Just Friends: A Jungle Bird Riff</t>
  </si>
  <si>
    <t>Ramos Gin Fizz</t>
  </si>
  <si>
    <t>0.25 teaspoon orange flower water (orange blossom water)</t>
  </si>
  <si>
    <t>orange flower water</t>
  </si>
  <si>
    <t>(orange blossom water)</t>
  </si>
  <si>
    <t>Chris` Flaming Skull</t>
  </si>
  <si>
    <t>Planter`s Punch</t>
  </si>
  <si>
    <t>1 oz White Rum</t>
  </si>
  <si>
    <t>Hpnotiq 1 oz</t>
  </si>
  <si>
    <t>Hpnotiq</t>
  </si>
  <si>
    <t>Amarula Colada</t>
  </si>
  <si>
    <t>1 oz Coconut Milk</t>
  </si>
  <si>
    <t>Coconut Milk</t>
  </si>
  <si>
    <t>Meloncholia</t>
  </si>
  <si>
    <t>2 dashes habanero tincture (see Editor's Note)</t>
  </si>
  <si>
    <t>habanero tincture</t>
  </si>
  <si>
    <t>Ten Spot</t>
  </si>
  <si>
    <t>1.5 oz Gin</t>
  </si>
  <si>
    <t>Pumpkin Spice Latte Pudding Shots</t>
  </si>
  <si>
    <t>Pumpkin spice liqueur 1 oz</t>
  </si>
  <si>
    <t>Pumpkin spice liqueur</t>
  </si>
  <si>
    <t>Melon Mimosa</t>
  </si>
  <si>
    <t>Champagne 4 oz</t>
  </si>
  <si>
    <t>Irish Coffee</t>
  </si>
  <si>
    <t>6 oz Hot Coffee</t>
  </si>
  <si>
    <t>Coffee</t>
  </si>
  <si>
    <t>Gin Mojito</t>
  </si>
  <si>
    <t>Suntory Cocktail</t>
  </si>
  <si>
    <t>Drunken Barney</t>
  </si>
  <si>
    <t>Coconut rum 2 oz</t>
  </si>
  <si>
    <t>Coconut rum</t>
  </si>
  <si>
    <t>1 part Passion fruit puree</t>
  </si>
  <si>
    <t>Passion fruit puree</t>
  </si>
  <si>
    <t>Caribbean Delight</t>
  </si>
  <si>
    <t>12 oz Lemonade</t>
  </si>
  <si>
    <t>Death Flip</t>
  </si>
  <si>
    <t>0.5 ounce yellow Chartreuse</t>
  </si>
  <si>
    <t>yellow Chartreuse</t>
  </si>
  <si>
    <t>Fresh Post: A Gin Highball</t>
  </si>
  <si>
    <t>3 cucumber wheels</t>
  </si>
  <si>
    <t>wheels</t>
  </si>
  <si>
    <t>Liquid Marijuana</t>
  </si>
  <si>
    <t>0.5 oz of blue curacao liqueur</t>
  </si>
  <si>
    <t>blue curacao liqueur</t>
  </si>
  <si>
    <t>Hennessy and Cherry Coke</t>
  </si>
  <si>
    <t>7.5 ounce Cherry Cola</t>
  </si>
  <si>
    <t>Cucumber Mojito</t>
  </si>
  <si>
    <t>4.5 oz Soda Water</t>
  </si>
  <si>
    <t>Island Punch</t>
  </si>
  <si>
    <t>Twelve Days of Yule</t>
  </si>
  <si>
    <t>5ml Pimento liqueur</t>
  </si>
  <si>
    <t>Pimento liqueur</t>
  </si>
  <si>
    <t>0.75 part Gin</t>
  </si>
  <si>
    <t>The Ultimate Super Bowl Punch</t>
  </si>
  <si>
    <t>Watermelon</t>
  </si>
  <si>
    <t>The Life Saver Long Island Iced Tea</t>
  </si>
  <si>
    <t>Island pucker 0.5 oz</t>
  </si>
  <si>
    <t>Island pucker</t>
  </si>
  <si>
    <t>Detropolitan</t>
  </si>
  <si>
    <t>12.5 ml Lime Juice</t>
  </si>
  <si>
    <t>In the Name of the Moon</t>
  </si>
  <si>
    <t>1 ounce brandy or whiskey</t>
  </si>
  <si>
    <t>brandy|whiskey</t>
  </si>
  <si>
    <t>Sipsmith Negroni</t>
  </si>
  <si>
    <t>Garnish: Orange Peel</t>
  </si>
  <si>
    <t>Congressmans Lunch</t>
  </si>
  <si>
    <t>1 part Gin or Vodka</t>
  </si>
  <si>
    <t>Gin|Vodka</t>
  </si>
  <si>
    <t>Italian Nut</t>
  </si>
  <si>
    <t>M GIN &amp; TONIC</t>
  </si>
  <si>
    <t>Screwdriver</t>
  </si>
  <si>
    <t>Lime wedge</t>
  </si>
  <si>
    <t>Nutty Irishman Shot</t>
  </si>
  <si>
    <t>Green Dream</t>
  </si>
  <si>
    <t>1.5 cups cracked ice</t>
  </si>
  <si>
    <t>Bag of Filth</t>
  </si>
  <si>
    <t>Crushed Ice</t>
  </si>
  <si>
    <t>Chocolate Cake Shot #2</t>
  </si>
  <si>
    <t>The Martini</t>
  </si>
  <si>
    <t>2 oz Gin</t>
  </si>
  <si>
    <t>Mint Apple Crisp</t>
  </si>
  <si>
    <t>Butternut Pumpkin Salt</t>
  </si>
  <si>
    <t>500gm flake salt</t>
  </si>
  <si>
    <t>gm</t>
  </si>
  <si>
    <t>flake salt</t>
  </si>
  <si>
    <t>Godmother</t>
  </si>
  <si>
    <t>35 ml Amaretto</t>
  </si>
  <si>
    <t>Gin Refresher</t>
  </si>
  <si>
    <t>4 thin slices cucumber</t>
  </si>
  <si>
    <t>cucumber slices</t>
  </si>
  <si>
    <t>Strawberry Contessa</t>
  </si>
  <si>
    <t>1 part Strawberry syrup</t>
  </si>
  <si>
    <t>Ketel One Flying Dutchman</t>
  </si>
  <si>
    <t>35ml Ketel One Oranje Flavoured Vodka</t>
  </si>
  <si>
    <t>Ketel One Oranje Flavoured Vodka</t>
  </si>
  <si>
    <t>Kahlua and Baileys Bliss</t>
  </si>
  <si>
    <t>or Chocolate Syrup for garnish</t>
  </si>
  <si>
    <t>Chocolate Syrup</t>
  </si>
  <si>
    <t>or|for garnish</t>
  </si>
  <si>
    <t>Spanish Sangria</t>
  </si>
  <si>
    <t>Orange, lemon and lime cut into wedges for garnish</t>
  </si>
  <si>
    <t xml:space="preserve"> Orange|lemon|lime         </t>
  </si>
  <si>
    <t>,|and|cut into|for garnish</t>
  </si>
  <si>
    <t>Ciroc Lemon Drop</t>
  </si>
  <si>
    <t>El Presidente Variation: Walter Mondale</t>
  </si>
  <si>
    <t>1 oz amontillado sherry</t>
  </si>
  <si>
    <t>Mona-Lisa</t>
  </si>
  <si>
    <t>1 Part Lemon Soda</t>
  </si>
  <si>
    <t>Lemon Soda</t>
  </si>
  <si>
    <t>Hotel Nacional Cocktail</t>
  </si>
  <si>
    <t>Baja Tiki</t>
  </si>
  <si>
    <t>Light rum 1 oz</t>
  </si>
  <si>
    <t>Midori Sour Jello Shot</t>
  </si>
  <si>
    <t>Cherries</t>
  </si>
  <si>
    <t>Kentucky Mule</t>
  </si>
  <si>
    <t>Garnish: mint sprig</t>
  </si>
  <si>
    <t>2 ounces reposado tequila</t>
  </si>
  <si>
    <t>Straw Dog</t>
  </si>
  <si>
    <t>1 whole Strawberry</t>
  </si>
  <si>
    <t>Kirstin's Favorite Black Cherry Martini</t>
  </si>
  <si>
    <t>2 fluid ounces black cherry juice</t>
  </si>
  <si>
    <t>black cherry juice</t>
  </si>
  <si>
    <t>Johnny Blaze</t>
  </si>
  <si>
    <t>0.25 ounce agave syrup</t>
  </si>
  <si>
    <t>Marama</t>
  </si>
  <si>
    <t>Pool Party Punch</t>
  </si>
  <si>
    <t>Devil's Punch</t>
  </si>
  <si>
    <t>1 ounce sour mix</t>
  </si>
  <si>
    <t>sour mix</t>
  </si>
  <si>
    <t>Spicy Maracuya</t>
  </si>
  <si>
    <t>15ml Passion fruit juice</t>
  </si>
  <si>
    <t>Passion fruit juice</t>
  </si>
  <si>
    <t>Dangriga Fizz</t>
  </si>
  <si>
    <t>Hand in Hand (750ml Bottled Cocktail Recipe)</t>
  </si>
  <si>
    <t>90ml strawberry oleo</t>
  </si>
  <si>
    <t>strawberry oleo</t>
  </si>
  <si>
    <t>Campbeltown Sour</t>
  </si>
  <si>
    <t>0.5 oz fresh lemon juice</t>
  </si>
  <si>
    <t>1 slice Lemon</t>
  </si>
  <si>
    <t>All Rights Reserved: A Blueberry Cocktail</t>
  </si>
  <si>
    <t>0.5 oz mezcal</t>
  </si>
  <si>
    <t>Orange Crush #1</t>
  </si>
  <si>
    <t>Negroni Hawaiiana</t>
  </si>
  <si>
    <t>0.25 oz Campari</t>
  </si>
  <si>
    <t>Absolut Train Wreck</t>
  </si>
  <si>
    <t>.5 oz Vodka</t>
  </si>
  <si>
    <t>Witch's Brew</t>
  </si>
  <si>
    <t>Gummy worms to garnish</t>
  </si>
  <si>
    <t>Gummy worms</t>
  </si>
  <si>
    <t>Colorado Bulldog Cocktail</t>
  </si>
  <si>
    <t>1 ounce light cream or milk</t>
  </si>
  <si>
    <t>light cream|milk</t>
  </si>
  <si>
    <t>The Slope</t>
  </si>
  <si>
    <t>2.5 ounces rye</t>
  </si>
  <si>
    <t>3 Fingers of Ron Burgundy</t>
  </si>
  <si>
    <t>0.5 ounce Giffard Banane du Bresil</t>
  </si>
  <si>
    <t>Giffard Banane du Bresil</t>
  </si>
  <si>
    <t>Chase Your Tequila With a Sangrita Shot</t>
  </si>
  <si>
    <t>0.5 ounce grenadine</t>
  </si>
  <si>
    <t>grenadine</t>
  </si>
  <si>
    <t>Pineapple Rum Cocktail</t>
  </si>
  <si>
    <t>Canado Saludo</t>
  </si>
  <si>
    <t>Jamaica Me Crazy</t>
  </si>
  <si>
    <t>.5 oz Coffee Liqueur</t>
  </si>
  <si>
    <t>A Southern Screw</t>
  </si>
  <si>
    <t>6 oz Orange Juice</t>
  </si>
  <si>
    <t>Fine &amp; Dandy</t>
  </si>
  <si>
    <t>15ml Lime Juice</t>
  </si>
  <si>
    <t>The Big Smoke</t>
  </si>
  <si>
    <t>Flaming Lamborghini</t>
  </si>
  <si>
    <t>1 oz Kahlua</t>
  </si>
  <si>
    <t>Guavarita</t>
  </si>
  <si>
    <t>1.5 oz Blanco Tequila</t>
  </si>
  <si>
    <t>Perfect Cocktail</t>
  </si>
  <si>
    <t>2.5 ounces pineapple juice</t>
  </si>
  <si>
    <t>Heaviest Weight</t>
  </si>
  <si>
    <t>0.75 part Pineapple juice</t>
  </si>
  <si>
    <t>Seelbach</t>
  </si>
  <si>
    <t>2 oz Dark Rum</t>
  </si>
  <si>
    <t>Tanqueray Gimlet</t>
  </si>
  <si>
    <t>15ml Lime Cordial</t>
  </si>
  <si>
    <t>Lime Cordial</t>
  </si>
  <si>
    <t>Drain Pipe Shot</t>
  </si>
  <si>
    <t>Irish cream 1 part</t>
  </si>
  <si>
    <t>Burning Pine Needles</t>
  </si>
  <si>
    <t>Strawberry Mojito</t>
  </si>
  <si>
    <t>Peach Sangria</t>
  </si>
  <si>
    <t>Splash of Soda Water</t>
  </si>
  <si>
    <t>Dancing in the Pale Moonlight</t>
  </si>
  <si>
    <t>12.5ml Lemon Juice</t>
  </si>
  <si>
    <t>Silverback Fizz</t>
  </si>
  <si>
    <t>Hibiscus Fresca</t>
  </si>
  <si>
    <t>15ml Honey syrup</t>
  </si>
  <si>
    <t>Rose Martini</t>
  </si>
  <si>
    <t>Rose petal or lemon twist, for garnish</t>
  </si>
  <si>
    <t>Rose petal|lemon twist</t>
  </si>
  <si>
    <t>or|, for garnish</t>
  </si>
  <si>
    <t>Blue Hawaiian Cocktail</t>
  </si>
  <si>
    <t>1 oz Coconut Cream</t>
  </si>
  <si>
    <t>Tropical Cooler</t>
  </si>
  <si>
    <t>25 ml Melon Liqueur</t>
  </si>
  <si>
    <t>Toxic Antifreeze</t>
  </si>
  <si>
    <t>Sobacha Chu-Hai</t>
  </si>
  <si>
    <t>0.75 ounce lemon cordial</t>
  </si>
  <si>
    <t>lemon cordial</t>
  </si>
  <si>
    <t>Black Beauty</t>
  </si>
  <si>
    <t>0.5 part Jim Beam Black</t>
  </si>
  <si>
    <t>Jim Beam Black</t>
  </si>
  <si>
    <t>Blimey</t>
  </si>
  <si>
    <t>2 oz Scotch Whiskey</t>
  </si>
  <si>
    <t>Bootzilla</t>
  </si>
  <si>
    <t>.5 oz Peach Schnapps</t>
  </si>
  <si>
    <t>Cherry Screwdriver</t>
  </si>
  <si>
    <t>12.5 ml Benedictine</t>
  </si>
  <si>
    <t>Marijuana Leaf Shaped Jello Shots</t>
  </si>
  <si>
    <t>Water 1 cup</t>
  </si>
  <si>
    <t>Poinsettia Champagne Cocktail</t>
  </si>
  <si>
    <t>Mai Tai 3</t>
  </si>
  <si>
    <t>Petronio</t>
  </si>
  <si>
    <t>0.5 ounce lemon juice , freshly squeezed</t>
  </si>
  <si>
    <t>Blended Aperol Spritz</t>
  </si>
  <si>
    <t>3 ounces sparkling wine</t>
  </si>
  <si>
    <t>Cape Cod Sour Squishy</t>
  </si>
  <si>
    <t>1.5 oz Sours</t>
  </si>
  <si>
    <t>JOHNNIE WALKER BLOOD ORANGE</t>
  </si>
  <si>
    <t>15ml Freshly Squeezed Orange Juice</t>
  </si>
  <si>
    <t>Squeezed</t>
  </si>
  <si>
    <t>Mezcal Paleta</t>
  </si>
  <si>
    <t>3 fresh cucumber wheels</t>
  </si>
  <si>
    <t>All Puckered Out</t>
  </si>
  <si>
    <t>1 Can Ginger Ale</t>
  </si>
  <si>
    <t>Can</t>
  </si>
  <si>
    <t>Beachy Peachy Sangria</t>
  </si>
  <si>
    <t>Pineapple juice 12 oz</t>
  </si>
  <si>
    <t>Sour Apple Popsicle Martini</t>
  </si>
  <si>
    <t>3 parts Cream</t>
  </si>
  <si>
    <t>Butterscotch White Russian</t>
  </si>
  <si>
    <t>Hot Scotch</t>
  </si>
  <si>
    <t>1.5 oz Whipped Cream</t>
  </si>
  <si>
    <t>Salty Dog</t>
  </si>
  <si>
    <t>0.25 tsp Salt</t>
  </si>
  <si>
    <t>Hold Your Horses: A Wintry Old Fashioned</t>
  </si>
  <si>
    <t>0.25 oz fig syrup</t>
  </si>
  <si>
    <t>fig syrup</t>
  </si>
  <si>
    <t>Eeyore's Requiem</t>
  </si>
  <si>
    <t>1 ounce blanc vermouth, preferably Dolin</t>
  </si>
  <si>
    <t>Classic Canadian Caesar</t>
  </si>
  <si>
    <t>1 celery stick</t>
  </si>
  <si>
    <t>celery stick</t>
  </si>
  <si>
    <t>Homemade Nocino Recipe</t>
  </si>
  <si>
    <t>Burt Reynolds Cocktail</t>
  </si>
  <si>
    <t>.75 oz Coconut Rum</t>
  </si>
  <si>
    <t>Big Dipper</t>
  </si>
  <si>
    <t>H-Bomb</t>
  </si>
  <si>
    <t>Plum</t>
  </si>
  <si>
    <t>0.5 ounce Miso Syrup</t>
  </si>
  <si>
    <t>Miso Syrup</t>
  </si>
  <si>
    <t>Flaming Cornholio</t>
  </si>
  <si>
    <t>.5 Gallon Orange Juice</t>
  </si>
  <si>
    <t>Gallon</t>
  </si>
  <si>
    <t>Cake Batter Martini</t>
  </si>
  <si>
    <t>White chocolate liqueur 0.5 oz</t>
  </si>
  <si>
    <t>White chocolate liqueur</t>
  </si>
  <si>
    <t>Big Booty Shake</t>
  </si>
  <si>
    <t>0.75 Cup Chocolate Ice Cream</t>
  </si>
  <si>
    <t>Chocolate Ice Cream</t>
  </si>
  <si>
    <t>Rockin` Killer Koolaid</t>
  </si>
  <si>
    <t>Red Death</t>
  </si>
  <si>
    <t>1 dashes Angostura bitters</t>
  </si>
  <si>
    <t>Tanqueray Rangpur &amp; Tonic with Lemon &amp; Raspberry</t>
  </si>
  <si>
    <t>200ml Tonic Water</t>
  </si>
  <si>
    <t>Champagne Gem</t>
  </si>
  <si>
    <t>1 tsp tsp Creme De Menthe</t>
  </si>
  <si>
    <t>Hurricane Sunrise</t>
  </si>
  <si>
    <t>1.5 oz of Bacardi dark rum</t>
  </si>
  <si>
    <t>Bacardi dark rum</t>
  </si>
  <si>
    <t>Jager Bomb</t>
  </si>
  <si>
    <t>100 ml Energy Drink</t>
  </si>
  <si>
    <t>Energy Drink</t>
  </si>
  <si>
    <t>Slivovitz Sour</t>
  </si>
  <si>
    <t>1 part Egg white or Aquafaba</t>
  </si>
  <si>
    <t>GreenRiver Cocktail: Time Release</t>
  </si>
  <si>
    <t>0.25 oz yellow Chartreuse</t>
  </si>
  <si>
    <t>Oh! Canada Non-Alcoholic Cocktail</t>
  </si>
  <si>
    <t>0.5 oz lime juice (squeeze of half lime)</t>
  </si>
  <si>
    <t>(squeeze of half lime)</t>
  </si>
  <si>
    <t>Raspberry liqueur 0.5 oz</t>
  </si>
  <si>
    <t>Raspberry liqueur</t>
  </si>
  <si>
    <t>Easy Rootbeer Float</t>
  </si>
  <si>
    <t>1 oz Vanilla Schnapps</t>
  </si>
  <si>
    <t>Vanilla Schnapps</t>
  </si>
  <si>
    <t>Billy's Favorite Gingerbread Spiced Coffee Syrup</t>
  </si>
  <si>
    <t>1 tablespoon honey</t>
  </si>
  <si>
    <t>honey</t>
  </si>
  <si>
    <t>2 parts Fresh Lemon Juice</t>
  </si>
  <si>
    <t>The Bull Old Fashioned</t>
  </si>
  <si>
    <t>Attack of the Banantulas</t>
  </si>
  <si>
    <t>1 cup pebble ice</t>
  </si>
  <si>
    <t>pebble</t>
  </si>
  <si>
    <t>Dons Mai Tai</t>
  </si>
  <si>
    <t>1 heaping ounce aged Jamaican rum, preferably Appleton 8-year</t>
  </si>
  <si>
    <t>aged Jamaican rum</t>
  </si>
  <si>
    <t>heaping|, preferably Appleton 8-year</t>
  </si>
  <si>
    <t>Casablanca</t>
  </si>
  <si>
    <t>4 oz of Pineapple Juice</t>
  </si>
  <si>
    <t>Martini</t>
  </si>
  <si>
    <t>1 Olive</t>
  </si>
  <si>
    <t>Olive</t>
  </si>
  <si>
    <t>2 cubes Pineapple</t>
  </si>
  <si>
    <t>Frozen Banana Foster</t>
  </si>
  <si>
    <t>Imitation of a Daydream</t>
  </si>
  <si>
    <t>0.75 ounce Lustau fino sherry</t>
  </si>
  <si>
    <t>fino sherry</t>
  </si>
  <si>
    <t>Lustau</t>
  </si>
  <si>
    <t>Chartreuse Chocolate Kiss</t>
  </si>
  <si>
    <t>1 Pinch Chocolate Shavings</t>
  </si>
  <si>
    <t>Mezcal Negroni</t>
  </si>
  <si>
    <t>1 ounce sweet or semi-sweet red vermouth</t>
  </si>
  <si>
    <t>sweet or semi-sweet red vermouth</t>
  </si>
  <si>
    <t>Mistolin</t>
  </si>
  <si>
    <t>1 Splash Cranberry Juice</t>
  </si>
  <si>
    <t>Beet Rose</t>
  </si>
  <si>
    <t>mint sprig</t>
  </si>
  <si>
    <t>Virga</t>
  </si>
  <si>
    <t>1 part Watermelon juice</t>
  </si>
  <si>
    <t>Watermelon juice</t>
  </si>
  <si>
    <t>Whiskey Ginger Cocktail</t>
  </si>
  <si>
    <t>2 fluid ounces ginger ale, or to taste</t>
  </si>
  <si>
    <t>ginger ale</t>
  </si>
  <si>
    <t>, or to taste</t>
  </si>
  <si>
    <t>Sunset at Gowanus</t>
  </si>
  <si>
    <t>0.25 part Yellow herbal liqueur</t>
  </si>
  <si>
    <t>Yellow herbal liqueur</t>
  </si>
  <si>
    <t>Lemon and/or lime wedge, for garnish</t>
  </si>
  <si>
    <t>Lemon|lime</t>
  </si>
  <si>
    <t>and/or|, for garnish</t>
  </si>
  <si>
    <t>Blood Orange Cosmo</t>
  </si>
  <si>
    <t>15ml Triple Sec Liqueur</t>
  </si>
  <si>
    <t>Triple Sec Liqueur</t>
  </si>
  <si>
    <t>Metropolitan</t>
  </si>
  <si>
    <t>Blanco Cantaloupe Melon</t>
  </si>
  <si>
    <t>1 oz dry vermouth</t>
  </si>
  <si>
    <t>1 fluid ounce lemon juice</t>
  </si>
  <si>
    <t>Christer Petterson</t>
  </si>
  <si>
    <t>20 ml Irish Cream</t>
  </si>
  <si>
    <t>Kentucky Longshot</t>
  </si>
  <si>
    <t>2 dashes Aromatic bitters or Creole bitters</t>
  </si>
  <si>
    <t>Aromatic bitters|Creole bitters</t>
  </si>
  <si>
    <t>Apple Tackle Sangria</t>
  </si>
  <si>
    <t>0.5 cups Ginger Brandy</t>
  </si>
  <si>
    <t>Ginger Brandy</t>
  </si>
  <si>
    <t>20ml Fresh orange juice</t>
  </si>
  <si>
    <t>Grand Orange-Cognac Liqueur</t>
  </si>
  <si>
    <t>2 Cup Brandy</t>
  </si>
  <si>
    <t>Frozen Margarita</t>
  </si>
  <si>
    <t>2 parts Tequila</t>
  </si>
  <si>
    <t>Key Lime Colada</t>
  </si>
  <si>
    <t>Lime cream liqueur 0.5 oz</t>
  </si>
  <si>
    <t>Lime cream liqueur</t>
  </si>
  <si>
    <t>Lavender Old Fashioned</t>
  </si>
  <si>
    <t>2 tsp Lavender syrup</t>
  </si>
  <si>
    <t>Lavender syrup</t>
  </si>
  <si>
    <t>Tovarich Cocktail</t>
  </si>
  <si>
    <t>.5 Juice of Lime</t>
  </si>
  <si>
    <t>The Tom Nichol</t>
  </si>
  <si>
    <t>10ml Lemon Juice</t>
  </si>
  <si>
    <t>Blackjack</t>
  </si>
  <si>
    <t>1.5 oz Scotch Whiskey</t>
  </si>
  <si>
    <t>Ciroc Coconut Julep</t>
  </si>
  <si>
    <t>1 Fresh Mint Sprig (Garnish)</t>
  </si>
  <si>
    <t>Mint Sprig</t>
  </si>
  <si>
    <t>Fresa Freska</t>
  </si>
  <si>
    <t>John deBarys Singapore Sling</t>
  </si>
  <si>
    <t>1.5 ounces pineapple juice, preferably fresh</t>
  </si>
  <si>
    <t>, preferably fresh</t>
  </si>
  <si>
    <t>The Constable Shuffle</t>
  </si>
  <si>
    <t>.5 Pint Cider</t>
  </si>
  <si>
    <t>Cider</t>
  </si>
  <si>
    <t>Turquoise Thunderbird</t>
  </si>
  <si>
    <t>Blue curacao 0.75 oz</t>
  </si>
  <si>
    <t>Tiny Sparrow Martini</t>
  </si>
  <si>
    <t>0.75 ounce calamansi liqueur, preferably Manille Liqueur de Calamansi</t>
  </si>
  <si>
    <t>calamansi liqueur</t>
  </si>
  <si>
    <t>, preferably Manille Liqueur de Calamansi</t>
  </si>
  <si>
    <t>Reposado Ruby Red Margarita</t>
  </si>
  <si>
    <t>1 Tbsp Coarse Salt (Garnish)</t>
  </si>
  <si>
    <t>Coarse Salt</t>
  </si>
  <si>
    <t>Pina Colada - From Mix</t>
  </si>
  <si>
    <t>Unleash The Kraken</t>
  </si>
  <si>
    <t>Kraken rum 1 oz</t>
  </si>
  <si>
    <t>Kraken rum</t>
  </si>
  <si>
    <t>Black Temple</t>
  </si>
  <si>
    <t>1 oz Grenadine Syrup</t>
  </si>
  <si>
    <t>Smirnoff Kissed Creamy Caramel</t>
  </si>
  <si>
    <t>15ml Butterscotch liqueur</t>
  </si>
  <si>
    <t>Butterscotch liqueur</t>
  </si>
  <si>
    <t>Kentucky Coffee</t>
  </si>
  <si>
    <t>0.5 ounce honey liqueur</t>
  </si>
  <si>
    <t>honey liqueur</t>
  </si>
  <si>
    <t>Drunken Dirt Worm Cups</t>
  </si>
  <si>
    <t>Blue-Balled Frog</t>
  </si>
  <si>
    <t>White chocolate liqueur 2 oz</t>
  </si>
  <si>
    <t>Jeremiah's Bullfrog</t>
  </si>
  <si>
    <t>70ml Jeremiah Weed Sweet Tea Flavoured Vodka</t>
  </si>
  <si>
    <t>Sweet Tea Flavoured Vodka</t>
  </si>
  <si>
    <t>0.5 oz Strega</t>
  </si>
  <si>
    <t>Strega</t>
  </si>
  <si>
    <t>Vitamin C Brew</t>
  </si>
  <si>
    <t>Banana Hammock</t>
  </si>
  <si>
    <t>1 ounce lime juice</t>
  </si>
  <si>
    <t>Lusty Lady</t>
  </si>
  <si>
    <t>Apple Jack Ice Pops</t>
  </si>
  <si>
    <t>Jack daniels 3 oz</t>
  </si>
  <si>
    <t>Comfort Driver</t>
  </si>
  <si>
    <t>3 oz Peach Liqueur</t>
  </si>
  <si>
    <t>XXL Gummy Bear Jello Shots</t>
  </si>
  <si>
    <t>Non-stick spray</t>
  </si>
  <si>
    <t>Caribbean Surprise</t>
  </si>
  <si>
    <t>Pineapple juice 0.75 oz</t>
  </si>
  <si>
    <t>Double Your Pleasure. Double Your Fun</t>
  </si>
  <si>
    <t>Two-Piece Martini</t>
  </si>
  <si>
    <t>1 spritz sarsaparilla aromatic spray (see Editor's Note)</t>
  </si>
  <si>
    <t>spritz</t>
  </si>
  <si>
    <t>sarsaparilla aromatic spray</t>
  </si>
  <si>
    <t>Princess Morgan</t>
  </si>
  <si>
    <t>0.25 oz Creme De Bananes</t>
  </si>
  <si>
    <t>Homemade Triple Sec</t>
  </si>
  <si>
    <t>Alamo Splash</t>
  </si>
  <si>
    <t>.5 oz Apple Juice</t>
  </si>
  <si>
    <t>16 oz freshly squeezed pink grapefruit juice</t>
  </si>
  <si>
    <t>pink grapefruit juice</t>
  </si>
  <si>
    <t>Pink Lady Cocktail</t>
  </si>
  <si>
    <t>Maraschino cherry, for garnish</t>
  </si>
  <si>
    <t>Kilbeggan Brosna Sour</t>
  </si>
  <si>
    <t>2 parts Kilbeggan Single Grain Irish Whiskey</t>
  </si>
  <si>
    <t>Baby Aspirine of Humbolt</t>
  </si>
  <si>
    <t>5 oz Orange Juice</t>
  </si>
  <si>
    <t>Brain Tumor</t>
  </si>
  <si>
    <t>1 shot of Baileys</t>
  </si>
  <si>
    <t>Tropical Sangria</t>
  </si>
  <si>
    <t>The Monkey Gland</t>
  </si>
  <si>
    <t>Of grenadine 2 drops</t>
  </si>
  <si>
    <t>Monarch</t>
  </si>
  <si>
    <t>2 dashes Peach bitters or Lavender bitters or Orange bitters or Grapefruit bitters or Lemon bitters or Cherry bitters or Rhubarb bitters</t>
  </si>
  <si>
    <t>Peach bitters|Lavender bitters|Orange bitters|Grapefruit bitters|Lemon bitters|Cherry bitters|Rhubarb bitters</t>
  </si>
  <si>
    <t>or|or|or|or|or|or</t>
  </si>
  <si>
    <t>45 ml Tequila</t>
  </si>
  <si>
    <t>Sicilian Sunset</t>
  </si>
  <si>
    <t>2 cups ice cubes</t>
  </si>
  <si>
    <t>Cadillac sidecar</t>
  </si>
  <si>
    <t>1 oz of Lemon Juice</t>
  </si>
  <si>
    <t>La Florida Cocktail</t>
  </si>
  <si>
    <t>0.25 oz white creme de cacao</t>
  </si>
  <si>
    <t>white creme de cacao</t>
  </si>
  <si>
    <t>Kiwi Bird</t>
  </si>
  <si>
    <t>1 kiwi slice</t>
  </si>
  <si>
    <t>kiwi slice</t>
  </si>
  <si>
    <t>Chateau Cardillo</t>
  </si>
  <si>
    <t>chilled Champagne</t>
  </si>
  <si>
    <t>Jack Frostie</t>
  </si>
  <si>
    <t>Lemon Meringue Pie Martini</t>
  </si>
  <si>
    <t>2 oz Lemon Vodka</t>
  </si>
  <si>
    <t>Lemon Vodka</t>
  </si>
  <si>
    <t>Cuban Breeze</t>
  </si>
  <si>
    <t>6 oz Pineapple Juice</t>
  </si>
  <si>
    <t>Garnish: 3 cherry tomatoes, speared</t>
  </si>
  <si>
    <t>cherry tomatoes</t>
  </si>
  <si>
    <t>speared</t>
  </si>
  <si>
    <t>Navy Grog</t>
  </si>
  <si>
    <t>20 ml Lime Juice</t>
  </si>
  <si>
    <t>Cacique 500 &amp; Cola</t>
  </si>
  <si>
    <t>100ml Cola</t>
  </si>
  <si>
    <t>Caramel Martini</t>
  </si>
  <si>
    <t>1 dash Peychauds bitters</t>
  </si>
  <si>
    <t>Peychauds bitters</t>
  </si>
  <si>
    <t>Whiskey Peach Smash</t>
  </si>
  <si>
    <t>4 leaves Mint</t>
  </si>
  <si>
    <t>1 part Melon Liqueur</t>
  </si>
  <si>
    <t>Raspberry Delight</t>
  </si>
  <si>
    <t>Rio Bravo: A Tropical Mezcal Cocktail</t>
  </si>
  <si>
    <t>Smirnoff Soda Fruit Smash Lime</t>
  </si>
  <si>
    <t>150ml Soda Water</t>
  </si>
  <si>
    <t>Manhattan East</t>
  </si>
  <si>
    <t>1 part Ginger liqueur</t>
  </si>
  <si>
    <t>Ginger liqueur</t>
  </si>
  <si>
    <t>Hazelnut &amp; Praline Choctail</t>
  </si>
  <si>
    <t>50ml Baileys Original Irish Cream</t>
  </si>
  <si>
    <t>Baileys Original Irish Cream</t>
  </si>
  <si>
    <t>Banana mix 1 oz</t>
  </si>
  <si>
    <t>Banana mix</t>
  </si>
  <si>
    <t>Princess Leia Cocktail</t>
  </si>
  <si>
    <t>2 Cherries</t>
  </si>
  <si>
    <t>Frozen Cocktail: Virgins Sacrifice</t>
  </si>
  <si>
    <t>Pineapple jello 3 oz</t>
  </si>
  <si>
    <t>Pineapple jello</t>
  </si>
  <si>
    <t>Peach Bellini</t>
  </si>
  <si>
    <t>1 peach slice</t>
  </si>
  <si>
    <t>peach slice</t>
  </si>
  <si>
    <t>Godiva Minty Kiss</t>
  </si>
  <si>
    <t>25ml Godiva Dark Chocolate Liqueur</t>
  </si>
  <si>
    <t>Dark Chocolate Liqueur</t>
  </si>
  <si>
    <t>Aqua Island</t>
  </si>
  <si>
    <t>Set the New Year on Fire</t>
  </si>
  <si>
    <t>0.75 ounce lime juice , freshly squeezed</t>
  </si>
  <si>
    <t xml:space="preserve">, </t>
  </si>
  <si>
    <t>Smoked Maple Old Fashioned</t>
  </si>
  <si>
    <t>Small Pinch of Raw Sugar</t>
  </si>
  <si>
    <t>Raw Sugar</t>
  </si>
  <si>
    <t>Lime juice 0.5 oz</t>
  </si>
  <si>
    <t>Pan Daisy</t>
  </si>
  <si>
    <t>0.25 part Triple sec</t>
  </si>
  <si>
    <t>Whisky Sour</t>
  </si>
  <si>
    <t>Slight Pinch</t>
  </si>
  <si>
    <t>Lemon juice 0.75 oz</t>
  </si>
  <si>
    <t>Aviation</t>
  </si>
  <si>
    <t>0.5 parts maraschino Liqueur</t>
  </si>
  <si>
    <t>maraschino Liqueur</t>
  </si>
  <si>
    <t>The Original Sazerac</t>
  </si>
  <si>
    <t>3 dashes Peychauds bitters</t>
  </si>
  <si>
    <t>3 fluid ounces bottled margarita mix</t>
  </si>
  <si>
    <t>bottled margarita mix</t>
  </si>
  <si>
    <t>Paloma Rosa</t>
  </si>
  <si>
    <t>2 ounces grapefruit juice</t>
  </si>
  <si>
    <t>Holiday Manhattan</t>
  </si>
  <si>
    <t>2 teaspoons aromatic bitters</t>
  </si>
  <si>
    <t>aromatic bitters</t>
  </si>
  <si>
    <t>Hot Buttered Cider</t>
  </si>
  <si>
    <t>4 parts hot Cider</t>
  </si>
  <si>
    <t>hot</t>
  </si>
  <si>
    <t>Whiskey Daisy from Slowly Shirley</t>
  </si>
  <si>
    <t>1 oz rye whiskey</t>
  </si>
  <si>
    <t>0.5 ounce passion fruit liqueur, preferably Passoa or De Kuyper</t>
  </si>
  <si>
    <t>passion fruit liqueur</t>
  </si>
  <si>
    <t>, preferably Passoa or De Kuyper</t>
  </si>
  <si>
    <t>Picante Amante: A Prickly Pear Margarita</t>
  </si>
  <si>
    <t>3 dashes habanero bitters</t>
  </si>
  <si>
    <t>habanero bitters</t>
  </si>
  <si>
    <t>The Grass Cutter</t>
  </si>
  <si>
    <t>Tanqueray &amp; Tonic</t>
  </si>
  <si>
    <t>Blueberry Mint Cocktail</t>
  </si>
  <si>
    <t>6 Blueberries</t>
  </si>
  <si>
    <t>Anejo Manhattan</t>
  </si>
  <si>
    <t>0.5oz Sweet Vermouth</t>
  </si>
  <si>
    <t>Whisky Berry</t>
  </si>
  <si>
    <t>50ml Johnnie Walker Black Label</t>
  </si>
  <si>
    <t>Johnnie Walker Black Label</t>
  </si>
  <si>
    <t>Agave Suave</t>
  </si>
  <si>
    <t>1 Dash Licorice Liqueur</t>
  </si>
  <si>
    <t>Amen Corner</t>
  </si>
  <si>
    <t>0.75 part Sweet amaro</t>
  </si>
  <si>
    <t>Sweet amaro</t>
  </si>
  <si>
    <t>HANKY PANKY</t>
  </si>
  <si>
    <t>45 ml Gin</t>
  </si>
  <si>
    <t>Raspberry Mojito in a Bottle</t>
  </si>
  <si>
    <t>Mexican Mudslide</t>
  </si>
  <si>
    <t>Charmander Pokemon Cocktail</t>
  </si>
  <si>
    <t>Bazooka Coco Bubble Gum Rum Shooters</t>
  </si>
  <si>
    <t>Gin Rickey</t>
  </si>
  <si>
    <t>Top up with Soda Water</t>
  </si>
  <si>
    <t>Sugar Cookie Shots</t>
  </si>
  <si>
    <t>Straw</t>
  </si>
  <si>
    <t>Purple Haze Cocktail</t>
  </si>
  <si>
    <t>Red Snapper</t>
  </si>
  <si>
    <t>1 shot Cranberry juice</t>
  </si>
  <si>
    <t>Cranberry juice</t>
  </si>
  <si>
    <t>La Hacienda</t>
  </si>
  <si>
    <t>1 Hand full of coriander</t>
  </si>
  <si>
    <t>Hand full</t>
  </si>
  <si>
    <t>coriander</t>
  </si>
  <si>
    <t>Fruit Shake</t>
  </si>
  <si>
    <t>1 Banana</t>
  </si>
  <si>
    <t>Hampton</t>
  </si>
  <si>
    <t>35ml Johnnie Walker Black Label Blended Scotch Whisky</t>
  </si>
  <si>
    <t>Blended Scotch Whisky</t>
  </si>
  <si>
    <t>Golden Berry</t>
  </si>
  <si>
    <t>25ml Blueberry Puree</t>
  </si>
  <si>
    <t>Blueberry Puree</t>
  </si>
  <si>
    <t>Santa Shot</t>
  </si>
  <si>
    <t>20 ml Grenadine Syrup</t>
  </si>
  <si>
    <t>Gaelic Flip</t>
  </si>
  <si>
    <t>0.33 ounce simple syrup</t>
  </si>
  <si>
    <t>Rock You Like a Hurricane</t>
  </si>
  <si>
    <t>Martian Hard On</t>
  </si>
  <si>
    <t>1 Part Irish Cream</t>
  </si>
  <si>
    <t>Trash Can</t>
  </si>
  <si>
    <t>Tequila 1 oz</t>
  </si>
  <si>
    <t>Ginger Melon</t>
  </si>
  <si>
    <t>0.33 oz Fresh Lemon Juice</t>
  </si>
  <si>
    <t>Negroni Paradiso: A Negroni Flip</t>
  </si>
  <si>
    <t>1 oz vanilla orange cordial</t>
  </si>
  <si>
    <t>vanilla orange cordial</t>
  </si>
  <si>
    <t>Hippie Juice</t>
  </si>
  <si>
    <t>0.75 ounce grenadine</t>
  </si>
  <si>
    <t>Frozen Fishbowl</t>
  </si>
  <si>
    <t>0.5 oz honey syrup</t>
  </si>
  <si>
    <t>0.5 tsp Grenadine</t>
  </si>
  <si>
    <t>Billie Jo</t>
  </si>
  <si>
    <t>0.5 ounce white port</t>
  </si>
  <si>
    <t>Heritage Infusion</t>
  </si>
  <si>
    <t>1 Dehydrated Mopane worm</t>
  </si>
  <si>
    <t>Mopane worm</t>
  </si>
  <si>
    <t>Longfellow</t>
  </si>
  <si>
    <t>0.25 ounce cinnamon syrup (see Editor's Note)</t>
  </si>
  <si>
    <t>Sweet Libertys Pina Colada</t>
  </si>
  <si>
    <t>1 pineapple chunk (about a 1-inch cube; use 2 if they are smaller)</t>
  </si>
  <si>
    <t>pineapple chunk</t>
  </si>
  <si>
    <t>(about a 1-inch cube; use 2 if smaller)</t>
  </si>
  <si>
    <t>Blackjack Margarita</t>
  </si>
  <si>
    <t>Getaway Car</t>
  </si>
  <si>
    <t>Gin 1 bottle</t>
  </si>
  <si>
    <t>Pink Starburst Margarita</t>
  </si>
  <si>
    <t>Pisco Sour II</t>
  </si>
  <si>
    <t>2 cups pisco</t>
  </si>
  <si>
    <t>Chocolate Monkey</t>
  </si>
  <si>
    <t>1 oz Chocolate Sauce</t>
  </si>
  <si>
    <t>Chocolate Sauce</t>
  </si>
  <si>
    <t>Aqueduct</t>
  </si>
  <si>
    <t>1 tsp Apricot Brandy</t>
  </si>
  <si>
    <t>Apricot Brandy</t>
  </si>
  <si>
    <t>Sombrero Cocktail With Kahlua</t>
  </si>
  <si>
    <t>2 to 3 ounces cream, or milk, to taste</t>
  </si>
  <si>
    <t>cream|milk</t>
  </si>
  <si>
    <t>to|, or|, to taste</t>
  </si>
  <si>
    <t>Cadillac Margarita</t>
  </si>
  <si>
    <t>Blue Angel 2</t>
  </si>
  <si>
    <t>Dorchester</t>
  </si>
  <si>
    <t>1.5 ounces Beefeater gin</t>
  </si>
  <si>
    <t>Beefeater gin</t>
  </si>
  <si>
    <t>1 oz Cherry Schnapps</t>
  </si>
  <si>
    <t>Cherry Schnapps</t>
  </si>
  <si>
    <t>Chocolate Caipirovska</t>
  </si>
  <si>
    <t>25ml Creme de Cacao Dark</t>
  </si>
  <si>
    <t>Creme de Cacao Dark</t>
  </si>
  <si>
    <t>Chicago Cocktail</t>
  </si>
  <si>
    <t>Egg-White</t>
  </si>
  <si>
    <t>Lucky Leprechaun</t>
  </si>
  <si>
    <t>Irish whiskey 1 part</t>
  </si>
  <si>
    <t>Ginger Fever Punch</t>
  </si>
  <si>
    <t>Garnish: rosemary</t>
  </si>
  <si>
    <t>rosemary</t>
  </si>
  <si>
    <t>4 oz of Orange Juice</t>
  </si>
  <si>
    <t>Astrids Adoration</t>
  </si>
  <si>
    <t>2 oz Cherry Syrup</t>
  </si>
  <si>
    <t>Cherry Syrup</t>
  </si>
  <si>
    <t>Spicy Red Snapper (Bloody Mary with Gin)</t>
  </si>
  <si>
    <t>1 pinch ground cumin</t>
  </si>
  <si>
    <t>cumin</t>
  </si>
  <si>
    <t>Cranberry Blush Sparkler</t>
  </si>
  <si>
    <t>4 fluid ounces rose champagne, or as needed</t>
  </si>
  <si>
    <t>rose champagne</t>
  </si>
  <si>
    <t>, or as needed</t>
  </si>
  <si>
    <t>Laura`s Surprise</t>
  </si>
  <si>
    <t>1-2 oz Spiced Rum</t>
  </si>
  <si>
    <t>Jack-O-Lantern Cocktail</t>
  </si>
  <si>
    <t>Orange wheel, for garnish</t>
  </si>
  <si>
    <t>El Bastardo</t>
  </si>
  <si>
    <t>4 tbsp Tabasco sauce</t>
  </si>
  <si>
    <t>Damn Fine Coffee Martini</t>
  </si>
  <si>
    <t>1 oz cold-brew concentrate</t>
  </si>
  <si>
    <t>cold-brew concentrate</t>
  </si>
  <si>
    <t>Pomegranate Cherry Limeade</t>
  </si>
  <si>
    <t>25ml Lemonade</t>
  </si>
  <si>
    <t>Great Artius</t>
  </si>
  <si>
    <t>2 tbsp Coconut Cream</t>
  </si>
  <si>
    <t>Ciroc Amaretto Royale</t>
  </si>
  <si>
    <t>25ml Ciroc Amaretto</t>
  </si>
  <si>
    <t>Ciroc Amaretto</t>
  </si>
  <si>
    <t>Pink Squirrel Recipe</t>
  </si>
  <si>
    <t>0.75 oz creme de cacao</t>
  </si>
  <si>
    <t>Irish Chocolate Milk</t>
  </si>
  <si>
    <t>2 oz Irish Cream</t>
  </si>
  <si>
    <t>The Ultimate Ketel One Blue Cosmopolitan</t>
  </si>
  <si>
    <t>15ml Blue Curacao</t>
  </si>
  <si>
    <t>Solero: A Passion Fruit Cocktail</t>
  </si>
  <si>
    <t>0.5 oz vanilla liqueur</t>
  </si>
  <si>
    <t>vanilla liqueur</t>
  </si>
  <si>
    <t>The Extinguisher</t>
  </si>
  <si>
    <t>.5 oz Gin</t>
  </si>
  <si>
    <t>New York Sour Recipe</t>
  </si>
  <si>
    <t>1 ounce freshly squeezed lemon juice</t>
  </si>
  <si>
    <t>Frozen Mojito</t>
  </si>
  <si>
    <t>2 ounces lime juice, plus more wedges to garnish</t>
  </si>
  <si>
    <t>, plus more wedges to garnish</t>
  </si>
  <si>
    <t>Classic White Russian</t>
  </si>
  <si>
    <t>1 ounce Kahlua (or other coffee liqueur)</t>
  </si>
  <si>
    <t>(or other coffee liquer)</t>
  </si>
  <si>
    <t>Pineapple Crush</t>
  </si>
  <si>
    <t>Juice of one whole Lime</t>
  </si>
  <si>
    <t>one</t>
  </si>
  <si>
    <t>Whiskey Champagne Punch</t>
  </si>
  <si>
    <t>Top with 1 bottle sparkling wine</t>
  </si>
  <si>
    <t>Ponche de Creme (Trinidad's Eggnog)</t>
  </si>
  <si>
    <t>3 cans sweetened condensed milk</t>
  </si>
  <si>
    <t>cans</t>
  </si>
  <si>
    <t>sweetened condensed milk</t>
  </si>
  <si>
    <t>Bloody Shame</t>
  </si>
  <si>
    <t>1 Pinch Peppers</t>
  </si>
  <si>
    <t>Peppers</t>
  </si>
  <si>
    <t>Frambuesa Colada</t>
  </si>
  <si>
    <t>1 oz lemon juice</t>
  </si>
  <si>
    <t>1.25 ounces Bushmills Irish whiskey</t>
  </si>
  <si>
    <t>Bushmills</t>
  </si>
  <si>
    <t>Strawberry Martini</t>
  </si>
  <si>
    <t>1 ounce strawberry syrup</t>
  </si>
  <si>
    <t>Gin Cocktail</t>
  </si>
  <si>
    <t>1 twist Lemon</t>
  </si>
  <si>
    <t>Pink Moose</t>
  </si>
  <si>
    <t>Blueberry Vodka Martinis</t>
  </si>
  <si>
    <t>1 lime, juiced</t>
  </si>
  <si>
    <t>Miami Granny Deviled Eggs: Miami Vice Jello Shots</t>
  </si>
  <si>
    <t>6 oz coconut rum</t>
  </si>
  <si>
    <t>Coconut Mule</t>
  </si>
  <si>
    <t>1.5 oz Bols Coconut</t>
  </si>
  <si>
    <t>Bols Coconut</t>
  </si>
  <si>
    <t>Romance In Graceland</t>
  </si>
  <si>
    <t>0.5 ounce amontillado sherry</t>
  </si>
  <si>
    <t>Appletini</t>
  </si>
  <si>
    <t>1 oz of Vodka</t>
  </si>
  <si>
    <t>Hemingway Daiquiri Riff: The Old Man and the Sea</t>
  </si>
  <si>
    <t>2 oz coconut water</t>
  </si>
  <si>
    <t>coconut water</t>
  </si>
  <si>
    <t>Fuzzy Ethan</t>
  </si>
  <si>
    <t>2.5 oz Vodka</t>
  </si>
  <si>
    <t>Cossack</t>
  </si>
  <si>
    <t>0.5 cup of Simple Syrup</t>
  </si>
  <si>
    <t>Simple Syrup</t>
  </si>
  <si>
    <t>Hinky Dinks Fizzy</t>
  </si>
  <si>
    <t>1 part Gin or Aged gin</t>
  </si>
  <si>
    <t>Gin|Aged gin</t>
  </si>
  <si>
    <t>Caribbean Sunset Rum Punch</t>
  </si>
  <si>
    <t>Orange juice 3 oz</t>
  </si>
  <si>
    <t>Allegro</t>
  </si>
  <si>
    <t>.5  1 oz Lime Juice</t>
  </si>
  <si>
    <t>Elderflower Cocktail with Lemon</t>
  </si>
  <si>
    <t>2 dashes bitters</t>
  </si>
  <si>
    <t>Best Vodka Spritzer</t>
  </si>
  <si>
    <t>Soda water , for serving</t>
  </si>
  <si>
    <t>, for serving</t>
  </si>
  <si>
    <t>Sugar Syrup Cocktail Recipe</t>
  </si>
  <si>
    <t>1 Cup Sugar</t>
  </si>
  <si>
    <t>Peach schnapps 2 oz</t>
  </si>
  <si>
    <t>0.75 cup Champagne or sparkling wine, chilled</t>
  </si>
  <si>
    <t>Champagne|sparkling wine</t>
  </si>
  <si>
    <t>or|,</t>
  </si>
  <si>
    <t>No Way</t>
  </si>
  <si>
    <t>Saratoga</t>
  </si>
  <si>
    <t>0.25 ounce maraschino liqueur, preferably Leopold Brothers</t>
  </si>
  <si>
    <t>, preferably Leopold Brothers</t>
  </si>
  <si>
    <t>Hail Caesar</t>
  </si>
  <si>
    <t>3 ounces Clamato juice</t>
  </si>
  <si>
    <t>Clamato juice</t>
  </si>
  <si>
    <t>Prosecco Sangria</t>
  </si>
  <si>
    <t>Vodka 8 oz</t>
  </si>
  <si>
    <t>Ruby Tuesday</t>
  </si>
  <si>
    <t>Heat Island Effect</t>
  </si>
  <si>
    <t>1.5 oz Brandy</t>
  </si>
  <si>
    <t>Hot Spiked Cider</t>
  </si>
  <si>
    <t>3 teaspoons butter</t>
  </si>
  <si>
    <t>butter</t>
  </si>
  <si>
    <t>AsiaToo</t>
  </si>
  <si>
    <t>1 Dashes Grenadine Syrup</t>
  </si>
  <si>
    <t>Cappucini</t>
  </si>
  <si>
    <t>0.75 oz Coffee Liqueur</t>
  </si>
  <si>
    <t>Dirty Ice-cap</t>
  </si>
  <si>
    <t>Angel Dust</t>
  </si>
  <si>
    <t>2 oz Vanilla Schnapps</t>
  </si>
  <si>
    <t>Blue Pina Colada</t>
  </si>
  <si>
    <t>0.75 ounce lime juice, freshly squeezed</t>
  </si>
  <si>
    <t>N/A Spaghett</t>
  </si>
  <si>
    <t>1 can nonalcoholic lager, preferably Untitled Art Italian Pilsner or Athletic Lite</t>
  </si>
  <si>
    <t>nonalcoholic lager</t>
  </si>
  <si>
    <t>, preferably Untitled Art Italian Pilsner OR Athletic Lite</t>
  </si>
  <si>
    <t>Fairy Nutcracker</t>
  </si>
  <si>
    <t>1 Chocolate Powder (Garnish)</t>
  </si>
  <si>
    <t>Chocolate Powder</t>
  </si>
  <si>
    <t>Brandy Julep</t>
  </si>
  <si>
    <t>2.5 oz Brandy</t>
  </si>
  <si>
    <t>Jeremiah Weed &amp; Water</t>
  </si>
  <si>
    <t>100ml Water</t>
  </si>
  <si>
    <t>Bulleit Rye Hero Manhattan</t>
  </si>
  <si>
    <t>3 Dashes of Angostura Bitters</t>
  </si>
  <si>
    <t>2 ounces Coconut-Infused Clement Rhum Canne Bleue (see Editor's Note)</t>
  </si>
  <si>
    <t>Coconut-Infused Clement Rhum Canne Bleue</t>
  </si>
  <si>
    <t>Basil Gimlet</t>
  </si>
  <si>
    <t>6 large fresh basil leaves</t>
  </si>
  <si>
    <t>large basil leaves</t>
  </si>
  <si>
    <t>Lucien Gaudin</t>
  </si>
  <si>
    <t>1 part Gin</t>
  </si>
  <si>
    <t>Something Blue</t>
  </si>
  <si>
    <t>frozen Daiquiri mix</t>
  </si>
  <si>
    <t>Daiquiri mix</t>
  </si>
  <si>
    <t>Senegali Sunshine</t>
  </si>
  <si>
    <t>Pineapple Liqueur</t>
  </si>
  <si>
    <t>125 mL OP Rum</t>
  </si>
  <si>
    <t>mL</t>
  </si>
  <si>
    <t>OP Rum</t>
  </si>
  <si>
    <t>Blood Orange Blast</t>
  </si>
  <si>
    <t>Triple Strawberry Chill</t>
  </si>
  <si>
    <t>Cool whip 1 tbsp</t>
  </si>
  <si>
    <t>Cool whip</t>
  </si>
  <si>
    <t>Monkey Gland</t>
  </si>
  <si>
    <t>0.5 oz Orange juice</t>
  </si>
  <si>
    <t>Brandy Sour</t>
  </si>
  <si>
    <t>2 oz Brandy</t>
  </si>
  <si>
    <t>For the garnish: Luxardo cocktail cherry</t>
  </si>
  <si>
    <t>Luxardo cocktail cherry</t>
  </si>
  <si>
    <t>Aquarius</t>
  </si>
  <si>
    <t>1 oz Cranberry Juice</t>
  </si>
  <si>
    <t>Canadian Zombie</t>
  </si>
  <si>
    <t>1 cl Grenadine Syrup</t>
  </si>
  <si>
    <t>Perfect Mexican Martini (Tequila Martini)</t>
  </si>
  <si>
    <t>For the garnish: Lime wedge and olive</t>
  </si>
  <si>
    <t>Lime wedge|olive</t>
  </si>
  <si>
    <t>For the garnish:|and</t>
  </si>
  <si>
    <t>Bloody Smurf Jizz Cocktail</t>
  </si>
  <si>
    <t>Corpse in Seville</t>
  </si>
  <si>
    <t>0.5 part Marmalade</t>
  </si>
  <si>
    <t>Marmalade</t>
  </si>
  <si>
    <t>Blue Curacao Spritz</t>
  </si>
  <si>
    <t>1 oz Soda Water</t>
  </si>
  <si>
    <t>Bistek</t>
  </si>
  <si>
    <t>4 Dashes of soy sauce</t>
  </si>
  <si>
    <t>soy sauce</t>
  </si>
  <si>
    <t>1 Shot Sweet Vermouth</t>
  </si>
  <si>
    <t>Spicy Mint Avocado Margarita</t>
  </si>
  <si>
    <t>God`s Great Creation</t>
  </si>
  <si>
    <t>2.5 oz Whiskey</t>
  </si>
  <si>
    <t>0.25 ounce simple syrup</t>
  </si>
  <si>
    <t>Red Light, Green Light  Squid Game Shot</t>
  </si>
  <si>
    <t>1 Part Grenadine Syrup</t>
  </si>
  <si>
    <t>Black and White</t>
  </si>
  <si>
    <t>30 ml Coffee Liqueur</t>
  </si>
  <si>
    <t>Eric Alperin's Tuxedo No. 2</t>
  </si>
  <si>
    <t>2 ounces gin, preferably Beefeater</t>
  </si>
  <si>
    <t xml:space="preserve"> , preferably Beefeater     </t>
  </si>
  <si>
    <t>2 cardamom pods</t>
  </si>
  <si>
    <t>cardamom pods</t>
  </si>
  <si>
    <t>Lavender Martini</t>
  </si>
  <si>
    <t>New York Sour</t>
  </si>
  <si>
    <t>Kinky Raz-Ber-Rita</t>
  </si>
  <si>
    <t>Raspberry schnapps 1 oz</t>
  </si>
  <si>
    <t>Raspberry schnapps</t>
  </si>
  <si>
    <t>Barbie Shot</t>
  </si>
  <si>
    <t>Orange juice 1 part</t>
  </si>
  <si>
    <t>Royal Gin Fizz</t>
  </si>
  <si>
    <t>1 whole Egg</t>
  </si>
  <si>
    <t>Valencian Water</t>
  </si>
  <si>
    <t>50 ml Gin</t>
  </si>
  <si>
    <t>Watermelon Cosmo</t>
  </si>
  <si>
    <t>Bourbon Sour</t>
  </si>
  <si>
    <t>1 lemon</t>
  </si>
  <si>
    <t>Beef On Rye</t>
  </si>
  <si>
    <t>.5 oz Passion-Fruit Puree</t>
  </si>
  <si>
    <t>Passion-Fruit Puree</t>
  </si>
  <si>
    <t>Sunny Holiday Punch</t>
  </si>
  <si>
    <t>1 bottle Champagne</t>
  </si>
  <si>
    <t>10ml Cream</t>
  </si>
  <si>
    <t>Passion Fruit Strawberry Frozen Mojito</t>
  </si>
  <si>
    <t>Agave syrup 0.5 oz</t>
  </si>
  <si>
    <t>Agave syrup</t>
  </si>
  <si>
    <t>Sake Sangria</t>
  </si>
  <si>
    <t>0.25 part Triple sec or Orange curacao or Shrubb</t>
  </si>
  <si>
    <t>Triple sec|Orange curacao|Shrubb</t>
  </si>
  <si>
    <t>Carrot Bees Knees</t>
  </si>
  <si>
    <t>60ml Tanqueray No.10 Gin</t>
  </si>
  <si>
    <t>Tanqueray No. 10</t>
  </si>
  <si>
    <t>No Label</t>
  </si>
  <si>
    <t>25ml Pomegranate Syrup</t>
  </si>
  <si>
    <t>Pomegranate Syrup</t>
  </si>
  <si>
    <t>Crown &amp; Cola</t>
  </si>
  <si>
    <t>50ml Crown Royal Blended Canadian Whisky</t>
  </si>
  <si>
    <t>Blended Canadian Whisky</t>
  </si>
  <si>
    <t>Crown Royal</t>
  </si>
  <si>
    <t>Chai Ball</t>
  </si>
  <si>
    <t>1 Fresh lemon or lemon sorbet</t>
  </si>
  <si>
    <t>lemon|lemon sorbet</t>
  </si>
  <si>
    <t>Jalapeno Margarita</t>
  </si>
  <si>
    <t>1 ounce freshly squeezed lime juice</t>
  </si>
  <si>
    <t>Luli Collins</t>
  </si>
  <si>
    <t>0.5 ounce lemon juice</t>
  </si>
  <si>
    <t>Pink Bikini Martini</t>
  </si>
  <si>
    <t>Bahama Mama 2</t>
  </si>
  <si>
    <t>2 oz Pineapple Juice</t>
  </si>
  <si>
    <t>Center of the Galaxy</t>
  </si>
  <si>
    <t>0.5 part Brown sugar syrup</t>
  </si>
  <si>
    <t>Brown sugar syrup</t>
  </si>
  <si>
    <t>Cruzan 9 Tea</t>
  </si>
  <si>
    <t>Lemon Wedges</t>
  </si>
  <si>
    <t>10ml Honey</t>
  </si>
  <si>
    <t>Honey</t>
  </si>
  <si>
    <t>Blueberry Mojito</t>
  </si>
  <si>
    <t>Death Mix</t>
  </si>
  <si>
    <t>Apricity</t>
  </si>
  <si>
    <t>0.5 a jar of preserved lemons</t>
  </si>
  <si>
    <t>jar</t>
  </si>
  <si>
    <t>preserved lemons</t>
  </si>
  <si>
    <t>a|of</t>
  </si>
  <si>
    <t>Bubbly Red Sex</t>
  </si>
  <si>
    <t>Bob Marley Jello Shots</t>
  </si>
  <si>
    <t>3 cl falernum</t>
  </si>
  <si>
    <t>falernum</t>
  </si>
  <si>
    <t>2 oz Butterscotch Liqueur</t>
  </si>
  <si>
    <t>Butterscotch Liqueur</t>
  </si>
  <si>
    <t>Jamaican Jerk Rum Chili</t>
  </si>
  <si>
    <t>1 teaspoon finely minced habanero pepper, or jalapeno pepper</t>
  </si>
  <si>
    <t>habanero pepper|jalapeno pepper</t>
  </si>
  <si>
    <t>finely minced</t>
  </si>
  <si>
    <t>, or</t>
  </si>
  <si>
    <t>Chocolate Soldier</t>
  </si>
  <si>
    <t>0.75 oz Dry Vermouth</t>
  </si>
  <si>
    <t>Liquid Desert</t>
  </si>
  <si>
    <t>2 oz Melon Liqueur</t>
  </si>
  <si>
    <t>Lucy Liu</t>
  </si>
  <si>
    <t>1 ounce cream of coconut</t>
  </si>
  <si>
    <t>ounce cream of coconut</t>
  </si>
  <si>
    <t>Goombay Smash #2</t>
  </si>
  <si>
    <t>1 oz of Light Rum</t>
  </si>
  <si>
    <t>of Light Rum</t>
  </si>
  <si>
    <t>Golden Crown by Katherine Boushel</t>
  </si>
  <si>
    <t>0.25 oz green Chartreuse</t>
  </si>
  <si>
    <t>green Chartreuse</t>
  </si>
  <si>
    <t>Noble Fir</t>
  </si>
  <si>
    <t>0.5 ounce Pierre Ferrand Ambre Cognac</t>
  </si>
  <si>
    <t>Pierre Ferrand Ambre Cognac</t>
  </si>
  <si>
    <t>Bombay Safari</t>
  </si>
  <si>
    <t>Garnish: Angostura bitters (optional)</t>
  </si>
  <si>
    <t>Garnish:|(optional)</t>
  </si>
  <si>
    <t>Liquid Ecstasy</t>
  </si>
  <si>
    <t>15 mL Lemon Juice</t>
  </si>
  <si>
    <t>10ml Simple syrup</t>
  </si>
  <si>
    <t>Zacapa Golden Idol</t>
  </si>
  <si>
    <t>The Coconut Margarita</t>
  </si>
  <si>
    <t>50ml evaporated milk</t>
  </si>
  <si>
    <t>evaporated milk</t>
  </si>
  <si>
    <t>Bell's &amp; Lemonade</t>
  </si>
  <si>
    <t>150ml Ginger Ale</t>
  </si>
  <si>
    <t>Summer Berry Fishbowl</t>
  </si>
  <si>
    <t>Pasion de Oaxaca Cocktail</t>
  </si>
  <si>
    <t>Rum Shrub</t>
  </si>
  <si>
    <t>2 qt Rum</t>
  </si>
  <si>
    <t>qt</t>
  </si>
  <si>
    <t>1 ounce Cointreau</t>
  </si>
  <si>
    <t>Rimmed Pepper</t>
  </si>
  <si>
    <t>Ghostbuster Bomb</t>
  </si>
  <si>
    <t>Amaretto 1 part</t>
  </si>
  <si>
    <t>Classic Hot Buttered Rum</t>
  </si>
  <si>
    <t>6 tablespoons salted butter</t>
  </si>
  <si>
    <t>salted butter</t>
  </si>
  <si>
    <t>Banana Split Martini</t>
  </si>
  <si>
    <t>37.5 ml Vodka</t>
  </si>
  <si>
    <t>Deanne</t>
  </si>
  <si>
    <t>Bali Sunset Cocktail</t>
  </si>
  <si>
    <t>1 shot Vodka</t>
  </si>
  <si>
    <t>Whiskey Sour Jello Shot</t>
  </si>
  <si>
    <t>2 ounces lemon juice</t>
  </si>
  <si>
    <t>Sauza Strawberry Sparkler</t>
  </si>
  <si>
    <t>2 parts DeKuyper Strawberry Patch Schnapps Liqueur</t>
  </si>
  <si>
    <t>Schnapps Liqueur</t>
  </si>
  <si>
    <t>DeKuyper Strawberry Patch</t>
  </si>
  <si>
    <t>Don Gorgon</t>
  </si>
  <si>
    <t>Mint leaves 5 undefined</t>
  </si>
  <si>
    <t>Spiked Strawberry Milkshake</t>
  </si>
  <si>
    <t>Atomic Orange Cream</t>
  </si>
  <si>
    <t>3 oz Milk</t>
  </si>
  <si>
    <t>Pumpkin Buck</t>
  </si>
  <si>
    <t>Garnish: nutmeg , freshly grated</t>
  </si>
  <si>
    <t>grated</t>
  </si>
  <si>
    <t>Strawberry Kiwi Margarita</t>
  </si>
  <si>
    <t>Ruby and Herb</t>
  </si>
  <si>
    <t>50ml Tanqueray Rangpur Gin</t>
  </si>
  <si>
    <t>Tanqueray Rangpur Gin</t>
  </si>
  <si>
    <t>Sherry Cobbler Riff From Ernestos</t>
  </si>
  <si>
    <t>Lime wedge, to muddle</t>
  </si>
  <si>
    <t>, to muddle</t>
  </si>
  <si>
    <t>1 dash absinthe, preferably Letherbee</t>
  </si>
  <si>
    <t>, preferably Letherbee</t>
  </si>
  <si>
    <t>Charybdis</t>
  </si>
  <si>
    <t>1 oz Herbal Liqueur</t>
  </si>
  <si>
    <t>1 oz Spiced Rum</t>
  </si>
  <si>
    <t>3 parts Sparkling water or Flavored sparkling water</t>
  </si>
  <si>
    <t>Sparkling water|Flavored sparkling water</t>
  </si>
  <si>
    <t>Fizzy Lifting Drink</t>
  </si>
  <si>
    <t>3 fluid ounces bubblegum-flavored vodka</t>
  </si>
  <si>
    <t>bubblegum-flavored vodka</t>
  </si>
  <si>
    <t>Al's Bloody Marys</t>
  </si>
  <si>
    <t>1 tablespoon prepared horseradish, or to taste</t>
  </si>
  <si>
    <t>prepared horseradish</t>
  </si>
  <si>
    <t>Prosecco Float</t>
  </si>
  <si>
    <t>Sugar Monks Hanky Panky</t>
  </si>
  <si>
    <t>1 barspoon Fernet-Branca</t>
  </si>
  <si>
    <t>Fernet-Branca</t>
  </si>
  <si>
    <t>Cucumber Cleanse Cocktail</t>
  </si>
  <si>
    <t>0.25 oz Ginger Syrup</t>
  </si>
  <si>
    <t>Ginger Syrup</t>
  </si>
  <si>
    <t>Brown Town Busta</t>
  </si>
  <si>
    <t>0.75 oz Vodka</t>
  </si>
  <si>
    <t>Mint Green Old Fashioned</t>
  </si>
  <si>
    <t>1 dash Fee Brothers mint bitters</t>
  </si>
  <si>
    <t>mint bitters</t>
  </si>
  <si>
    <t>Fee Brothers</t>
  </si>
  <si>
    <t>Embassy Cocktail</t>
  </si>
  <si>
    <t>0.75 ounce Jamaican rum</t>
  </si>
  <si>
    <t>Coke (to top up)</t>
  </si>
  <si>
    <t>Coke</t>
  </si>
  <si>
    <t>(to top up)</t>
  </si>
  <si>
    <t>Letitia`s Penis Butter Cup</t>
  </si>
  <si>
    <t>Pink Lemonade #3</t>
  </si>
  <si>
    <t>Bruised Heart</t>
  </si>
  <si>
    <t>0.5 oz Cranberry juice</t>
  </si>
  <si>
    <t>The Kings Cup</t>
  </si>
  <si>
    <t>1 Apple Slice (Garnish)</t>
  </si>
  <si>
    <t>Chaise Lounge</t>
  </si>
  <si>
    <t>10 Bottles Lemonade</t>
  </si>
  <si>
    <t>Bottles</t>
  </si>
  <si>
    <t>Pomeranian</t>
  </si>
  <si>
    <t>70ml Grapefruit juice</t>
  </si>
  <si>
    <t>Grapefruit juice</t>
  </si>
  <si>
    <t>3 ounces pineapple juice</t>
  </si>
  <si>
    <t>Cinnamon Caramel Apple</t>
  </si>
  <si>
    <t>La Vina</t>
  </si>
  <si>
    <t>1 ounce rye, preferably Russell's Reserve</t>
  </si>
  <si>
    <t>, preferably Russell's Reserve</t>
  </si>
  <si>
    <t>Clarified Corn 'n' Oil</t>
  </si>
  <si>
    <t>100 milliliters lime juice</t>
  </si>
  <si>
    <t>Kurant Collins</t>
  </si>
  <si>
    <t>1 oz Lemon Juice</t>
  </si>
  <si>
    <t>Swizzle Francais</t>
  </si>
  <si>
    <t>2 parts Aged rhum agricole or Unaged rhum agricole</t>
  </si>
  <si>
    <t>Aged rhum agricole|Unaged rhum agricole</t>
  </si>
  <si>
    <t>Margarita Snow Cones</t>
  </si>
  <si>
    <t>Tequila 4 oz</t>
  </si>
  <si>
    <t>1 oz of Amaretto</t>
  </si>
  <si>
    <t>Cm Shot</t>
  </si>
  <si>
    <t>Rum cream 1 part</t>
  </si>
  <si>
    <t>Rum cream</t>
  </si>
  <si>
    <t>Egg Cream</t>
  </si>
  <si>
    <t>6 oz Soda Water</t>
  </si>
  <si>
    <t>McIntosh</t>
  </si>
  <si>
    <t>50ml Johnnie Walker Red Label Blended Scotch Whisky</t>
  </si>
  <si>
    <t xml:space="preserve">Johnnie Walker Red Label </t>
  </si>
  <si>
    <t>Spiced Cranberry Margarita</t>
  </si>
  <si>
    <t>0.5 ounce lime juice</t>
  </si>
  <si>
    <t>Rum Cola</t>
  </si>
  <si>
    <t>8 oz Cola</t>
  </si>
  <si>
    <t>Baja Blast Cooler</t>
  </si>
  <si>
    <t>Buttered Pancakes</t>
  </si>
  <si>
    <t>1 oz of captain morgan original spiced rum</t>
  </si>
  <si>
    <t>original spiced rum</t>
  </si>
  <si>
    <t>of captain morgan</t>
  </si>
  <si>
    <t>Midori Ecstacy</t>
  </si>
  <si>
    <t>.5 oz Blue Curacao Liqueur</t>
  </si>
  <si>
    <t>Lagavulin 16 Old-Fashioned</t>
  </si>
  <si>
    <t>15ml Sugar syrup</t>
  </si>
  <si>
    <t>Sugar syrup</t>
  </si>
  <si>
    <t>Frozen Espresso Martini</t>
  </si>
  <si>
    <t>0.25 cup Kahlua or other coffee liqueur (like Tia Maria )</t>
  </si>
  <si>
    <t>or other coffee liqueur (like Tia Maria )</t>
  </si>
  <si>
    <t>Creamy Coconut Mojito</t>
  </si>
  <si>
    <t>4th of July Spiked Bomb Pops</t>
  </si>
  <si>
    <t>Acapulco Zombie</t>
  </si>
  <si>
    <t>1 Dashes White Creme De Menthe</t>
  </si>
  <si>
    <t>White Creme De Menthe</t>
  </si>
  <si>
    <t>Okinawa Special</t>
  </si>
  <si>
    <t>3 oz of Pineapple Juice</t>
  </si>
  <si>
    <t>Fruity Pebble</t>
  </si>
  <si>
    <t>Homemade Raspberry Liqueur Recipe</t>
  </si>
  <si>
    <t>4 cups fresh or frozen raspberries</t>
  </si>
  <si>
    <t>frozen raspberries</t>
  </si>
  <si>
    <t>or frozen</t>
  </si>
  <si>
    <t>Don Julio Blood Orange Margarita</t>
  </si>
  <si>
    <t>25ml Blood orange juice</t>
  </si>
  <si>
    <t>Blood orange juice</t>
  </si>
  <si>
    <t>The Cuj</t>
  </si>
  <si>
    <t>0.5 ounce fresh lime juice</t>
  </si>
  <si>
    <t>Frozen Pink Bikini</t>
  </si>
  <si>
    <t>Coconut rum 1 oz</t>
  </si>
  <si>
    <t>British Bulldog</t>
  </si>
  <si>
    <t>3 oz Half-and-half</t>
  </si>
  <si>
    <t>Hotel Georgia</t>
  </si>
  <si>
    <t>Josh Goldman's Paloma</t>
  </si>
  <si>
    <t>Squirt, to top</t>
  </si>
  <si>
    <t>Squirt</t>
  </si>
  <si>
    <t>Cinnamon Dolce Latte Syrup</t>
  </si>
  <si>
    <t>0.75 cup packed light brown sugar</t>
  </si>
  <si>
    <t>light brown sugar</t>
  </si>
  <si>
    <t>packed</t>
  </si>
  <si>
    <t>8 oz Chocolate Milk</t>
  </si>
  <si>
    <t>Moose Juice 2</t>
  </si>
  <si>
    <t>1 oz Cherry Juice</t>
  </si>
  <si>
    <t>Cherry Juice</t>
  </si>
  <si>
    <t>Chocolate-covered Cherry</t>
  </si>
  <si>
    <t>Thunder Peel</t>
  </si>
  <si>
    <t>1 Part Citrus Soda</t>
  </si>
  <si>
    <t>Citrus Soda</t>
  </si>
  <si>
    <t>Scotch Cobbler</t>
  </si>
  <si>
    <t>4 dashes Brandy</t>
  </si>
  <si>
    <t>Tuscarita</t>
  </si>
  <si>
    <t>2 parts Grappa</t>
  </si>
  <si>
    <t>Grappa</t>
  </si>
  <si>
    <t>Martini Dominikanis</t>
  </si>
  <si>
    <t>1.5 oz Apple Juice</t>
  </si>
  <si>
    <t>Chocolate Vice</t>
  </si>
  <si>
    <t>2 jiggers coconut flavored rum</t>
  </si>
  <si>
    <t>jiggers</t>
  </si>
  <si>
    <t>coconut flavored rum</t>
  </si>
  <si>
    <t>Grandpa Harry's Holiday Punch</t>
  </si>
  <si>
    <t>1 quart club soda</t>
  </si>
  <si>
    <t>quart</t>
  </si>
  <si>
    <t>Trip-O-Matic Fairytale</t>
  </si>
  <si>
    <t>Gin 4 oz</t>
  </si>
  <si>
    <t>A Bitter Canadian 78986</t>
  </si>
  <si>
    <t>4  5 oz Sours</t>
  </si>
  <si>
    <t>The Wheel</t>
  </si>
  <si>
    <t>part Simple Syrup</t>
  </si>
  <si>
    <t>Johnnie Walker Gold Label Reserve Spritz</t>
  </si>
  <si>
    <t>15ml Ginger Syrup</t>
  </si>
  <si>
    <t>Nonalcoholic Sour</t>
  </si>
  <si>
    <t>1 ounce fresh lemon juice</t>
  </si>
  <si>
    <t>Exotica</t>
  </si>
  <si>
    <t>1 Dash Orange Bitters</t>
  </si>
  <si>
    <t>Dark 'n Stormy Mocktail Recipe</t>
  </si>
  <si>
    <t>2 ounces ginger beer, preferably Fevertree</t>
  </si>
  <si>
    <t>, preferably Fevertree</t>
  </si>
  <si>
    <t>Lower Side</t>
  </si>
  <si>
    <t>2ds Orange Bitters</t>
  </si>
  <si>
    <t>ds</t>
  </si>
  <si>
    <t>Pineapple Mango Daiquiri</t>
  </si>
  <si>
    <t>1 jigger triple sec</t>
  </si>
  <si>
    <t>jigger</t>
  </si>
  <si>
    <t>Fire Starter Cocktail 2</t>
  </si>
  <si>
    <t>Frozen Pina Colada Cocktail</t>
  </si>
  <si>
    <t>Pineapple wedge, for garnish</t>
  </si>
  <si>
    <t>Adam &amp; Eve</t>
  </si>
  <si>
    <t>1 shot Creme de Cassis</t>
  </si>
  <si>
    <t>Double Oak Whiskey Smash</t>
  </si>
  <si>
    <t>2 parts Jim Beam Double Oak</t>
  </si>
  <si>
    <t>Jim Beam Double Oak</t>
  </si>
  <si>
    <t>Brasserie Lebbe</t>
  </si>
  <si>
    <t>0.25 part Lemon juice</t>
  </si>
  <si>
    <t>Triple Kiss</t>
  </si>
  <si>
    <t>Australian Light &amp; Breezy</t>
  </si>
  <si>
    <t>150ml Ginger Beer</t>
  </si>
  <si>
    <t>Mexican-Style Coffee</t>
  </si>
  <si>
    <t>4 fluid ounces hot brewed coffee</t>
  </si>
  <si>
    <t>fluid</t>
  </si>
  <si>
    <t>Cherry Fucker</t>
  </si>
  <si>
    <t>0.75 oz Apple Schnapps</t>
  </si>
  <si>
    <t>The Classic Gin Martini</t>
  </si>
  <si>
    <t>0.5 ounce dry vermouth, or to taste</t>
  </si>
  <si>
    <t>Mango Green Tea</t>
  </si>
  <si>
    <t>25ml Mango Puree</t>
  </si>
  <si>
    <t>Mango Puree</t>
  </si>
  <si>
    <t>Apricot Tree</t>
  </si>
  <si>
    <t>.5 oz Dry Vermouth</t>
  </si>
  <si>
    <t>Dirty Negroni</t>
  </si>
  <si>
    <t>1 ounce olive oilwashed gin, preferably Aviation American Gin</t>
  </si>
  <si>
    <t>olive oilwashed gin</t>
  </si>
  <si>
    <t>, preferably Aviation American Gin</t>
  </si>
  <si>
    <t>Lauwiliwilinukunukuoioi</t>
  </si>
  <si>
    <t>2 parts Aged rum or Dark rum or Demerara rum or Light rum or Spiced rum</t>
  </si>
  <si>
    <t>Aged rum|Dark rum|Demerara rum|Light rum|Spiced rum</t>
  </si>
  <si>
    <t>Pomegranate Gin Fizz</t>
  </si>
  <si>
    <t>1 egg white</t>
  </si>
  <si>
    <t>egg white</t>
  </si>
  <si>
    <t>Tangerine Dream</t>
  </si>
  <si>
    <t>1 Tangerine Wheel (Garnish)</t>
  </si>
  <si>
    <t>Tangerine</t>
  </si>
  <si>
    <t>Tokyo Iced Tea</t>
  </si>
  <si>
    <t>15 ml Gin</t>
  </si>
  <si>
    <t>Ketel One Manhattan</t>
  </si>
  <si>
    <t>Buzz Inducer</t>
  </si>
  <si>
    <t>12 oz Root Beer</t>
  </si>
  <si>
    <t>Root Beer</t>
  </si>
  <si>
    <t>In and Out Martini</t>
  </si>
  <si>
    <t>3 ounces gin</t>
  </si>
  <si>
    <t>Burnt Toasted Almond</t>
  </si>
  <si>
    <t>Negative Space</t>
  </si>
  <si>
    <t>Chocolate Caramel Latte Syrup</t>
  </si>
  <si>
    <t>1 cup light corn syrup</t>
  </si>
  <si>
    <t>light corn syrup</t>
  </si>
  <si>
    <t>3 dashes Angostura bitters</t>
  </si>
  <si>
    <t>Brooklyns Finest</t>
  </si>
  <si>
    <t>0.5 part Ginger syrup</t>
  </si>
  <si>
    <t>Ginger syrup</t>
  </si>
  <si>
    <t>Citrus Sunset</t>
  </si>
  <si>
    <t>1 Lime Wheel (Garnish)</t>
  </si>
  <si>
    <t>Elderflower French 75</t>
  </si>
  <si>
    <t>Prosecco 2 oz</t>
  </si>
  <si>
    <t>Codswallop</t>
  </si>
  <si>
    <t>4 oz Lemonade</t>
  </si>
  <si>
    <t>Midori Sour 2</t>
  </si>
  <si>
    <t>Instant Replay</t>
  </si>
  <si>
    <t>1 oz cherry vodka</t>
  </si>
  <si>
    <t>cherry vodka</t>
  </si>
  <si>
    <t>Apple Jolly Rancher</t>
  </si>
  <si>
    <t>1 oz Apple Schnapps</t>
  </si>
  <si>
    <t>Tijuana Manhattan</t>
  </si>
  <si>
    <t>50 ml Tequila</t>
  </si>
  <si>
    <t>For the rim: Old Bay seasoning ( purchased or homemade ) or chili powder, kosher salt</t>
  </si>
  <si>
    <t>Old Bay seasoning|chili powder|kosher salt</t>
  </si>
  <si>
    <t>For the rim:|( purchased or homemade ) or|,</t>
  </si>
  <si>
    <t>Income Tax Cocktail</t>
  </si>
  <si>
    <t>1 tbsp of dry vermouth</t>
  </si>
  <si>
    <t>Pink Panther</t>
  </si>
  <si>
    <t>1 tsp of Grenadine</t>
  </si>
  <si>
    <t>Butterfly Effect</t>
  </si>
  <si>
    <t>Dash Lime Juice</t>
  </si>
  <si>
    <t>Bloody Monkey</t>
  </si>
  <si>
    <t>Chocolate Almond Cream</t>
  </si>
  <si>
    <t>0.5 Cups White Creme De Cacao</t>
  </si>
  <si>
    <t>Cups</t>
  </si>
  <si>
    <t>Zombie</t>
  </si>
  <si>
    <t>Mango and Ginger Kombucha Mule With Tequila</t>
  </si>
  <si>
    <t>0.75 ounce freshly squeezed lime juice, from about 0.5 large lime</t>
  </si>
  <si>
    <t>, from about 0.5 large lime</t>
  </si>
  <si>
    <t>Crazy Parrot</t>
  </si>
  <si>
    <t>0.75 oz OP Rum</t>
  </si>
  <si>
    <t>Havana Holiday</t>
  </si>
  <si>
    <t>50ml Tanqueray London Dry Gin</t>
  </si>
  <si>
    <t>Tanqueray</t>
  </si>
  <si>
    <t>Purple Jesus</t>
  </si>
  <si>
    <t>1 7-ounce pony Miller High Life, to top</t>
  </si>
  <si>
    <t>1|7</t>
  </si>
  <si>
    <t>pony Miller High Life</t>
  </si>
  <si>
    <t>-|, to top</t>
  </si>
  <si>
    <t>The Funfair</t>
  </si>
  <si>
    <t>Blue raspberry vodka 1 part</t>
  </si>
  <si>
    <t>Blue raspberry vodka</t>
  </si>
  <si>
    <t>Nuts in the Water</t>
  </si>
  <si>
    <t>1 oz cacao rum</t>
  </si>
  <si>
    <t>cacao rum</t>
  </si>
  <si>
    <t>Clover Mint Martini</t>
  </si>
  <si>
    <t>Whipped cream for garnish (optional)</t>
  </si>
  <si>
    <t>Drunken Gingerbread Man Shots</t>
  </si>
  <si>
    <t>Cranberry Tart</t>
  </si>
  <si>
    <t>Count Currey</t>
  </si>
  <si>
    <t>1 tsp Superfine Sugar</t>
  </si>
  <si>
    <t>Superfine Sugar</t>
  </si>
  <si>
    <t>Irish Shillelagh</t>
  </si>
  <si>
    <t>1 tsp Sugar Syrup</t>
  </si>
  <si>
    <t>Tre Sorelle</t>
  </si>
  <si>
    <t>1 ounce pisco (preferably Capurro Pisco Moscatel)</t>
  </si>
  <si>
    <t>(preferably Capurro Pisco Moscatel)</t>
  </si>
  <si>
    <t>English Apricot Liqueur</t>
  </si>
  <si>
    <t>20 ounces good-quality gin</t>
  </si>
  <si>
    <t>good-quality</t>
  </si>
  <si>
    <t>0.25 ounce Chinola</t>
  </si>
  <si>
    <t>Chinola</t>
  </si>
  <si>
    <t>Valkyrie</t>
  </si>
  <si>
    <t>25 ml Vanilla Sugar Syrup</t>
  </si>
  <si>
    <t>Vanilla Sugar Syrup</t>
  </si>
  <si>
    <t>Cherry Flip</t>
  </si>
  <si>
    <t>2 tsp Light Cream</t>
  </si>
  <si>
    <t>Light Cream</t>
  </si>
  <si>
    <t>Caribou Lou</t>
  </si>
  <si>
    <t>151 proof rum 1.5 oz</t>
  </si>
  <si>
    <t>151 proof rum</t>
  </si>
  <si>
    <t>Aspenlicious</t>
  </si>
  <si>
    <t>splash Half  And  Half</t>
  </si>
  <si>
    <t>Half  And  Half</t>
  </si>
  <si>
    <t>Around The World</t>
  </si>
  <si>
    <t>8 oz Crushed Ice</t>
  </si>
  <si>
    <t>Strawberry Cocktail: Go Fly a Kite</t>
  </si>
  <si>
    <t>Tres Gen Paloma</t>
  </si>
  <si>
    <t>2 parts Grapefruit Soda</t>
  </si>
  <si>
    <t>Grapefruit Soda</t>
  </si>
  <si>
    <t>Bourbons Foster</t>
  </si>
  <si>
    <t>10.5 parts Bourbon</t>
  </si>
  <si>
    <t>1.5 ounces Tequila Ocho plata</t>
  </si>
  <si>
    <t>Tequila Ocho plata</t>
  </si>
  <si>
    <t>Ketel One Tropical Heat</t>
  </si>
  <si>
    <t>Dr. Pepper 2</t>
  </si>
  <si>
    <t>2 oz Peach Liqueur</t>
  </si>
  <si>
    <t>Judge, Jr.</t>
  </si>
  <si>
    <t>2 tsp of Grenadine</t>
  </si>
  <si>
    <t>Sunny Day</t>
  </si>
  <si>
    <t>Green Monkey</t>
  </si>
  <si>
    <t>0.33 Pint Smirnoff Ice</t>
  </si>
  <si>
    <t>Smirnoff Ice</t>
  </si>
  <si>
    <t>Strawberry Lemonade Beer</t>
  </si>
  <si>
    <t>Citrus vodka 4 oz</t>
  </si>
  <si>
    <t>Crown &amp; Ginger</t>
  </si>
  <si>
    <t>Chambord Sour</t>
  </si>
  <si>
    <t>Bubbly Mojito</t>
  </si>
  <si>
    <t>4 fluid ounces sparkling white wine</t>
  </si>
  <si>
    <t>sparkling white wine</t>
  </si>
  <si>
    <t>Texatini</t>
  </si>
  <si>
    <t>1 jigger orange liqueur</t>
  </si>
  <si>
    <t>orange liqueur</t>
  </si>
  <si>
    <t>Seagram's 7 Cherry Cola</t>
  </si>
  <si>
    <t>Get It Done</t>
  </si>
  <si>
    <t>2 ounces agave nectar</t>
  </si>
  <si>
    <t>Blue Nuke</t>
  </si>
  <si>
    <t>Turmeric Hot Toddy</t>
  </si>
  <si>
    <t>12 oz fresh lemon juice</t>
  </si>
  <si>
    <t>Ketel One Oranje Blossom</t>
  </si>
  <si>
    <t>25ml Espresso Coffee</t>
  </si>
  <si>
    <t>Espresso Coffee</t>
  </si>
  <si>
    <t>Gingerbread Martini</t>
  </si>
  <si>
    <t>1 ounce half and half (or heavy cream or coconut milk, for vegan)</t>
  </si>
  <si>
    <t>half and half|heavy cream|coconut milk</t>
  </si>
  <si>
    <t>(or|or|, for vegan)</t>
  </si>
  <si>
    <t>Rosita</t>
  </si>
  <si>
    <t>20ml Aperol</t>
  </si>
  <si>
    <t>Root Beer Float</t>
  </si>
  <si>
    <t>Daiquiri</t>
  </si>
  <si>
    <t>6 fluid ounces light rum</t>
  </si>
  <si>
    <t>light rum</t>
  </si>
  <si>
    <t>Coco Butter</t>
  </si>
  <si>
    <t>Queen's Road</t>
  </si>
  <si>
    <t>0.5 ounce ginger syrup (1:1 fresh ginger juice to sugar, blended)</t>
  </si>
  <si>
    <t>ginger syrup</t>
  </si>
  <si>
    <t>(1:1 fresh ginger juice to sugar, blended)</t>
  </si>
  <si>
    <t>Emerald Ice</t>
  </si>
  <si>
    <t>Raspberry Cosmopolitan</t>
  </si>
  <si>
    <t>0.5 oz Lime Juice</t>
  </si>
  <si>
    <t>Bahama Mama #1</t>
  </si>
  <si>
    <t>3 oz of Orange Juice</t>
  </si>
  <si>
    <t>The Upside Down</t>
  </si>
  <si>
    <t>0.5 oz lemon juice</t>
  </si>
  <si>
    <t>Ambrosia</t>
  </si>
  <si>
    <t>1 Dashes Triple Sec</t>
  </si>
  <si>
    <t>Sazerac</t>
  </si>
  <si>
    <t>2.5 ounces rye whiskey</t>
  </si>
  <si>
    <t>Rising Skirt</t>
  </si>
  <si>
    <t>.5 oz Banana Liqueur</t>
  </si>
  <si>
    <t>The Widow's Favorite Sangrita</t>
  </si>
  <si>
    <t>Coast-Line</t>
  </si>
  <si>
    <t>Grand Cosmopolitan</t>
  </si>
  <si>
    <t>1 oz of Wyborowa vodka</t>
  </si>
  <si>
    <t>Wyborowa vodka</t>
  </si>
  <si>
    <t>Dead Man Walking</t>
  </si>
  <si>
    <t>.5 oz Cinnamon Schnapps</t>
  </si>
  <si>
    <t>Cafe Brulot</t>
  </si>
  <si>
    <t>1 bottle Bacardi 151</t>
  </si>
  <si>
    <t>Bacardi 151</t>
  </si>
  <si>
    <t>Apple Brandy Sour</t>
  </si>
  <si>
    <t>0.5 Slice Lemon</t>
  </si>
  <si>
    <t>Peach Fizz</t>
  </si>
  <si>
    <t>1 cups Gin</t>
  </si>
  <si>
    <t>Creamy Nutella Vodka</t>
  </si>
  <si>
    <t>Nutella 0.75 cup</t>
  </si>
  <si>
    <t>Amalfi Dream</t>
  </si>
  <si>
    <t>5 Mint</t>
  </si>
  <si>
    <t>Amaretto Stone Sour 2</t>
  </si>
  <si>
    <t>1.5 oz Almond Liqueur</t>
  </si>
  <si>
    <t>Glasgow Seelbach</t>
  </si>
  <si>
    <t>Lemon Twist</t>
  </si>
  <si>
    <t>Mexican Firing Squad</t>
  </si>
  <si>
    <t>0.75 part Grenadine or Creme de cassis or Pomegranate molasses</t>
  </si>
  <si>
    <t>Grenadine|Creme de cassis|Pomegranate molasses</t>
  </si>
  <si>
    <t>Anitas Original Brain Hemorrhage Shot</t>
  </si>
  <si>
    <t>Purple Helmeted Warrior</t>
  </si>
  <si>
    <t>5-6 Drop Grenadine Syrup</t>
  </si>
  <si>
    <t>Brandy Fix</t>
  </si>
  <si>
    <t>Eternity</t>
  </si>
  <si>
    <t>0.5 ounce succo di bergamotto (bergamot juice, can be purchased online)</t>
  </si>
  <si>
    <t>succo di bergamotto</t>
  </si>
  <si>
    <t>(bergamot juice, can be purchased online)</t>
  </si>
  <si>
    <t>Mai Tai</t>
  </si>
  <si>
    <t>Dirty White Mother</t>
  </si>
  <si>
    <t>Admiral Cocktail</t>
  </si>
  <si>
    <t>Frozemonade</t>
  </si>
  <si>
    <t>4 parts Rose wine</t>
  </si>
  <si>
    <t>Rose wine</t>
  </si>
  <si>
    <t>Carmelina</t>
  </si>
  <si>
    <t>0.5 part Coconut rum</t>
  </si>
  <si>
    <t>Loveshake</t>
  </si>
  <si>
    <t>Pangalactic Gargleblaster</t>
  </si>
  <si>
    <t>1 oz mezcal</t>
  </si>
  <si>
    <t>Rhubarb Rum Fizz</t>
  </si>
  <si>
    <t>4.5 cl white rum - I used Banks 5 Island</t>
  </si>
  <si>
    <t>- I used Banks 5 Island</t>
  </si>
  <si>
    <t>Cosmojito</t>
  </si>
  <si>
    <t>2 ounces cranberry juice</t>
  </si>
  <si>
    <t>Frosty Bulldog Margarita</t>
  </si>
  <si>
    <t>Tequila 1.5 oz</t>
  </si>
  <si>
    <t>Johnnie Walker Double Black Bobby Burns</t>
  </si>
  <si>
    <t>Midori Frosty Fruit</t>
  </si>
  <si>
    <t>Orange vodka 1.5 oz</t>
  </si>
  <si>
    <t>Orange vodka</t>
  </si>
  <si>
    <t>Frozen Skittle Kiwi-Banana Margarita</t>
  </si>
  <si>
    <t>Cream of coconut 1.5 oz</t>
  </si>
  <si>
    <t>Sex on the Beach</t>
  </si>
  <si>
    <t>30ml Smirnoff No. 21 Vodka</t>
  </si>
  <si>
    <t>Smirnoff No. 21</t>
  </si>
  <si>
    <t>The Buzz: A Tequila Cocktail</t>
  </si>
  <si>
    <t>0.5 oz dark creme de cacao</t>
  </si>
  <si>
    <t>dark creme de cacao</t>
  </si>
  <si>
    <t>Strawberry Lemongrass Martini</t>
  </si>
  <si>
    <t>10ml Italian Aperitif</t>
  </si>
  <si>
    <t>Italian Aperitif</t>
  </si>
  <si>
    <t>Caramel Frappuccino Shot</t>
  </si>
  <si>
    <t>Jamaican Rum Punch</t>
  </si>
  <si>
    <t>1.5 ounces white overproof rum</t>
  </si>
  <si>
    <t>white overproof rum</t>
  </si>
  <si>
    <t>Mixed Fruit Daiquiri</t>
  </si>
  <si>
    <t>0.5 cup mango chunks</t>
  </si>
  <si>
    <t>mango chunks</t>
  </si>
  <si>
    <t>Bloody Coochie</t>
  </si>
  <si>
    <t>Guilty Verdict</t>
  </si>
  <si>
    <t>Whisky Martini</t>
  </si>
  <si>
    <t>Isaiah Rynders</t>
  </si>
  <si>
    <t>3 dashes The Dead Rabbit Orinoco bitters</t>
  </si>
  <si>
    <t>Orinoco bitters</t>
  </si>
  <si>
    <t>The Dead Rabbit</t>
  </si>
  <si>
    <t>Classic Daiquiri Recipe</t>
  </si>
  <si>
    <t>Cane &amp; Tables Royal Hawaiian</t>
  </si>
  <si>
    <t>1.5 ounces London Dry gin, preferably Bombay Dry</t>
  </si>
  <si>
    <t>London Dry gin</t>
  </si>
  <si>
    <t>, preferably Bombay Dry</t>
  </si>
  <si>
    <t>Cherry Highball</t>
  </si>
  <si>
    <t>5 ounces soda water</t>
  </si>
  <si>
    <t>200 ml Orange Juice</t>
  </si>
  <si>
    <t>Dry Manhattan</t>
  </si>
  <si>
    <t>0.25 cup fresh lemon juice</t>
  </si>
  <si>
    <t>Giants Milk</t>
  </si>
  <si>
    <t>The Power of One, A Tropical Cocktail</t>
  </si>
  <si>
    <t>Easy Mexican Mule</t>
  </si>
  <si>
    <t>The Contender</t>
  </si>
  <si>
    <t>Cabernet syrup (@garyvee) 0.33 oz</t>
  </si>
  <si>
    <t>Cabernet syrup</t>
  </si>
  <si>
    <t>(@garyvee)</t>
  </si>
  <si>
    <t>Salted Caramel Apple Martini</t>
  </si>
  <si>
    <t>1.5 oz cider Whiskey (King's Creek)</t>
  </si>
  <si>
    <t>cider Whiskey</t>
  </si>
  <si>
    <t>(King's Creek)</t>
  </si>
  <si>
    <t>1 oz Orange Rum</t>
  </si>
  <si>
    <t>Orange Rum</t>
  </si>
  <si>
    <t>Daddys Daiq: A Daiquiri Recipe</t>
  </si>
  <si>
    <t>0.33 oz gum syrup</t>
  </si>
  <si>
    <t>gum syrup</t>
  </si>
  <si>
    <t>Monte Cristo Coffee Cocktail</t>
  </si>
  <si>
    <t>0.2 oz Whipped Cream</t>
  </si>
  <si>
    <t>Zac Overmans Picon Punch</t>
  </si>
  <si>
    <t>sparkling wine, to top</t>
  </si>
  <si>
    <t>Letters To Paris</t>
  </si>
  <si>
    <t>Gin 1.5 oz</t>
  </si>
  <si>
    <t>Stirrings Caramel Macchiato</t>
  </si>
  <si>
    <t>25ml Stirrings Espresso Flavored Liqueur</t>
  </si>
  <si>
    <t>Espresso Flavored Liqueur</t>
  </si>
  <si>
    <t>Stirrings</t>
  </si>
  <si>
    <t>Black Mole Margarita</t>
  </si>
  <si>
    <t>Mexican Sunset</t>
  </si>
  <si>
    <t>Aqua Marina</t>
  </si>
  <si>
    <t>.5 oz Creme De Menthe</t>
  </si>
  <si>
    <t>Gordon's Pink &amp; Tonic</t>
  </si>
  <si>
    <t>1 Sliced strawberry</t>
  </si>
  <si>
    <t>strawberry</t>
  </si>
  <si>
    <t>Sliced</t>
  </si>
  <si>
    <t>Cit on Fire</t>
  </si>
  <si>
    <t>2 oz Cinnamon Schnapps</t>
  </si>
  <si>
    <t>Tequila Sangria</t>
  </si>
  <si>
    <t>Lemon lime soda 16 oz</t>
  </si>
  <si>
    <t>Apple Cider Spritz</t>
  </si>
  <si>
    <t>Ice (try clear ice!)</t>
  </si>
  <si>
    <t>(try clear ice!)</t>
  </si>
  <si>
    <t>4 oz of sweet and sour mix</t>
  </si>
  <si>
    <t>sweet and sour mix</t>
  </si>
  <si>
    <t>1 Lemon Slice (Garnish)</t>
  </si>
  <si>
    <t>Dry Rye Manhattan</t>
  </si>
  <si>
    <t>Garnish with Lemon Peel</t>
  </si>
  <si>
    <t>Mama, Im Coming Home</t>
  </si>
  <si>
    <t>Garnish: soft caramel candy</t>
  </si>
  <si>
    <t>soft caramel candy</t>
  </si>
  <si>
    <t>Kapri Robinsons Adonis</t>
  </si>
  <si>
    <t>3 dashes orange bitters, preferably Regans</t>
  </si>
  <si>
    <t>, preferably Regans</t>
  </si>
  <si>
    <t>Pillow Talk</t>
  </si>
  <si>
    <t>0.25 part Violet-berry liqueur or Raspberry liqueur</t>
  </si>
  <si>
    <t>Violet-berry liqueur|Raspberry liqueur</t>
  </si>
  <si>
    <t>Oyster Bay</t>
  </si>
  <si>
    <t>Vixen Punch</t>
  </si>
  <si>
    <t>8 cups water</t>
  </si>
  <si>
    <t>Bolero</t>
  </si>
  <si>
    <t>Cranberry Fresh Punch</t>
  </si>
  <si>
    <t>0.75 cup freshly squeezed lemon juice, from 4 lemons</t>
  </si>
  <si>
    <t>, from 4 lemons</t>
  </si>
  <si>
    <t>Devils Margarita</t>
  </si>
  <si>
    <t>1.5 ounces blanco tequila</t>
  </si>
  <si>
    <t>Screwdriver 2</t>
  </si>
  <si>
    <t>4  6 oz Orange Juice</t>
  </si>
  <si>
    <t xml:space="preserve"> 4|6</t>
  </si>
  <si>
    <t>Blue Cosmopolitan</t>
  </si>
  <si>
    <t>0.5 oz Sugar Syrup</t>
  </si>
  <si>
    <t>Vodka Mojito Recipe</t>
  </si>
  <si>
    <t>0.5 ounce rich simple syrup</t>
  </si>
  <si>
    <t>rich simple syrup</t>
  </si>
  <si>
    <t>Cosmopolitan with Grand Marnier</t>
  </si>
  <si>
    <t>1 fluid ounce citron vodka</t>
  </si>
  <si>
    <t>citron vodka</t>
  </si>
  <si>
    <t>Tipsy Turtle</t>
  </si>
  <si>
    <t>Oolong, Orange, and Whiskey Punch</t>
  </si>
  <si>
    <t>2.67 cups fresh orange juice</t>
  </si>
  <si>
    <t>Blue Memphis</t>
  </si>
  <si>
    <t>Caribbean Bliss</t>
  </si>
  <si>
    <t>1 part of Tequila</t>
  </si>
  <si>
    <t>30 ml Gomme syrup</t>
  </si>
  <si>
    <t>Gomme syrup</t>
  </si>
  <si>
    <t>Apple and Starfruit Juice</t>
  </si>
  <si>
    <t>3 Apple</t>
  </si>
  <si>
    <t>80s Wine Cooler</t>
  </si>
  <si>
    <t>.5 oz Lemon Juice</t>
  </si>
  <si>
    <t>30ml Cloudy Apple Juice</t>
  </si>
  <si>
    <t>Cloudy</t>
  </si>
  <si>
    <t>Easy Pomegranate Champagne Punch</t>
  </si>
  <si>
    <t>2 cups pomegranate juice</t>
  </si>
  <si>
    <t>pomegranate juice</t>
  </si>
  <si>
    <t>A Lark`s Tropical Heaven</t>
  </si>
  <si>
    <t>2 oz Coconut Rum</t>
  </si>
  <si>
    <t>Happy Hooker</t>
  </si>
  <si>
    <t>0.33 shot of Tia Maria</t>
  </si>
  <si>
    <t>Tia Maria</t>
  </si>
  <si>
    <t>Pink Panty Dropper Punch</t>
  </si>
  <si>
    <t>B&amp;B Cocktail</t>
  </si>
  <si>
    <t>1.5 ounces Benedictine Liqueur</t>
  </si>
  <si>
    <t>Benedictine Liqueur</t>
  </si>
  <si>
    <t>Twenty Seventy Swizzle</t>
  </si>
  <si>
    <t>Blushin` Russian</t>
  </si>
  <si>
    <t>0.33 oz Almond Liqueur</t>
  </si>
  <si>
    <t>Gingerbread Man 2</t>
  </si>
  <si>
    <t>.33 oz Irish Cream</t>
  </si>
  <si>
    <t>Green Dublin Apple Cocktail</t>
  </si>
  <si>
    <t>2 ounces Irish whiskey</t>
  </si>
  <si>
    <t>Pumpkin Bomb</t>
  </si>
  <si>
    <t>Dirty Maria Shooters</t>
  </si>
  <si>
    <t>Redbirds Black Eyed Susan Cocktail</t>
  </si>
  <si>
    <t>Homemade Coquito Bueno</t>
  </si>
  <si>
    <t>2 Egg</t>
  </si>
  <si>
    <t>Super Juice Margarita</t>
  </si>
  <si>
    <t>0.25 ounce honey syrup (or agave syrup)</t>
  </si>
  <si>
    <t>honey syrup|agave syrup</t>
  </si>
  <si>
    <t>Drunken Punkn Latte</t>
  </si>
  <si>
    <t>1 tbsp of sugar</t>
  </si>
  <si>
    <t>Apple Batorade</t>
  </si>
  <si>
    <t>Caipirinha Cocktail</t>
  </si>
  <si>
    <t>0.5 lime, cut into wedges</t>
  </si>
  <si>
    <t>, cut into</t>
  </si>
  <si>
    <t>3 oz hot cocoa mix</t>
  </si>
  <si>
    <t>cocoa mix</t>
  </si>
  <si>
    <t>Addison Special</t>
  </si>
  <si>
    <t>Fill with Orange juice</t>
  </si>
  <si>
    <t>Fill with</t>
  </si>
  <si>
    <t>Spring</t>
  </si>
  <si>
    <t>40 ml Banana Liqueur</t>
  </si>
  <si>
    <t>Strawberry Fields</t>
  </si>
  <si>
    <t>0.5 ounce fino sherry</t>
  </si>
  <si>
    <t>Bloody Jack</t>
  </si>
  <si>
    <t>Midori Sour Cocktail</t>
  </si>
  <si>
    <t>1.5 ounces Midori melon liqueur</t>
  </si>
  <si>
    <t>Midori melon liqueur</t>
  </si>
  <si>
    <t>Cafe Dolce</t>
  </si>
  <si>
    <t>2 oz Tiramisu Liqueur</t>
  </si>
  <si>
    <t>Tiramisu Liqueur</t>
  </si>
  <si>
    <t>Caribbean Ice Tea</t>
  </si>
  <si>
    <t>1 Part Sours</t>
  </si>
  <si>
    <t>Hot Buttered Apple Cider</t>
  </si>
  <si>
    <t>0.5 cup brown sugar</t>
  </si>
  <si>
    <t>brown sugar</t>
  </si>
  <si>
    <t>Chocolate Covered Cherry Martini</t>
  </si>
  <si>
    <t>Peach Margaritas</t>
  </si>
  <si>
    <t>3 cups tequila</t>
  </si>
  <si>
    <t>Devil's Own</t>
  </si>
  <si>
    <t>1 oz of Gin</t>
  </si>
  <si>
    <t>of Gin</t>
  </si>
  <si>
    <t>Spaghetti Western</t>
  </si>
  <si>
    <t>1 part Lemon Juice</t>
  </si>
  <si>
    <t>Clover Club 2.0</t>
  </si>
  <si>
    <t>0.75 oz fresh egg white</t>
  </si>
  <si>
    <t>Kahuna Sour</t>
  </si>
  <si>
    <t>Passion fruit puree 1 oz</t>
  </si>
  <si>
    <t>Classic Pimms Cup</t>
  </si>
  <si>
    <t>2 oz Pimm's No. 1</t>
  </si>
  <si>
    <t>Pimm's No. 1</t>
  </si>
  <si>
    <t>A Little Chili Punch</t>
  </si>
  <si>
    <t>Epic Margarita Jungle Juice</t>
  </si>
  <si>
    <t>Triple sec 4 bottles</t>
  </si>
  <si>
    <t>Elote Cobbler</t>
  </si>
  <si>
    <t>0.25 ounce orgeat, preferably Torgeat</t>
  </si>
  <si>
    <t>orgeat</t>
  </si>
  <si>
    <t>, preferably Torgeat</t>
  </si>
  <si>
    <t>Asian Hooker</t>
  </si>
  <si>
    <t>1.5 oz Coconut Rum</t>
  </si>
  <si>
    <t>Brain Hemorrhage Jello Shots</t>
  </si>
  <si>
    <t>Plain gelatine 1 tbsp</t>
  </si>
  <si>
    <t>Don Julio Blanco Paloma</t>
  </si>
  <si>
    <t>60ml Grapefruit Juice</t>
  </si>
  <si>
    <t>Cucumber Mint Mule-arita</t>
  </si>
  <si>
    <t>Cucumber slice and mint sprig for garnish</t>
  </si>
  <si>
    <t>slice|sprig</t>
  </si>
  <si>
    <t>Cucumber|mint</t>
  </si>
  <si>
    <t>Cucumber Cleanse</t>
  </si>
  <si>
    <t>0.75 ounce fresh cucumber juice</t>
  </si>
  <si>
    <t>cucumber juice</t>
  </si>
  <si>
    <t>Coffee With Giuseppe</t>
  </si>
  <si>
    <t>0.75 ounce Cynar</t>
  </si>
  <si>
    <t>Coo Coo</t>
  </si>
  <si>
    <t>Talisker Smoked Honey</t>
  </si>
  <si>
    <t>Negroni Svegliato: A Coffee Negroni</t>
  </si>
  <si>
    <t>1 oz coffee-brewed sweet vermouth</t>
  </si>
  <si>
    <t>coffee-brewed sweet vermouth</t>
  </si>
  <si>
    <t>Butterfinger Pudding Shots</t>
  </si>
  <si>
    <t>Milk 3 oz</t>
  </si>
  <si>
    <t>Amaro Daiquiri</t>
  </si>
  <si>
    <t>0.5 ounce Amaro Lucano</t>
  </si>
  <si>
    <t>Amaro Lucano</t>
  </si>
  <si>
    <t>Apple Martini</t>
  </si>
  <si>
    <t>Australian Mr Howard</t>
  </si>
  <si>
    <t>60ml Seedlip Spice 94</t>
  </si>
  <si>
    <t>Seedlip Spice 94</t>
  </si>
  <si>
    <t>2 ounces  vodka</t>
  </si>
  <si>
    <t>Mint &amp; Pistachio Martini</t>
  </si>
  <si>
    <t>25ml Smirnoff Vanilla</t>
  </si>
  <si>
    <t>Smirnoff Vanilla</t>
  </si>
  <si>
    <t>White Orchid</t>
  </si>
  <si>
    <t>10ml White Tea</t>
  </si>
  <si>
    <t>White Tea</t>
  </si>
  <si>
    <t>Bushranger</t>
  </si>
  <si>
    <t>.5 oz White Vermouth</t>
  </si>
  <si>
    <t>White Vermouth</t>
  </si>
  <si>
    <t>Ginger Martini</t>
  </si>
  <si>
    <t>Bourbon Slush</t>
  </si>
  <si>
    <t>2 cups bourbon whiskey</t>
  </si>
  <si>
    <t>Pink Lady</t>
  </si>
  <si>
    <t>Gin Rickey Recipe</t>
  </si>
  <si>
    <t>Cat Cocktail</t>
  </si>
  <si>
    <t>1.5 oz of Vodka</t>
  </si>
  <si>
    <t>Pink Fizzy</t>
  </si>
  <si>
    <t>1 Part Watermelon Schnapps</t>
  </si>
  <si>
    <t>Watermelon Schnapps</t>
  </si>
  <si>
    <t>Cherry Bomb 4</t>
  </si>
  <si>
    <t>2 oz Herbal Liqueur</t>
  </si>
  <si>
    <t>Ocean Water</t>
  </si>
  <si>
    <t>Petes Black Jack</t>
  </si>
  <si>
    <t>Sambuca 1 part</t>
  </si>
  <si>
    <t>Sambuca</t>
  </si>
  <si>
    <t>Grandpa`s Cough Medicine</t>
  </si>
  <si>
    <t>.5 oz Rum</t>
  </si>
  <si>
    <t>Australian Bramble</t>
  </si>
  <si>
    <t>30ml Lemon Juice</t>
  </si>
  <si>
    <t>Sunset Shot</t>
  </si>
  <si>
    <t>Grenadine 1 dash</t>
  </si>
  <si>
    <t>Knickerbocker Martini</t>
  </si>
  <si>
    <t>1 oz White Vermouth</t>
  </si>
  <si>
    <t>Gin Crown</t>
  </si>
  <si>
    <t>Martinez</t>
  </si>
  <si>
    <t>0.25 oz Maraschino liqueur</t>
  </si>
  <si>
    <t>Brooklynite</t>
  </si>
  <si>
    <t>Mojito Diablo</t>
  </si>
  <si>
    <t>15ml Lemongrass/kaffir lime cordial</t>
  </si>
  <si>
    <t>Lemongrass/kaffir lime cordial</t>
  </si>
  <si>
    <t>Angele Green Tea Cooler</t>
  </si>
  <si>
    <t>50 ml Lemon Juice</t>
  </si>
  <si>
    <t>Campari Spritz</t>
  </si>
  <si>
    <t>Garnish: orange slice</t>
  </si>
  <si>
    <t xml:space="preserve">Garnish: </t>
  </si>
  <si>
    <t>Trash Can Punch</t>
  </si>
  <si>
    <t>Hawaiian punch 160 oz</t>
  </si>
  <si>
    <t>Hawaiian punch</t>
  </si>
  <si>
    <t>Lunar Vision: A Carrot Colada</t>
  </si>
  <si>
    <t>1 oz carrot juice</t>
  </si>
  <si>
    <t>1 packet Blueberry Jello / Jelly</t>
  </si>
  <si>
    <t>Blueberry Jello / Jelly</t>
  </si>
  <si>
    <t>Maple Old Fashioned</t>
  </si>
  <si>
    <t>Orange peel for garnish</t>
  </si>
  <si>
    <t>Orange peel</t>
  </si>
  <si>
    <t>Cold Brew Highball</t>
  </si>
  <si>
    <t>0.5 Pink Grapefruit Juice</t>
  </si>
  <si>
    <t>Pink Grapefruit Juice</t>
  </si>
  <si>
    <t>Australian Caipiroska</t>
  </si>
  <si>
    <t>60ml Ketel One Vodka</t>
  </si>
  <si>
    <t>1 cup ice, or as needed</t>
  </si>
  <si>
    <t>French 0.5</t>
  </si>
  <si>
    <t>20 whole cloves</t>
  </si>
  <si>
    <t>cloves</t>
  </si>
  <si>
    <t>Nutella Martini</t>
  </si>
  <si>
    <t>Nuts</t>
  </si>
  <si>
    <t>Sonoran Sunset</t>
  </si>
  <si>
    <t>0.75 part Cactus fruit syrup</t>
  </si>
  <si>
    <t>Cactus fruit syrup</t>
  </si>
  <si>
    <t>Matador Cocktail</t>
  </si>
  <si>
    <t>1 Pinch Salt</t>
  </si>
  <si>
    <t>Emerald Shooter</t>
  </si>
  <si>
    <t>Melon liqueur 1 part</t>
  </si>
  <si>
    <t>Tiramisu Cocktail</t>
  </si>
  <si>
    <t>12 oz simple syrup</t>
  </si>
  <si>
    <t>Double shot of espresso</t>
  </si>
  <si>
    <t>Double</t>
  </si>
  <si>
    <t>espresso</t>
  </si>
  <si>
    <t>Jelly Bean Martini</t>
  </si>
  <si>
    <t>2 white jelly beans</t>
  </si>
  <si>
    <t>white jelly beans</t>
  </si>
  <si>
    <t>Jack daniels 1 part</t>
  </si>
  <si>
    <t>Adios</t>
  </si>
  <si>
    <t>PSG&amp;T (Pumpkin Spice Gin &amp; Tonic)</t>
  </si>
  <si>
    <t>2 dashes tartaric acid</t>
  </si>
  <si>
    <t>tartaric acid</t>
  </si>
  <si>
    <t>Low Sugar Long Island Iced Tea</t>
  </si>
  <si>
    <t>Gin 5 oz</t>
  </si>
  <si>
    <t>Floralia Gimlet</t>
  </si>
  <si>
    <t>10.5 parts Vodka</t>
  </si>
  <si>
    <t>Blue Lagoon Sangria</t>
  </si>
  <si>
    <t>Le Daiquiri</t>
  </si>
  <si>
    <t>0.75 ounce pandan sweet potato syrup</t>
  </si>
  <si>
    <t>pandan sweet potato syrup</t>
  </si>
  <si>
    <t>London Iced Tea</t>
  </si>
  <si>
    <t>California Cooler Cocktail</t>
  </si>
  <si>
    <t>1 12 oz London dry gin</t>
  </si>
  <si>
    <t>1|12</t>
  </si>
  <si>
    <t>Watermelon Tequila Ice Pops</t>
  </si>
  <si>
    <t>Agave syrup 1 oz</t>
  </si>
  <si>
    <t>Bucket of Margaritas</t>
  </si>
  <si>
    <t>1 can frozen limeade</t>
  </si>
  <si>
    <t>limeade</t>
  </si>
  <si>
    <t>Caribbean Fly</t>
  </si>
  <si>
    <t>1 tbsp Honey</t>
  </si>
  <si>
    <t>Strawberry Tarragon Snow Cone</t>
  </si>
  <si>
    <t>0.5 cup fresh lemon juice</t>
  </si>
  <si>
    <t>Bourbon Cocktail: Fallen Patriot</t>
  </si>
  <si>
    <t>10 mint leaves</t>
  </si>
  <si>
    <t>Easter Bunny Shot</t>
  </si>
  <si>
    <t>Brief Encounter</t>
  </si>
  <si>
    <t>Timberpoint Cooler</t>
  </si>
  <si>
    <t>Killer Chronic</t>
  </si>
  <si>
    <t>The Late Night Lychee Margarita</t>
  </si>
  <si>
    <t>12 to 20 sprigs cilantro, leaves only</t>
  </si>
  <si>
    <t>12|20</t>
  </si>
  <si>
    <t xml:space="preserve"> cilantro</t>
  </si>
  <si>
    <t>to|, leaves only</t>
  </si>
  <si>
    <t>Halloween Jell-O Shots</t>
  </si>
  <si>
    <t>1 cup vodka</t>
  </si>
  <si>
    <t>Roe &amp; Co Highball</t>
  </si>
  <si>
    <t>1 Pink Grapefruit Wedge (Garnish)</t>
  </si>
  <si>
    <t>Pink Grapefruit</t>
  </si>
  <si>
    <t>Melon Vodka on the Rocks</t>
  </si>
  <si>
    <t>Color in Your Cheeks</t>
  </si>
  <si>
    <t>1.25 ounces Fernet-Branca</t>
  </si>
  <si>
    <t>Zacapa Old Fashioned</t>
  </si>
  <si>
    <t>10ml Plum or date syrup</t>
  </si>
  <si>
    <t>Plum|date syrup</t>
  </si>
  <si>
    <t>Strawberry Mai Tai</t>
  </si>
  <si>
    <t>1.5 parts fresh Lime Juice</t>
  </si>
  <si>
    <t>Basil &amp; Strawberry Fizz</t>
  </si>
  <si>
    <t>2 Strawberries</t>
  </si>
  <si>
    <t>Strawberries</t>
  </si>
  <si>
    <t>The Inward Turn</t>
  </si>
  <si>
    <t>0.75 parts tomato water</t>
  </si>
  <si>
    <t>tomato water</t>
  </si>
  <si>
    <t>Nuts &amp; Berries</t>
  </si>
  <si>
    <t>12.5ml Chambord</t>
  </si>
  <si>
    <t>Chambord</t>
  </si>
  <si>
    <t>Quarantine Order</t>
  </si>
  <si>
    <t>Granger</t>
  </si>
  <si>
    <t>4 parts Sparkling white wine or Sparkling rose wine</t>
  </si>
  <si>
    <t>Kiss Me Cocktail</t>
  </si>
  <si>
    <t>1 part Jim Beam Rye</t>
  </si>
  <si>
    <t>Jim Beam Rye</t>
  </si>
  <si>
    <t>1 oz lime juice</t>
  </si>
  <si>
    <t>Kaleidoscope Eyes</t>
  </si>
  <si>
    <t>Edible Cookie Shots Recipe</t>
  </si>
  <si>
    <t>0.75 teaspoon baking soda</t>
  </si>
  <si>
    <t>baking soda</t>
  </si>
  <si>
    <t>Paper Plane Cocktail</t>
  </si>
  <si>
    <t>1 ounce Aperol</t>
  </si>
  <si>
    <t>Callaloo Cooler</t>
  </si>
  <si>
    <t>Royale Cup #4</t>
  </si>
  <si>
    <t>Andalusia</t>
  </si>
  <si>
    <t>1.5 oz Sherry</t>
  </si>
  <si>
    <t>Mango Cream</t>
  </si>
  <si>
    <t>15ml Smirnoff Mango</t>
  </si>
  <si>
    <t>Smirnoff Mango</t>
  </si>
  <si>
    <t>The Noble Highball</t>
  </si>
  <si>
    <t>Alcoholic Sherbert Delight</t>
  </si>
  <si>
    <t>2 Dashes Grenadine Syrup</t>
  </si>
  <si>
    <t>Bay Breeze</t>
  </si>
  <si>
    <t>2 oz Vodka</t>
  </si>
  <si>
    <t>A. F. Tini</t>
  </si>
  <si>
    <t>Gloom Lifter</t>
  </si>
  <si>
    <t>.5 Egg</t>
  </si>
  <si>
    <t>34 oz coffee liqueur</t>
  </si>
  <si>
    <t>The Punani</t>
  </si>
  <si>
    <t>Mint Vacation Treat</t>
  </si>
  <si>
    <t>4 Scoop Ice Cream</t>
  </si>
  <si>
    <t>2 oz of rum</t>
  </si>
  <si>
    <t>Breeze of Saronno</t>
  </si>
  <si>
    <t>0.75 oz Creme De Menthe</t>
  </si>
  <si>
    <t>Raspberry Julep</t>
  </si>
  <si>
    <t>0.5 oz Raspberry syrup</t>
  </si>
  <si>
    <t>Raspberry syrup</t>
  </si>
  <si>
    <t>Rebel Yell Cocktail</t>
  </si>
  <si>
    <t>2 oz Bourbon Whiskey</t>
  </si>
  <si>
    <t>Cranberry Margarita With Apple-Cinnamon Tequila Recipe</t>
  </si>
  <si>
    <t>Matcha and Mint Hot Chocolate</t>
  </si>
  <si>
    <t>Hot Chocolate:</t>
  </si>
  <si>
    <t>:</t>
  </si>
  <si>
    <t>Tiffany Punch</t>
  </si>
  <si>
    <t>White rum 3 oz</t>
  </si>
  <si>
    <t>Brown Butter Old Fashioned</t>
  </si>
  <si>
    <t>4 dashes Bitters</t>
  </si>
  <si>
    <t>Coconut Bubble Gum Shot</t>
  </si>
  <si>
    <t>Bubble gum infused rum 1 oz</t>
  </si>
  <si>
    <t>Bubble gum infused rum</t>
  </si>
  <si>
    <t>French Flamingo</t>
  </si>
  <si>
    <t>Eves Pot Liquor</t>
  </si>
  <si>
    <t>0.5 part collard green juice</t>
  </si>
  <si>
    <t>collard green juice</t>
  </si>
  <si>
    <t>Mad Russian</t>
  </si>
  <si>
    <t>Cardinal Points</t>
  </si>
  <si>
    <t>0.5 ounce caramelized Curacao</t>
  </si>
  <si>
    <t>caramelized Curacao</t>
  </si>
  <si>
    <t>Prickly pear puree 0.75 oz</t>
  </si>
  <si>
    <t>Prickly pear puree</t>
  </si>
  <si>
    <t>Morgan Madras</t>
  </si>
  <si>
    <t>Paloma</t>
  </si>
  <si>
    <t>Pink Grapefruit wedge</t>
  </si>
  <si>
    <t>Screaming Orgasm</t>
  </si>
  <si>
    <t>Expense of Honesty Cocktail</t>
  </si>
  <si>
    <t>1 ounce Bourbon Whiskey Old Forester Signature</t>
  </si>
  <si>
    <t>Bourbon Whiskey Old Forester Signature</t>
  </si>
  <si>
    <t>USS Richmond Punch</t>
  </si>
  <si>
    <t>Garnish: grated nutmeg</t>
  </si>
  <si>
    <t>Big Red Hooter 2</t>
  </si>
  <si>
    <t>25 mL Herbal Liqueur</t>
  </si>
  <si>
    <t>Gin and Jam Cocktail</t>
  </si>
  <si>
    <t>0.5 fluid ounce simple syrup</t>
  </si>
  <si>
    <t>Black Butterfly</t>
  </si>
  <si>
    <t>2 oz Blackberry Brandy</t>
  </si>
  <si>
    <t>Captains Saddle</t>
  </si>
  <si>
    <t>Golden Tang</t>
  </si>
  <si>
    <t>Good Cork</t>
  </si>
  <si>
    <t>Garnish: apple slice</t>
  </si>
  <si>
    <t>apple</t>
  </si>
  <si>
    <t>Kilbeggan Irish Coffee</t>
  </si>
  <si>
    <t>3 parts Coffee</t>
  </si>
  <si>
    <t>Jim`s Wild Cherries</t>
  </si>
  <si>
    <t>Tropical Sunrise</t>
  </si>
  <si>
    <t>Post Shift, A Spin on the Corpse Reviver No. 1</t>
  </si>
  <si>
    <t>0.5 oz sweet vermouth</t>
  </si>
  <si>
    <t>Kingston Zing</t>
  </si>
  <si>
    <t>1.5 ounces Wray &amp; Nephew overproof rum, chilled in the freezer</t>
  </si>
  <si>
    <t>overproof rum</t>
  </si>
  <si>
    <t>Wray &amp; Nephew|,|in the freezer</t>
  </si>
  <si>
    <t>Star Wars Cocktail</t>
  </si>
  <si>
    <t>Holiday Punch</t>
  </si>
  <si>
    <t>1 orange, sliced</t>
  </si>
  <si>
    <t>Lychee Cooler</t>
  </si>
  <si>
    <t>1.25 oz Mango Rum</t>
  </si>
  <si>
    <t>Mango Rum</t>
  </si>
  <si>
    <t>6 tablespoons simple syrup (or pure maple syrup)</t>
  </si>
  <si>
    <t>simple syrup|pure maple syrup</t>
  </si>
  <si>
    <t>Strawberry Gin Smash</t>
  </si>
  <si>
    <t>0.25 oz Cane Sugar</t>
  </si>
  <si>
    <t>Cane Sugar</t>
  </si>
  <si>
    <t>Corn Hub</t>
  </si>
  <si>
    <t>3 dashes Bittercube Chipotle Cacao bitters</t>
  </si>
  <si>
    <t>Chipotle Cacao bitters</t>
  </si>
  <si>
    <t>Strawberry Pina Colada #1</t>
  </si>
  <si>
    <t>Froth Blower Cocktail</t>
  </si>
  <si>
    <t>Secret Catch</t>
  </si>
  <si>
    <t>0.25 part Cinnamon syrup</t>
  </si>
  <si>
    <t>Cinnamon syrup</t>
  </si>
  <si>
    <t>Port Wine Flip</t>
  </si>
  <si>
    <t>Smirnoff Pink Grapefruit</t>
  </si>
  <si>
    <t>1 Lemon Peel (Garnish)</t>
  </si>
  <si>
    <t>Strawberries in syrup 1 frozen</t>
  </si>
  <si>
    <t>in syrup</t>
  </si>
  <si>
    <t>Sugar Houses Painkiller Recipe</t>
  </si>
  <si>
    <t>2 oz anejo rum</t>
  </si>
  <si>
    <t>anejo rum</t>
  </si>
  <si>
    <t>1 Bar Spoon of Sugar</t>
  </si>
  <si>
    <t>Mint Simple Syrup</t>
  </si>
  <si>
    <t>1 cup fresh mint leaves</t>
  </si>
  <si>
    <t>Classic Zombie Punch</t>
  </si>
  <si>
    <t>0.75 ounce freshly squeezed lime juice</t>
  </si>
  <si>
    <t>Jack Hammer</t>
  </si>
  <si>
    <t>Pure Ecstacy</t>
  </si>
  <si>
    <t>1-2 part of Vodka</t>
  </si>
  <si>
    <t>Winter's Finale</t>
  </si>
  <si>
    <t>1 Fennel frond</t>
  </si>
  <si>
    <t>Fennel frond</t>
  </si>
  <si>
    <t>Pineapple Fizz</t>
  </si>
  <si>
    <t>Garnish: dried organic rosebuds</t>
  </si>
  <si>
    <t>organic rosebuds</t>
  </si>
  <si>
    <t>Bradford</t>
  </si>
  <si>
    <t>Lewie</t>
  </si>
  <si>
    <t>Best Fiends Mojito</t>
  </si>
  <si>
    <t>Coconut rum 1.5 oz</t>
  </si>
  <si>
    <t>Bessemer</t>
  </si>
  <si>
    <t>.5 oz Peach Liqueur</t>
  </si>
  <si>
    <t>Legspreader</t>
  </si>
  <si>
    <t>1 oz of rum</t>
  </si>
  <si>
    <t>Espresso Martini Cocktail</t>
  </si>
  <si>
    <t>1 fluid ounce brewed espresso</t>
  </si>
  <si>
    <t>Green Ghost</t>
  </si>
  <si>
    <t>Booty Drink</t>
  </si>
  <si>
    <t>.5 Banana</t>
  </si>
  <si>
    <t>TGV</t>
  </si>
  <si>
    <t>A Thousand Ships</t>
  </si>
  <si>
    <t>Nutty Buddy Martini</t>
  </si>
  <si>
    <t>Volcano House Hot Buttered Rum</t>
  </si>
  <si>
    <t>10.5 parts Dark rum or Demerara rum or Aged rum</t>
  </si>
  <si>
    <t>Dark rum|Demerara rum|Aged rum</t>
  </si>
  <si>
    <t>Thyme of the Year</t>
  </si>
  <si>
    <t>3 parts Unfiltered Apple juice</t>
  </si>
  <si>
    <t>Monkey Coffee</t>
  </si>
  <si>
    <t>Bushwacker 3</t>
  </si>
  <si>
    <t>1 Part Dark Rum</t>
  </si>
  <si>
    <t>Seagrams Escapes Strawberry Mojito</t>
  </si>
  <si>
    <t>Lime segments</t>
  </si>
  <si>
    <t>0.25 oz of Demerara syrup</t>
  </si>
  <si>
    <t>Demerara syrup</t>
  </si>
  <si>
    <t>Country Cream</t>
  </si>
  <si>
    <t>.5 oz Bitters</t>
  </si>
  <si>
    <t>British Buck</t>
  </si>
  <si>
    <t>0.5 oz of simple syrup</t>
  </si>
  <si>
    <t>Summer Mash Up</t>
  </si>
  <si>
    <t>Garnish Pineapple Wedge</t>
  </si>
  <si>
    <t>Orange Crush</t>
  </si>
  <si>
    <t>1 part Vodka or Gin or Light rum or Citrus vodka</t>
  </si>
  <si>
    <t>Vodka|Gin|Light rum|Citrus vodka</t>
  </si>
  <si>
    <t>The Blue Dragon</t>
  </si>
  <si>
    <t>Coffee Caramel Cream</t>
  </si>
  <si>
    <t>SherryBear`s Lemonade</t>
  </si>
  <si>
    <t>Coffee Orloff</t>
  </si>
  <si>
    <t>4-6 oz Coffee</t>
  </si>
  <si>
    <t>4|6</t>
  </si>
  <si>
    <t>1 bottle Grain Alcohol</t>
  </si>
  <si>
    <t>Grain Alcohol</t>
  </si>
  <si>
    <t>Classic Scotch Sour Cocktail</t>
  </si>
  <si>
    <t>0.75 ounce freshly squeezed lemon juice</t>
  </si>
  <si>
    <t>Punch in the Head</t>
  </si>
  <si>
    <t>2 oz of Orange Juice</t>
  </si>
  <si>
    <t>Passion Pussy</t>
  </si>
  <si>
    <t>2 oz Cream</t>
  </si>
  <si>
    <t>Godfather Cocktail</t>
  </si>
  <si>
    <t>For the garnish: Lemon peel</t>
  </si>
  <si>
    <t>Bellini Cocktail</t>
  </si>
  <si>
    <t>1 part Peach Schnapps</t>
  </si>
  <si>
    <t>Lemon Highlander</t>
  </si>
  <si>
    <t>.5 oz Lemon Liqueur</t>
  </si>
  <si>
    <t>Lemon Liqueur</t>
  </si>
  <si>
    <t>Jamaican Iced Tea</t>
  </si>
  <si>
    <t>0.75 oz Dark Rum</t>
  </si>
  <si>
    <t>Hawaiian Screw</t>
  </si>
  <si>
    <t>Kiev Sundae</t>
  </si>
  <si>
    <t>1 tsp Raspberry Vodka</t>
  </si>
  <si>
    <t>Dark and Stormy</t>
  </si>
  <si>
    <t>3 oz of Ginger beer</t>
  </si>
  <si>
    <t>Mike and Ike Daiquiri</t>
  </si>
  <si>
    <t>Grenadine 1 oz</t>
  </si>
  <si>
    <t>Roasted Orange Negroni Sbagliato</t>
  </si>
  <si>
    <t>10.25 oz Campari</t>
  </si>
  <si>
    <t>Pomegranate Mimosa</t>
  </si>
  <si>
    <t>Pomegranate juice 1.5 oz</t>
  </si>
  <si>
    <t>Trojan Horse</t>
  </si>
  <si>
    <t>250 ml Cola</t>
  </si>
  <si>
    <t>Orange Push-Up</t>
  </si>
  <si>
    <t>Paris Dream</t>
  </si>
  <si>
    <t>2 parts Cranberry Juice</t>
  </si>
  <si>
    <t>Spiked Rainbow Jello</t>
  </si>
  <si>
    <t>Oops I Forgot My Line</t>
  </si>
  <si>
    <t>1 dash salt</t>
  </si>
  <si>
    <t>Blue Hawaiian Jello Shots</t>
  </si>
  <si>
    <t>Blue curacao 2 oz</t>
  </si>
  <si>
    <t>1 teaspoon ground black pepper</t>
  </si>
  <si>
    <t>black pepper</t>
  </si>
  <si>
    <t>Whiskey Sour Old Fashioned</t>
  </si>
  <si>
    <t>5 oz Sours</t>
  </si>
  <si>
    <t>Blood and Sand Cocktail</t>
  </si>
  <si>
    <t>1.5 oz Orange Juice</t>
  </si>
  <si>
    <t>Sweet Revenge Strawberry Jungle Juice</t>
  </si>
  <si>
    <t>White rum 0.5 bottle</t>
  </si>
  <si>
    <t>Moscow Mule Cocktail</t>
  </si>
  <si>
    <t>Uncommonly Clyde</t>
  </si>
  <si>
    <t>1 fluid ounce cold water</t>
  </si>
  <si>
    <t>cold</t>
  </si>
  <si>
    <t>Brown Mary</t>
  </si>
  <si>
    <t>Irish cream 4 oz</t>
  </si>
  <si>
    <t>Mud Pie with Beer Ice Cream</t>
  </si>
  <si>
    <t>Pie Crust</t>
  </si>
  <si>
    <t>Dark N Stormy</t>
  </si>
  <si>
    <t>1 wedge Lime</t>
  </si>
  <si>
    <t>Immaculate</t>
  </si>
  <si>
    <t>12.5 ml Amaretto</t>
  </si>
  <si>
    <t>Hot Buttered Rum Batter</t>
  </si>
  <si>
    <t>1 pound butter , softened to room temperature</t>
  </si>
  <si>
    <t>pound butter</t>
  </si>
  <si>
    <t>, softened to room temperature</t>
  </si>
  <si>
    <t>Apple Core</t>
  </si>
  <si>
    <t>Pan Am</t>
  </si>
  <si>
    <t>Roasted Toasted Almond</t>
  </si>
  <si>
    <t>Calypso Daiquiri</t>
  </si>
  <si>
    <t>Manhattan</t>
  </si>
  <si>
    <t>0.5 fluid ounce sweet vermouth</t>
  </si>
  <si>
    <t>Captain Morgan Island Punch</t>
  </si>
  <si>
    <t>10ml Captain Morgan Dark Rum</t>
  </si>
  <si>
    <t>Captain Morgan Dark Rum</t>
  </si>
  <si>
    <t>White Peach Sangria</t>
  </si>
  <si>
    <t>0.75 cup peach flavored vodka</t>
  </si>
  <si>
    <t>peach flavored vodka</t>
  </si>
  <si>
    <t>Buck Hunter Cocktail</t>
  </si>
  <si>
    <t>2.25 oz ginger syrup</t>
  </si>
  <si>
    <t>Livin' On A Prayer</t>
  </si>
  <si>
    <t>20ml Red vermouth</t>
  </si>
  <si>
    <t>Red vermouth</t>
  </si>
  <si>
    <t>Coronitas 2 undefined</t>
  </si>
  <si>
    <t>Coronitas undefined</t>
  </si>
  <si>
    <t>Sweet &amp; sour mix 2.5 oz</t>
  </si>
  <si>
    <t>Champurrado Recipe</t>
  </si>
  <si>
    <t>5 oz hot champurrado</t>
  </si>
  <si>
    <t>champurrado</t>
  </si>
  <si>
    <t>Candy Apple</t>
  </si>
  <si>
    <t>1 part DeKuyper Pucker Sour Apple Schnapps</t>
  </si>
  <si>
    <t>DeKuyper Pucker Sour Apple Schnapps</t>
  </si>
  <si>
    <t>Popsicle Daiquiri</t>
  </si>
  <si>
    <t>Fresh lime juice 1 oz</t>
  </si>
  <si>
    <t>VO Smooth</t>
  </si>
  <si>
    <t>70ml Cream</t>
  </si>
  <si>
    <t>ml Cream</t>
  </si>
  <si>
    <t>Deidru</t>
  </si>
  <si>
    <t>fill with Lemonade</t>
  </si>
  <si>
    <t>Corn N Oil</t>
  </si>
  <si>
    <t>3 dashes Aromatic bitters</t>
  </si>
  <si>
    <t>Anton Kinlochs Zombie</t>
  </si>
  <si>
    <t>1 tablespoon grenadine</t>
  </si>
  <si>
    <t>The Little Mermaid</t>
  </si>
  <si>
    <t>6 Cinnamon Stick</t>
  </si>
  <si>
    <t>Perfect Lemon Drop</t>
  </si>
  <si>
    <t>0.5 oz of peach schnapps</t>
  </si>
  <si>
    <t>Ghostbuster</t>
  </si>
  <si>
    <t>Vanilla vodka 0.5 oz</t>
  </si>
  <si>
    <t>Vanilla vodka</t>
  </si>
  <si>
    <t>Hop, Skip, and Go Naked</t>
  </si>
  <si>
    <t>1 pint whiskey</t>
  </si>
  <si>
    <t>Cointreau 1 splash</t>
  </si>
  <si>
    <t>Hawaiian Margarita Recipe</t>
  </si>
  <si>
    <t>0.25 cup fresh or frozen sliced strawberries, more for garnish</t>
  </si>
  <si>
    <t>or|, more for garnish</t>
  </si>
  <si>
    <t>El Fili Daiquiri</t>
  </si>
  <si>
    <t>1.5 ounces Gina mango nectar</t>
  </si>
  <si>
    <t>Gina mango nectar</t>
  </si>
  <si>
    <t>2 cups apple cider</t>
  </si>
  <si>
    <t>2 oz coconut Rum</t>
  </si>
  <si>
    <t>coconut Rum</t>
  </si>
  <si>
    <t>2 oz aged rum</t>
  </si>
  <si>
    <t>Ramos Melon Fizz</t>
  </si>
  <si>
    <t>0.75 ounce heavy cream</t>
  </si>
  <si>
    <t>heavy cream</t>
  </si>
  <si>
    <t>Australian Apple Highball</t>
  </si>
  <si>
    <t>30ml Johnnie Walker Black Label</t>
  </si>
  <si>
    <t>What The Dickens?</t>
  </si>
  <si>
    <t>4 dashes Aromatic bitters or Creole bitters</t>
  </si>
  <si>
    <t>Aromatic bitters or Creole bitters</t>
  </si>
  <si>
    <t>Boozy Arnold Palmer</t>
  </si>
  <si>
    <t>0.75 oz hibiscus syrup</t>
  </si>
  <si>
    <t>hibiscus syrup</t>
  </si>
  <si>
    <t>Malibu Fruit Juice</t>
  </si>
  <si>
    <t>1 dash of grenadine syrup</t>
  </si>
  <si>
    <t>Sex on the Brain</t>
  </si>
  <si>
    <t>Dirty Shirley</t>
  </si>
  <si>
    <t>Garnish: maraschino cherry</t>
  </si>
  <si>
    <t>maraschino cherry</t>
  </si>
  <si>
    <t>Spicy Bloody Mary Mix</t>
  </si>
  <si>
    <t>1 can tomato juice</t>
  </si>
  <si>
    <t>tomato juice</t>
  </si>
  <si>
    <t>Cranberry-Apple Shrub Recipe</t>
  </si>
  <si>
    <t>4 oz peeled, chopped Fuji apples</t>
  </si>
  <si>
    <t>Fuji apples</t>
  </si>
  <si>
    <t>Left Hand</t>
  </si>
  <si>
    <t>3 dashes chocolate bitters (such as Bittermens)</t>
  </si>
  <si>
    <t>chocolate bitters</t>
  </si>
  <si>
    <t>(such as Bittermens)</t>
  </si>
  <si>
    <t>Manhattan Sweet</t>
  </si>
  <si>
    <t>30ml Bulleit Bourbon</t>
  </si>
  <si>
    <t>Bahama Blue</t>
  </si>
  <si>
    <t>Harvest Sky</t>
  </si>
  <si>
    <t>West 8th</t>
  </si>
  <si>
    <t>Black Cherry Kool-Aid</t>
  </si>
  <si>
    <t>Calebassito Cocktail</t>
  </si>
  <si>
    <t>0.25 oz fresh lime juice</t>
  </si>
  <si>
    <t>Mexican Iceberg</t>
  </si>
  <si>
    <t>3 whole Clove</t>
  </si>
  <si>
    <t>Clove</t>
  </si>
  <si>
    <t>Nui Nui</t>
  </si>
  <si>
    <t>1 ounce freshly squeezed orange juice</t>
  </si>
  <si>
    <t>Liquid Panty Remover 3</t>
  </si>
  <si>
    <t>2.5 oz Peach Liqueur</t>
  </si>
  <si>
    <t>Jello Shots in Oranges</t>
  </si>
  <si>
    <t>500 ml Coconut Rum</t>
  </si>
  <si>
    <t>Revenant</t>
  </si>
  <si>
    <t>2 dashes Fee Brothers Aztec chocolate bitters</t>
  </si>
  <si>
    <t>Fee Brothers Aztec chocolate bitters</t>
  </si>
  <si>
    <t>La Vie en Rose</t>
  </si>
  <si>
    <t>Hot Brandy Flip</t>
  </si>
  <si>
    <t>Chocolate Confusion</t>
  </si>
  <si>
    <t>.5 oz Vanilla Rum</t>
  </si>
  <si>
    <t>Vanilla Rum</t>
  </si>
  <si>
    <t>Whistle While You Twerk</t>
  </si>
  <si>
    <t>Pimp Daddy</t>
  </si>
  <si>
    <t>Blueberry Lemon Drop Shots</t>
  </si>
  <si>
    <t>Liquid Skittles</t>
  </si>
  <si>
    <t>Breezy Day Punch</t>
  </si>
  <si>
    <t>Aruba Rum Punch</t>
  </si>
  <si>
    <t>Vodka Martini Cocktail</t>
  </si>
  <si>
    <t>2 cups ginger ale</t>
  </si>
  <si>
    <t>Jungle Juice to Go</t>
  </si>
  <si>
    <t>Fruit punch 1.5 cups</t>
  </si>
  <si>
    <t>Fruit punch</t>
  </si>
  <si>
    <t>Angostura Colada</t>
  </si>
  <si>
    <t>Garnish: pineapple fronds</t>
  </si>
  <si>
    <t>pineapple fronds</t>
  </si>
  <si>
    <t>Absinthe Flip</t>
  </si>
  <si>
    <t>0.5 oz Orange Liqueur</t>
  </si>
  <si>
    <t>Black Martini</t>
  </si>
  <si>
    <t>1 oz Freshly Brewed Espresso</t>
  </si>
  <si>
    <t>Brewed</t>
  </si>
  <si>
    <t>Apple Colada</t>
  </si>
  <si>
    <t>1 oz Half-and-half</t>
  </si>
  <si>
    <t>Arroz Con Leche</t>
  </si>
  <si>
    <t>0.5 ounce amontillado sherry, preferably Lustau</t>
  </si>
  <si>
    <t>, preferably Lustau</t>
  </si>
  <si>
    <t>3 Dashes of Tabasco Sauce</t>
  </si>
  <si>
    <t>Bahama Mama NC</t>
  </si>
  <si>
    <t>0.75 oz White Rum</t>
  </si>
  <si>
    <t>Alien Sex</t>
  </si>
  <si>
    <t>Blue raspberry vodka 2 oz</t>
  </si>
  <si>
    <t>Lights Out</t>
  </si>
  <si>
    <t>6 ounces boiling water</t>
  </si>
  <si>
    <t>Margarita</t>
  </si>
  <si>
    <t>1 Teaspoon of Salt (Garnish)</t>
  </si>
  <si>
    <t>Teaspoon</t>
  </si>
  <si>
    <t>Deep Sea Cocktail</t>
  </si>
  <si>
    <t>1 oz Dry Vermouth</t>
  </si>
  <si>
    <t>Homemade Orgeat Syrup</t>
  </si>
  <si>
    <t>1.5 cups warm distilled water</t>
  </si>
  <si>
    <t>distilled</t>
  </si>
  <si>
    <t>Thai Iced Tea Cocktail</t>
  </si>
  <si>
    <t>0.5 ounce sweetened condensed milk</t>
  </si>
  <si>
    <t>Mountain Dew Bomb Shot</t>
  </si>
  <si>
    <t>Mumbai Fizz</t>
  </si>
  <si>
    <t>25ml Cream</t>
  </si>
  <si>
    <t>Gin Sunray</t>
  </si>
  <si>
    <t>Bacon Chocolate Shot Glasses</t>
  </si>
  <si>
    <t>Bacon</t>
  </si>
  <si>
    <t>Old-Fashioned Cocktail</t>
  </si>
  <si>
    <t>Spiked Neapolitan Milkshake</t>
  </si>
  <si>
    <t>Chocolate liqueur 1 oz</t>
  </si>
  <si>
    <t>Chocolate liqueur</t>
  </si>
  <si>
    <t>Basil-Gin Cocktail</t>
  </si>
  <si>
    <t>1.5 fluid ounces pineapple juice</t>
  </si>
  <si>
    <t>Autumn Slumber Toddy</t>
  </si>
  <si>
    <t>12.5 ml Creme de Cassis</t>
  </si>
  <si>
    <t>Cruzan Coquito</t>
  </si>
  <si>
    <t>1 can Sweetened Condensed Milk</t>
  </si>
  <si>
    <t>Sweetened Condensed Milk</t>
  </si>
  <si>
    <t>Hugs &amp; Kisses Martini</t>
  </si>
  <si>
    <t>White chocolate liqueur 1.5 oz</t>
  </si>
  <si>
    <t>1 Orange</t>
  </si>
  <si>
    <t>Long Island Iced Tea infused Watermelon</t>
  </si>
  <si>
    <t>1 Large Watermelon</t>
  </si>
  <si>
    <t>Yuzu Drop</t>
  </si>
  <si>
    <t>Alligator Piss Shot</t>
  </si>
  <si>
    <t>Amaretto 0.33 oz</t>
  </si>
  <si>
    <t>Margarita al Pastor</t>
  </si>
  <si>
    <t>scant 1.75 ounces tequila</t>
  </si>
  <si>
    <t>scant</t>
  </si>
  <si>
    <t>Spiced Apple Cider</t>
  </si>
  <si>
    <t>Mint Chocolate Chip 2</t>
  </si>
  <si>
    <t>EFFEN Blood Orange Mimosa</t>
  </si>
  <si>
    <t>1 part EFFEN Blood Orange Vodka</t>
  </si>
  <si>
    <t>Blood Orange Vodka</t>
  </si>
  <si>
    <t>EFFEN</t>
  </si>
  <si>
    <t>French 75 Recipe</t>
  </si>
  <si>
    <t>1 oz simple syrup</t>
  </si>
  <si>
    <t>Godiva Spicy Knight</t>
  </si>
  <si>
    <t>50ml Godiva Dark Chocolate Liqueur</t>
  </si>
  <si>
    <t>3 ounces ginger beer , chilled</t>
  </si>
  <si>
    <t>Bloody Mary With All The Trimmings</t>
  </si>
  <si>
    <t>1 Lemon Wedge (0.12th)</t>
  </si>
  <si>
    <t>(0.12th)</t>
  </si>
  <si>
    <t>B.L.T.</t>
  </si>
  <si>
    <t>1 -.5 oz Lemon Rum</t>
  </si>
  <si>
    <t>1|.5</t>
  </si>
  <si>
    <t>Boozy Lavender Coconut Lemonade</t>
  </si>
  <si>
    <t>Coconut rum 0.5 oz</t>
  </si>
  <si>
    <t>Quick Brandy Eggnog</t>
  </si>
  <si>
    <t>Grated nutmeg, or cinnamon, for garnish</t>
  </si>
  <si>
    <t>Grated nutmeg|cinnamon</t>
  </si>
  <si>
    <t>, or|, for garnish</t>
  </si>
  <si>
    <t>Chamtini</t>
  </si>
  <si>
    <t>Frozen Mimosa</t>
  </si>
  <si>
    <t>Rusty Nail Cocktail</t>
  </si>
  <si>
    <t>Royal Gift</t>
  </si>
  <si>
    <t>0.25 ounce lemon syrup</t>
  </si>
  <si>
    <t>lemon syrup</t>
  </si>
  <si>
    <t>Jules Gutierrezs Feliz Ponche</t>
  </si>
  <si>
    <t>Mint Nojito</t>
  </si>
  <si>
    <t>Mint sprig for garnish (optional)</t>
  </si>
  <si>
    <t>Original Pina Colada</t>
  </si>
  <si>
    <t>1 oz of heavy cream</t>
  </si>
  <si>
    <t>American Flyer Cocktail</t>
  </si>
  <si>
    <t>fill with Champagne</t>
  </si>
  <si>
    <t>Suman</t>
  </si>
  <si>
    <t>1 Soda water to top up</t>
  </si>
  <si>
    <t>to top up</t>
  </si>
  <si>
    <t>Paralyzer 3</t>
  </si>
  <si>
    <t>15 oz Tropical-Fruit Liqueur</t>
  </si>
  <si>
    <t>The Gardeners Daughter</t>
  </si>
  <si>
    <t>Plum bitters 2 dashes</t>
  </si>
  <si>
    <t>Plum bitters</t>
  </si>
  <si>
    <t>.5 oz Orange Juice</t>
  </si>
  <si>
    <t>Godiva Dark Desire</t>
  </si>
  <si>
    <t>1 Sea salt (Garnish)</t>
  </si>
  <si>
    <t>Sea salt</t>
  </si>
  <si>
    <t>Taxco</t>
  </si>
  <si>
    <t>Australian Dark &amp; Stormy</t>
  </si>
  <si>
    <t>Aruba Smash</t>
  </si>
  <si>
    <t>2 oz Spiced Rum</t>
  </si>
  <si>
    <t>Brainwave</t>
  </si>
  <si>
    <t>.5 oz OP Rum</t>
  </si>
  <si>
    <t>2 thin Cucumber Slice</t>
  </si>
  <si>
    <t>Mexico City Cosmopolitan</t>
  </si>
  <si>
    <t>1 Lime Twist (Garnish)</t>
  </si>
  <si>
    <t>Virgin Mary</t>
  </si>
  <si>
    <t>Celery Stalk</t>
  </si>
  <si>
    <t>Avenue Scotch Cocktail</t>
  </si>
  <si>
    <t>0.5 oz ginger syrup</t>
  </si>
  <si>
    <t>10.5 parts Dry sherry</t>
  </si>
  <si>
    <t>The Fucking Shit</t>
  </si>
  <si>
    <t>1 oz Lemonade</t>
  </si>
  <si>
    <t>Lola &amp; Cola</t>
  </si>
  <si>
    <t>Sicilian Oranje Martini</t>
  </si>
  <si>
    <t>70ml Orange Juice</t>
  </si>
  <si>
    <t>Bubblegum Daiquiri</t>
  </si>
  <si>
    <t>10 drops Bittermens Orange Cream Citrate</t>
  </si>
  <si>
    <t>Orange Cream Citrate</t>
  </si>
  <si>
    <t xml:space="preserve">Bittermens </t>
  </si>
  <si>
    <t>Parkside Spritz From Nami Nori</t>
  </si>
  <si>
    <t>1 oz gin</t>
  </si>
  <si>
    <t>Khalis Coffee Grog</t>
  </si>
  <si>
    <t>1 ounce overproof Demerara rum, preferably Hamilton 151 rum</t>
  </si>
  <si>
    <t>overproof Demerara rum</t>
  </si>
  <si>
    <t>, preferably Hamilton 151 rum</t>
  </si>
  <si>
    <t>Pimms Cup Cocktail</t>
  </si>
  <si>
    <t>0.5 oz lemon juice freshly squeezed</t>
  </si>
  <si>
    <t>Rum &amp; Smoke</t>
  </si>
  <si>
    <t>Garnish: flamed rosemary sprig</t>
  </si>
  <si>
    <t>rosemary sprig</t>
  </si>
  <si>
    <t>flamed</t>
  </si>
  <si>
    <t>Basic Margarita</t>
  </si>
  <si>
    <t>2 cans frozen limeade concentrate</t>
  </si>
  <si>
    <t>Ectoplasm Shooter</t>
  </si>
  <si>
    <t>Melon liqueur 2 parts</t>
  </si>
  <si>
    <t>Sportsmans Club Whiskey Hot Toddy</t>
  </si>
  <si>
    <t>0.5 oz cinnamon syrup</t>
  </si>
  <si>
    <t>Do Not Go Gentle Into That Good Night</t>
  </si>
  <si>
    <t>Basil Berry Mojito</t>
  </si>
  <si>
    <t>Il Panetun from Jerry Thomas Project</t>
  </si>
  <si>
    <t>10.5 oz Grand Marnier</t>
  </si>
  <si>
    <t>Grand Marnier</t>
  </si>
  <si>
    <t>Frozen Mango Margarita</t>
  </si>
  <si>
    <t>Frozen mangos 1 cup</t>
  </si>
  <si>
    <t>mangos</t>
  </si>
  <si>
    <t>50ml Johnnie Walker Gold Label Blended Scotch Whisky</t>
  </si>
  <si>
    <t>Johnnie Walker Gold Label</t>
  </si>
  <si>
    <t>Tom &amp; Jerry</t>
  </si>
  <si>
    <t>1 dash Brandy</t>
  </si>
  <si>
    <t>Classic Old Fashioned</t>
  </si>
  <si>
    <t>Tainted Love Shot</t>
  </si>
  <si>
    <t>Oaxacan Ice Water</t>
  </si>
  <si>
    <t>2 parts Sparkling water</t>
  </si>
  <si>
    <t>Sparkling water</t>
  </si>
  <si>
    <t>Bacon Maple Jello Shots</t>
  </si>
  <si>
    <t>Cream soda 8 oz</t>
  </si>
  <si>
    <t>Cream soda</t>
  </si>
  <si>
    <t>Pineapple Upside Down Jello Shot</t>
  </si>
  <si>
    <t>King of Barbados, a Rum Cocktail for Fall</t>
  </si>
  <si>
    <t>Gattopardo</t>
  </si>
  <si>
    <t>Algonquin</t>
  </si>
  <si>
    <t>0.5 oz of dry vermouth</t>
  </si>
  <si>
    <t>Tequila Cosmo</t>
  </si>
  <si>
    <t>Free Silver</t>
  </si>
  <si>
    <t>0.25 Juice of Lemon</t>
  </si>
  <si>
    <t>Blueberry Vodka Smash</t>
  </si>
  <si>
    <t>2 ounces vodka</t>
  </si>
  <si>
    <t>John Cooper Deluxe</t>
  </si>
  <si>
    <t>1 oz Root Beer</t>
  </si>
  <si>
    <t>Sassy Sangria</t>
  </si>
  <si>
    <t>Pineapple chunks 1 cup</t>
  </si>
  <si>
    <t>Pineapple chunks</t>
  </si>
  <si>
    <t>White Russian Riff: Lite Treason</t>
  </si>
  <si>
    <t>0.5 oz amaro</t>
  </si>
  <si>
    <t>amaro</t>
  </si>
  <si>
    <t>Raspberry Peach Gin Fizz</t>
  </si>
  <si>
    <t>Amaretto Colada</t>
  </si>
  <si>
    <t>Lemon juice 0.5 oz</t>
  </si>
  <si>
    <t>Tea Ceremony</t>
  </si>
  <si>
    <t>0.5 ounce white creme de cacao</t>
  </si>
  <si>
    <t>Burberry Bulldog</t>
  </si>
  <si>
    <t>1  2 oz Pepper Soda</t>
  </si>
  <si>
    <t>2 parts Sipsmith London Dry Gin</t>
  </si>
  <si>
    <t>Barbara Maitlands Ghostly Gimlet</t>
  </si>
  <si>
    <t>Chawari Toddy</t>
  </si>
  <si>
    <t>5 oz hot bancha</t>
  </si>
  <si>
    <t>bancha</t>
  </si>
  <si>
    <t>Ta-Ke Martini</t>
  </si>
  <si>
    <t>1 dash orange bitters</t>
  </si>
  <si>
    <t>Penicillin Punch</t>
  </si>
  <si>
    <t>150ml Wild Blossom Honey Water (3:1)</t>
  </si>
  <si>
    <t>Wild Blossom Honey Water</t>
  </si>
  <si>
    <t>(3:1)</t>
  </si>
  <si>
    <t>Reggae Rum Punch</t>
  </si>
  <si>
    <t>0.5 ounce strawberry syrup</t>
  </si>
  <si>
    <t>Blue Champagne</t>
  </si>
  <si>
    <t>2  3 Dashes Blue Curacao Liqueur</t>
  </si>
  <si>
    <t>Strawberry Margarita Jello Shots</t>
  </si>
  <si>
    <t>Rum Runner</t>
  </si>
  <si>
    <t>0.5 ounce blackberry liqueur (such as Giffard Creme de Mure)</t>
  </si>
  <si>
    <t>blackberry liqueur</t>
  </si>
  <si>
    <t>(such as Giffard Creme de Mure)</t>
  </si>
  <si>
    <t>Bombay Cocktail</t>
  </si>
  <si>
    <t>Tito's Harvest Punch</t>
  </si>
  <si>
    <t>Cinnamon sugar, for rimming glasses</t>
  </si>
  <si>
    <t>Cinnamon sugar</t>
  </si>
  <si>
    <t>, for rimming glasses</t>
  </si>
  <si>
    <t>Bloody Mary Jello Shots</t>
  </si>
  <si>
    <t>Tabasco 1 dash</t>
  </si>
  <si>
    <t>Tabasco</t>
  </si>
  <si>
    <t>Bullfrog</t>
  </si>
  <si>
    <t>1 oz Energy Soda Red Bull</t>
  </si>
  <si>
    <t>Energy Soda Red Bull</t>
  </si>
  <si>
    <t>Caribbean Sunset</t>
  </si>
  <si>
    <t>0.75 oz of banana liqueur</t>
  </si>
  <si>
    <t>Blue Stone</t>
  </si>
  <si>
    <t>Royal Peaches and Cream</t>
  </si>
  <si>
    <t>.5 oz Canadian Whisky</t>
  </si>
  <si>
    <t>Arancia Spritz</t>
  </si>
  <si>
    <t>0.5 oz dry orange curacao</t>
  </si>
  <si>
    <t>dry orange curacao</t>
  </si>
  <si>
    <t>Gin and Tonic</t>
  </si>
  <si>
    <t>Butternut Squash and Sage Shrub Recipe</t>
  </si>
  <si>
    <t>2 cups granulated sugar</t>
  </si>
  <si>
    <t>1 oz Creme De Almond</t>
  </si>
  <si>
    <t>Creme De Almond</t>
  </si>
  <si>
    <t>Black Manhattan</t>
  </si>
  <si>
    <t>1 dash orange bitters (such as Regans)</t>
  </si>
  <si>
    <t>(such as Regans)</t>
  </si>
  <si>
    <t>Magnificent Mango Margaritas</t>
  </si>
  <si>
    <t>3 fluid ounces simple syrup</t>
  </si>
  <si>
    <t>The Merchant Hotels Dark N Stormy</t>
  </si>
  <si>
    <t>1 12 oz dark rum</t>
  </si>
  <si>
    <t>Pink Citroenade</t>
  </si>
  <si>
    <t>50ml Ketel One Citroen Flavoured Vodka</t>
  </si>
  <si>
    <t>Citroen Flavoured Vodka</t>
  </si>
  <si>
    <t>1.5 oz of Malibu coconut rum</t>
  </si>
  <si>
    <t>of Malibu</t>
  </si>
  <si>
    <t>Bullfrog 3</t>
  </si>
  <si>
    <t>Banana Foster Pudding Shots</t>
  </si>
  <si>
    <t>Whipped topping</t>
  </si>
  <si>
    <t>Kentucky Colonel</t>
  </si>
  <si>
    <t>0.5 oz Benedictine</t>
  </si>
  <si>
    <t>New Jack City From The Gin Joint</t>
  </si>
  <si>
    <t>1 oz coffee-infused sweet vermouth</t>
  </si>
  <si>
    <t>coffee-infused sweet vermouth</t>
  </si>
  <si>
    <t>Spencer</t>
  </si>
  <si>
    <t>1 dash Orange juice</t>
  </si>
  <si>
    <t>Don Old Fashioned</t>
  </si>
  <si>
    <t>7.5ml Agave Syrup</t>
  </si>
  <si>
    <t>Cherry Gobbler</t>
  </si>
  <si>
    <t>3.5 oz Citrus Soda</t>
  </si>
  <si>
    <t>Blinker</t>
  </si>
  <si>
    <t>Garnish: 3 raspberries , skewered</t>
  </si>
  <si>
    <t>skewered</t>
  </si>
  <si>
    <t>Don the Beachcombers Kona Cocktail</t>
  </si>
  <si>
    <t>0.5 cup crushed ice</t>
  </si>
  <si>
    <t>Raspberry Jalapeno Tequila</t>
  </si>
  <si>
    <t>Chocolate Banana Sherbet</t>
  </si>
  <si>
    <t>1 Cup Yoghurt</t>
  </si>
  <si>
    <t>Yoghurt</t>
  </si>
  <si>
    <t>1 Lime Wheel and Salt (Garnish)</t>
  </si>
  <si>
    <t>Lime|Salt</t>
  </si>
  <si>
    <t>and|(Garnish)</t>
  </si>
  <si>
    <t>Classic Margarita</t>
  </si>
  <si>
    <t>Chef John's Homemade Eggnog</t>
  </si>
  <si>
    <t>1 pinch freshly grated nutmeg</t>
  </si>
  <si>
    <t>Hard Lemon Ice</t>
  </si>
  <si>
    <t>0.25 Cup Vodka</t>
  </si>
  <si>
    <t>Strawberry Beer Margaritas</t>
  </si>
  <si>
    <t>1 pound fresh strawberries, hulled and cut into chunks</t>
  </si>
  <si>
    <t>hulled|chunks</t>
  </si>
  <si>
    <t>,|and cut into</t>
  </si>
  <si>
    <t>1.5 cl Lime Juice</t>
  </si>
  <si>
    <t>Lemon juice 1 oz</t>
  </si>
  <si>
    <t>Manhatta Astoria</t>
  </si>
  <si>
    <t>Garnish: lemon twist</t>
  </si>
  <si>
    <t>Dirty Martini</t>
  </si>
  <si>
    <t>3 parts Vodka or Gin</t>
  </si>
  <si>
    <t>Vodka|Gin</t>
  </si>
  <si>
    <t>Upper Cut</t>
  </si>
  <si>
    <t>Bala de Canon Cantaloupe Cocktail</t>
  </si>
  <si>
    <t>2 oz blanco tequila</t>
  </si>
  <si>
    <t>Coffee Cocktail</t>
  </si>
  <si>
    <t>Skeleton Cruise</t>
  </si>
  <si>
    <t>split (187ml) brut Champagne, to top</t>
  </si>
  <si>
    <t>brut Champagne</t>
  </si>
  <si>
    <t>split(|)|, to top</t>
  </si>
  <si>
    <t>Bennet Cocktail</t>
  </si>
  <si>
    <t>0.33 oz of sugar syrup</t>
  </si>
  <si>
    <t>sugar syrup</t>
  </si>
  <si>
    <t>Blue Velvet</t>
  </si>
  <si>
    <t>Blue Cooler</t>
  </si>
  <si>
    <t>Passionfruit Mango: Passionfruit Mango Mojito</t>
  </si>
  <si>
    <t>Black Panther Shot</t>
  </si>
  <si>
    <t>Billy Hamilton</t>
  </si>
  <si>
    <t>Rum and Tonic</t>
  </si>
  <si>
    <t>1 squeeze lime wedge</t>
  </si>
  <si>
    <t>squeeze</t>
  </si>
  <si>
    <t>4 Lime Wedges</t>
  </si>
  <si>
    <t>Waldorf-Astoria Eggnog</t>
  </si>
  <si>
    <t>3.5 oz Milk</t>
  </si>
  <si>
    <t>Four Men in a Boat</t>
  </si>
  <si>
    <t>5 ml Bourbon Whiskey</t>
  </si>
  <si>
    <t>2 shots Creme de Cacao</t>
  </si>
  <si>
    <t>Creme de Cacao</t>
  </si>
  <si>
    <t>Acca Daccari</t>
  </si>
  <si>
    <t>50ml Bundaberg 5 White Rum</t>
  </si>
  <si>
    <t>Bundaberg 5</t>
  </si>
  <si>
    <t>Silver Cloud</t>
  </si>
  <si>
    <t>Rose Cider Julep</t>
  </si>
  <si>
    <t>4.5 oz Angry Orchard Rose Cider</t>
  </si>
  <si>
    <t>Rose Cider</t>
  </si>
  <si>
    <t>Angry Orchard</t>
  </si>
  <si>
    <t>Cosmopolitan</t>
  </si>
  <si>
    <t>40ml Ketel One Citroen Vodka</t>
  </si>
  <si>
    <t>Citroen Vodka</t>
  </si>
  <si>
    <t>Cum in a Blender</t>
  </si>
  <si>
    <t>1 oz Whiskey</t>
  </si>
  <si>
    <t>.5 oz Whiskey</t>
  </si>
  <si>
    <t>Grapefruit Daiquiri</t>
  </si>
  <si>
    <t>20 ml Sugar Syrup</t>
  </si>
  <si>
    <t>1 dash Aromatic bitters or Tiki bitters or Walnut bitters</t>
  </si>
  <si>
    <t>Aromatic bitters|Tiki bitters|Walnut bitters</t>
  </si>
  <si>
    <t>Creme De Cassis Spritz</t>
  </si>
  <si>
    <t>3 oz Prosecco</t>
  </si>
  <si>
    <t>Blackberry Mojito</t>
  </si>
  <si>
    <t>0.5 cup soda water</t>
  </si>
  <si>
    <t>Bloody Caesar</t>
  </si>
  <si>
    <t>Garnish: celery stalk</t>
  </si>
  <si>
    <t>celery stalk</t>
  </si>
  <si>
    <t>Chilled club soda</t>
  </si>
  <si>
    <t>Chilled</t>
  </si>
  <si>
    <t>Miami Iced Tea</t>
  </si>
  <si>
    <t>Pineapple Vodka Cocktail!</t>
  </si>
  <si>
    <t>Ice, for serving (try clear ice )</t>
  </si>
  <si>
    <t>, for serving (try clear ice )</t>
  </si>
  <si>
    <t>Sweetheart Martini</t>
  </si>
  <si>
    <t>Vodka Royal Cosmopolitan</t>
  </si>
  <si>
    <t>25ml Cranberry Juice</t>
  </si>
  <si>
    <t>Miami Beach Cocktail</t>
  </si>
  <si>
    <t>Rob Roy</t>
  </si>
  <si>
    <t>2 ounces scotch</t>
  </si>
  <si>
    <t>scotch</t>
  </si>
  <si>
    <t>Birthday Cake Martini</t>
  </si>
  <si>
    <t>Honey and sprinkles for garnish</t>
  </si>
  <si>
    <t>Honey|sprinkles</t>
  </si>
  <si>
    <t>Ketel One Bloody Mary</t>
  </si>
  <si>
    <t>50ml Ketel One vodka</t>
  </si>
  <si>
    <t>Jim Beam Black Manhattan</t>
  </si>
  <si>
    <t>2.5 parts Jim Beam Black</t>
  </si>
  <si>
    <t>Spicy and Spooky Bloody Marys</t>
  </si>
  <si>
    <t>2 teaspoons lemon juice</t>
  </si>
  <si>
    <t>Persimmon Rum Pudding Cake</t>
  </si>
  <si>
    <t>2.5 cups very ripe Hachiya or Eureka persimmons</t>
  </si>
  <si>
    <t>persimmons</t>
  </si>
  <si>
    <t xml:space="preserve">very ripe </t>
  </si>
  <si>
    <t xml:space="preserve">Hachiya or Eureka </t>
  </si>
  <si>
    <t>Banana Punch</t>
  </si>
  <si>
    <t>.5 Slice Banana</t>
  </si>
  <si>
    <t>Mojito Gummy Bears</t>
  </si>
  <si>
    <t>Gelatin 3 pack</t>
  </si>
  <si>
    <t>Gelatin</t>
  </si>
  <si>
    <t>DIY Jelly Bean Vodka</t>
  </si>
  <si>
    <t>Jelly bean vodka 0.75 oz</t>
  </si>
  <si>
    <t>Jelly bean vodka</t>
  </si>
  <si>
    <t>0.5 oz coffee liqueur</t>
  </si>
  <si>
    <t>One-Two Punch</t>
  </si>
  <si>
    <t>0.5 ounce grapefruit juice , freshly squeezed</t>
  </si>
  <si>
    <t>Peace and Humptiness Forever</t>
  </si>
  <si>
    <t>Corpse Reviver 212</t>
  </si>
  <si>
    <t>0.5 ounce cold brew coffee</t>
  </si>
  <si>
    <t>cold brew coffee</t>
  </si>
  <si>
    <t>Burning Bush</t>
  </si>
  <si>
    <t>75 ml Hot Water</t>
  </si>
  <si>
    <t>Chutni Gimlet</t>
  </si>
  <si>
    <t>1 ounce Chutni Cordial (See Editors Note)</t>
  </si>
  <si>
    <t>Chutni Cordial</t>
  </si>
  <si>
    <t>(See Editors Note)</t>
  </si>
  <si>
    <t>2 Dashes of Grapefruit Bitters</t>
  </si>
  <si>
    <t>Grapefruit Bitters</t>
  </si>
  <si>
    <t>Tootsie Roll</t>
  </si>
  <si>
    <t>1 ounce Lustau Pedro Ximenez sherry</t>
  </si>
  <si>
    <t>Pedro Ximenez sherry</t>
  </si>
  <si>
    <t>Crusta Alcala</t>
  </si>
  <si>
    <t>1.25 ounce blanco tequila</t>
  </si>
  <si>
    <t>Quando e Dove</t>
  </si>
  <si>
    <t>1.5 ounces Fever-Tree club soda</t>
  </si>
  <si>
    <t>Fever-Tree</t>
  </si>
  <si>
    <t>Pot O Gold Jello Shots</t>
  </si>
  <si>
    <t>Zimamazing</t>
  </si>
  <si>
    <t>Lions Tail</t>
  </si>
  <si>
    <t>1 teaspoon simple syrup</t>
  </si>
  <si>
    <t>JAdore</t>
  </si>
  <si>
    <t>Adios Jungle Juice</t>
  </si>
  <si>
    <t>Rum 25 oz</t>
  </si>
  <si>
    <t>Pisco Sour Brulee</t>
  </si>
  <si>
    <t>1 ounce club soda</t>
  </si>
  <si>
    <t>Tom Collins Cocktail</t>
  </si>
  <si>
    <t>The Jumpin` Black Jack</t>
  </si>
  <si>
    <t>Flamingo Milanese</t>
  </si>
  <si>
    <t>2 dashes absinthe, preferably La Fee Parisienne</t>
  </si>
  <si>
    <t>, preferably La Fee Parisienne</t>
  </si>
  <si>
    <t>The Hurricane Cocktail</t>
  </si>
  <si>
    <t>Velvet Goldmine</t>
  </si>
  <si>
    <t>0.5 oz tangerine cordial</t>
  </si>
  <si>
    <t>tangerine cordial</t>
  </si>
  <si>
    <t>Gateway to Heaven</t>
  </si>
  <si>
    <t>Hpnotiq 1.5 oz</t>
  </si>
  <si>
    <t>Charlie Browns Falling Pumpkin</t>
  </si>
  <si>
    <t>Pumpkin puree 2 bar spoons</t>
  </si>
  <si>
    <t>Pumpkin puree</t>
  </si>
  <si>
    <t>Baileys irish cream 0.5 oz</t>
  </si>
  <si>
    <t>Baileys irish cream</t>
  </si>
  <si>
    <t>16 fluid ounces vodka</t>
  </si>
  <si>
    <t>Dads Bourbon Mary</t>
  </si>
  <si>
    <t>0.25 part Jalapeo Juice</t>
  </si>
  <si>
    <t>Jalapeo Juice</t>
  </si>
  <si>
    <t>Tropical Hooter Punch</t>
  </si>
  <si>
    <t>Pineapple juice 2 oz</t>
  </si>
  <si>
    <t>Fog Lights Milk Punch</t>
  </si>
  <si>
    <t>1.67 cup whole milk</t>
  </si>
  <si>
    <t>Hot Jamaican</t>
  </si>
  <si>
    <t>Supercharged Shandy</t>
  </si>
  <si>
    <t>Fanta lemon (or lemon lime soda) 2 oz</t>
  </si>
  <si>
    <t>Fanta lemon|lemon lime soda</t>
  </si>
  <si>
    <t>South by Southwest</t>
  </si>
  <si>
    <t>1 ounce Ardbeg 10-year-old scotch</t>
  </si>
  <si>
    <t xml:space="preserve">Ardbeg 10-year-old </t>
  </si>
  <si>
    <t>Pom Pomme</t>
  </si>
  <si>
    <t>1 part Pomegranate juice</t>
  </si>
  <si>
    <t>Heaven, My Reward From Comfort Station</t>
  </si>
  <si>
    <t>0.75 oz Adobo Honey Syrup</t>
  </si>
  <si>
    <t>Adobo</t>
  </si>
  <si>
    <t>Egg Nog</t>
  </si>
  <si>
    <t>1 Cup Bourbon Whiskey</t>
  </si>
  <si>
    <t>Cinnamon Toast Crunch Shots</t>
  </si>
  <si>
    <t>Cinnamon whiskey 1 part</t>
  </si>
  <si>
    <t>Cinnamon whiskey</t>
  </si>
  <si>
    <t>25ml Crown Royal XO Blended Canadian Whisky</t>
  </si>
  <si>
    <t>XO Blended Canadian Whisky</t>
  </si>
  <si>
    <t>Tarragon Fix</t>
  </si>
  <si>
    <t>0.5 ounce pineapple gum syrup</t>
  </si>
  <si>
    <t>pineapple gum syrup</t>
  </si>
  <si>
    <t>Rum Fizz</t>
  </si>
  <si>
    <t>0.25  0.75 oz Sugar Syrup</t>
  </si>
  <si>
    <t>0.25|0.75</t>
  </si>
  <si>
    <t>1 cup sliced strawberries</t>
  </si>
  <si>
    <t>Beer-rita</t>
  </si>
  <si>
    <t>2 oz Tequila</t>
  </si>
  <si>
    <t>Zacapa &amp; Ginger</t>
  </si>
  <si>
    <t>1 Fresh lime wedge (Garnish)</t>
  </si>
  <si>
    <t>6 cl vodka - I used the ultra local Den Klodsede Bjrn distilled less than a 2 kilometers away from the barking dog</t>
  </si>
  <si>
    <t>- I used the ultra local Den Klodsede Bjrn distilled less than a 2 kilometers away from the barking dog</t>
  </si>
  <si>
    <t>Charap Margarita</t>
  </si>
  <si>
    <t>1 Packet Cherry punch</t>
  </si>
  <si>
    <t>Packet</t>
  </si>
  <si>
    <t>Cherry punch</t>
  </si>
  <si>
    <t>Sloe Gin Fizz Cocktail</t>
  </si>
  <si>
    <t>1 to 3 ounces soda water, to taste</t>
  </si>
  <si>
    <t>1|3</t>
  </si>
  <si>
    <t>Hurricane Flint</t>
  </si>
  <si>
    <t>1 tbsp Passion-Fruit Puree</t>
  </si>
  <si>
    <t>Nector</t>
  </si>
  <si>
    <t>25ml Johnnie Walker Black Label Blended Scotch Whisky</t>
  </si>
  <si>
    <t>Pumpkin Spice Martini</t>
  </si>
  <si>
    <t>Cranberry Mocktail</t>
  </si>
  <si>
    <t>1 sprig rosemary (or mint)</t>
  </si>
  <si>
    <t>rosemary|mint</t>
  </si>
  <si>
    <t>0.5 orange, juiced</t>
  </si>
  <si>
    <t>Hawaiian Sex on the Beach</t>
  </si>
  <si>
    <t>Irish Coffee Cocktail</t>
  </si>
  <si>
    <t>0.25 cup whipped cream</t>
  </si>
  <si>
    <t>whipped cream</t>
  </si>
  <si>
    <t>Mountain Man</t>
  </si>
  <si>
    <t>0.25 part Maple syrup</t>
  </si>
  <si>
    <t>Maple syrup</t>
  </si>
  <si>
    <t>Hop Watah Michelada</t>
  </si>
  <si>
    <t>12 ounces chilled hop water</t>
  </si>
  <si>
    <t>hop water</t>
  </si>
  <si>
    <t>Ten Grand</t>
  </si>
  <si>
    <t>2 Kumquats (Garnish)</t>
  </si>
  <si>
    <t>Kumquats</t>
  </si>
  <si>
    <t>Margarita On The Rocks</t>
  </si>
  <si>
    <t>ice cubes</t>
  </si>
  <si>
    <t>American Rose Cocktail</t>
  </si>
  <si>
    <t>Cocaine Lady 2</t>
  </si>
  <si>
    <t>1 oz Light Cream</t>
  </si>
  <si>
    <t>50ml Ketel One Vodka</t>
  </si>
  <si>
    <t>Don's Friend Tonja's Cousin Toni's Boyfriend's Grandmother's Eggnog</t>
  </si>
  <si>
    <t>1 cup rum</t>
  </si>
  <si>
    <t>Mexican Dream</t>
  </si>
  <si>
    <t>4 oz Milk</t>
  </si>
  <si>
    <t>Garnish with Cherries</t>
  </si>
  <si>
    <t xml:space="preserve">Garnish with </t>
  </si>
  <si>
    <t>1 Orange Wedge (Garnish)</t>
  </si>
  <si>
    <t>Biscotti Spritz</t>
  </si>
  <si>
    <t>Glow in the Dark Ghost Jello Shots</t>
  </si>
  <si>
    <t>Unflavored gelatin 2 packs</t>
  </si>
  <si>
    <t>packs</t>
  </si>
  <si>
    <t>Unflavored gelatin</t>
  </si>
  <si>
    <t>Blackberry Margarita</t>
  </si>
  <si>
    <t>Walnut Old Fashioned</t>
  </si>
  <si>
    <t>0.75 oz walnut liqueur</t>
  </si>
  <si>
    <t>Pom-A-Rita</t>
  </si>
  <si>
    <t>Devil May Care</t>
  </si>
  <si>
    <t>2ml Bittered Sling Malagasy Chocolate Bitters</t>
  </si>
  <si>
    <t>Malagasy Chocolate Bitters</t>
  </si>
  <si>
    <t>Bittered Sling</t>
  </si>
  <si>
    <t>Tequila Old Fashioned</t>
  </si>
  <si>
    <t>4 maraschino cherries, stems removed, divided</t>
  </si>
  <si>
    <t>maraschino cherries</t>
  </si>
  <si>
    <t>,|stems removed, divided</t>
  </si>
  <si>
    <t>Mojito Slushie</t>
  </si>
  <si>
    <t>Jim Beam and Ginger Highball</t>
  </si>
  <si>
    <t>1 part Jim Beam Original</t>
  </si>
  <si>
    <t>Jim Beam Original</t>
  </si>
  <si>
    <t>1 cup Ice, Crushed</t>
  </si>
  <si>
    <t>Banana Strawberry Shake Daiquiri</t>
  </si>
  <si>
    <t>0.5 lb frozen Strawberries</t>
  </si>
  <si>
    <t>lb</t>
  </si>
  <si>
    <t>Eyeball Jello Shots</t>
  </si>
  <si>
    <t>2 tbsp Gelatin Unflavored</t>
  </si>
  <si>
    <t>Unflavored</t>
  </si>
  <si>
    <t>Boston Tea Party</t>
  </si>
  <si>
    <t>5 oz of Coca-Cola</t>
  </si>
  <si>
    <t>Coca-Cola</t>
  </si>
  <si>
    <t>Ultra-Cosmopolitan</t>
  </si>
  <si>
    <t>0.75 ounce ultragrenadine</t>
  </si>
  <si>
    <t>ultragrenadine</t>
  </si>
  <si>
    <t>Americana</t>
  </si>
  <si>
    <t>1 Slice Peach</t>
  </si>
  <si>
    <t>Melon Tonic</t>
  </si>
  <si>
    <t>1 oz of Midori melon liqueur</t>
  </si>
  <si>
    <t>melon liqueur</t>
  </si>
  <si>
    <t>of Midori</t>
  </si>
  <si>
    <t>Puka Punch</t>
  </si>
  <si>
    <t>0.75 part Dark rum or Demerara rum or Spiced rum</t>
  </si>
  <si>
    <t>Dark rum|Demerara rum|Spiced rum</t>
  </si>
  <si>
    <t>Bloody Mary 2</t>
  </si>
  <si>
    <t>0.12 tsp Black Peppers</t>
  </si>
  <si>
    <t>Black Peppers</t>
  </si>
  <si>
    <t>Christmas Coffee</t>
  </si>
  <si>
    <t>Sprinkles, for topping (optional)</t>
  </si>
  <si>
    <t>, for topping (optional)</t>
  </si>
  <si>
    <t>25 ml Pineapple Juice</t>
  </si>
  <si>
    <t>Peppermint Mojito</t>
  </si>
  <si>
    <t>0.5 oz Fresh Lime Juice</t>
  </si>
  <si>
    <t>Kentucky River</t>
  </si>
  <si>
    <t>3 dashes Peach bitters</t>
  </si>
  <si>
    <t>Peach bitters</t>
  </si>
  <si>
    <t>Broken Land Sour</t>
  </si>
  <si>
    <t>Three Bites of the Apple</t>
  </si>
  <si>
    <t>2 dashes Dutchs Colonial Bitters</t>
  </si>
  <si>
    <t>Dutchs Colonial Bitters</t>
  </si>
  <si>
    <t>SMores Pudding Shots</t>
  </si>
  <si>
    <t>Marshmallows</t>
  </si>
  <si>
    <t>Patron Mojito</t>
  </si>
  <si>
    <t>3 lime wedges</t>
  </si>
  <si>
    <t>Old Cuban Riff: The Old Mexican</t>
  </si>
  <si>
    <t>1 Dash of orange bitters</t>
  </si>
  <si>
    <t>Easy Frozen Sangria</t>
  </si>
  <si>
    <t>10 ounces frozen mixed berries</t>
  </si>
  <si>
    <t>mixed berries</t>
  </si>
  <si>
    <t>Godiva Irish Coffee</t>
  </si>
  <si>
    <t>.5  1 oz Whipped Cream</t>
  </si>
  <si>
    <t>.5|1</t>
  </si>
  <si>
    <t>Marmalade Highball</t>
  </si>
  <si>
    <t>1.5 oz of curacao orange liqueur</t>
  </si>
  <si>
    <t>curacao orange liqueur</t>
  </si>
  <si>
    <t>Mango Frozen Dream</t>
  </si>
  <si>
    <t>Whey Punch</t>
  </si>
  <si>
    <t>Scant 1.75 ounces yogurt whey</t>
  </si>
  <si>
    <t>yogurt whey</t>
  </si>
  <si>
    <t>Scant</t>
  </si>
  <si>
    <t>Aloha Paradise</t>
  </si>
  <si>
    <t>Spritzus Narcissus</t>
  </si>
  <si>
    <t>0.25 ounce lemon juice</t>
  </si>
  <si>
    <t>Cranberry Mojito</t>
  </si>
  <si>
    <t>0.25 part Lime Juice</t>
  </si>
  <si>
    <t>Ketel One Southern Gentleman</t>
  </si>
  <si>
    <t>0.5 part Cardamom syrup</t>
  </si>
  <si>
    <t>Cardamom syrup</t>
  </si>
  <si>
    <t>Flower Infused Ice Cube Jungle Juice</t>
  </si>
  <si>
    <t>Seduction Shot</t>
  </si>
  <si>
    <t>Garnish with Lemon Wedges</t>
  </si>
  <si>
    <t>Amaretto Chi-City</t>
  </si>
  <si>
    <t>Gin Fizz</t>
  </si>
  <si>
    <t>The Ultimate Ketel One Blue Collins</t>
  </si>
  <si>
    <t>5ml Sugar Syrup (2:1 Ratio)</t>
  </si>
  <si>
    <t>(2:1 Ratio)</t>
  </si>
  <si>
    <t>Blow My Skull Off</t>
  </si>
  <si>
    <t>Bloody LeRoy</t>
  </si>
  <si>
    <t>2 dashes Worcestershire Sauce</t>
  </si>
  <si>
    <t>Worcestershire Sauce</t>
  </si>
  <si>
    <t>Captain Kidd's Punch</t>
  </si>
  <si>
    <t>1 dash Bitters</t>
  </si>
  <si>
    <t>Bitch-On-Wheels</t>
  </si>
  <si>
    <t>1 tsp Licorice Liqueur</t>
  </si>
  <si>
    <t>1.5 Cups of granulated sugar</t>
  </si>
  <si>
    <t>Rum Runner 2</t>
  </si>
  <si>
    <t>Super Bowl Jungle Juice</t>
  </si>
  <si>
    <t>Peach schnapps 1 bottle</t>
  </si>
  <si>
    <t>Cruise Control</t>
  </si>
  <si>
    <t>1 ounce salted lemon-lime cordial</t>
  </si>
  <si>
    <t>salted lemon-lime cordial</t>
  </si>
  <si>
    <t>Derby Daiquiri</t>
  </si>
  <si>
    <t>5 ml Sugar Syrup</t>
  </si>
  <si>
    <t>0.25 ounce Apple Brandy</t>
  </si>
  <si>
    <t>Chocolate Dream</t>
  </si>
  <si>
    <t>1 tbsp Chocolate Chips</t>
  </si>
  <si>
    <t>Chocolate Chips</t>
  </si>
  <si>
    <t>Wilde Oscar</t>
  </si>
  <si>
    <t>The Pumpkintini</t>
  </si>
  <si>
    <t>Watermelon Rush</t>
  </si>
  <si>
    <t>1 part Sour Mix</t>
  </si>
  <si>
    <t>Sour Mix</t>
  </si>
  <si>
    <t>Captain`s Elixir</t>
  </si>
  <si>
    <t>3 oz Spiced Rum</t>
  </si>
  <si>
    <t>Ketel One &amp; Soda</t>
  </si>
  <si>
    <t>Ketel One Vodka</t>
  </si>
  <si>
    <t>2 fluid ounces apple juice</t>
  </si>
  <si>
    <t>apple juice</t>
  </si>
  <si>
    <t>Cuff and Buttons</t>
  </si>
  <si>
    <t>4 Dash Sweet Vermouth</t>
  </si>
  <si>
    <t>Baltimore Zoo</t>
  </si>
  <si>
    <t>Jamaican Reindeer</t>
  </si>
  <si>
    <t>1 oz Amber Rum</t>
  </si>
  <si>
    <t>Amber Rum</t>
  </si>
  <si>
    <t>Double Mango Daiquiri</t>
  </si>
  <si>
    <t>Elderflower 75</t>
  </si>
  <si>
    <t>4 oz sparkling wine</t>
  </si>
  <si>
    <t>Brambleberry - Original</t>
  </si>
  <si>
    <t>37.5ml Tanqueray London Dry Gin</t>
  </si>
  <si>
    <t>Banana Froster</t>
  </si>
  <si>
    <t>Caramel syrup 0.5 oz</t>
  </si>
  <si>
    <t>Siesta Daiquiri</t>
  </si>
  <si>
    <t>0.75 oz Clementine Tequila</t>
  </si>
  <si>
    <t>Clementine Tequila</t>
  </si>
  <si>
    <t>Hot &amp; Dirty</t>
  </si>
  <si>
    <t>Stars and Stripes Bloody Mary</t>
  </si>
  <si>
    <t>1.5 parts Bloody Mary Mix</t>
  </si>
  <si>
    <t>Bloody Mary Mix</t>
  </si>
  <si>
    <t>Strawberry Cake Shake</t>
  </si>
  <si>
    <t>Long Iver Iced Tea</t>
  </si>
  <si>
    <t>1 Dashes Bitters</t>
  </si>
  <si>
    <t>Spiked Oreo McFlurry</t>
  </si>
  <si>
    <t>White chocolate liqueur 1 oz</t>
  </si>
  <si>
    <t>Brandy Old-Fashioned</t>
  </si>
  <si>
    <t>2 orange slices</t>
  </si>
  <si>
    <t>Baileys Raspberry Martini</t>
  </si>
  <si>
    <t>1 Raspberry (Garnish)</t>
  </si>
  <si>
    <t>Raspberry</t>
  </si>
  <si>
    <t>Mai Tai Spritz</t>
  </si>
  <si>
    <t>1 part Aged rum</t>
  </si>
  <si>
    <t>Celery Margarita</t>
  </si>
  <si>
    <t>ice, as needed</t>
  </si>
  <si>
    <t>Monkey Gland Cocktail</t>
  </si>
  <si>
    <t>2 dashes grenadine</t>
  </si>
  <si>
    <t>Stone Sour</t>
  </si>
  <si>
    <t>1 oz Apricot brandy</t>
  </si>
  <si>
    <t>Apricot brandy</t>
  </si>
  <si>
    <t>1 Splash Squash</t>
  </si>
  <si>
    <t>Squash</t>
  </si>
  <si>
    <t>Garden East Side Mocktail</t>
  </si>
  <si>
    <t>5 mint leaves</t>
  </si>
  <si>
    <t>Deer Killer</t>
  </si>
  <si>
    <t>6 Bourbon Whiskey</t>
  </si>
  <si>
    <t>Lost Lakes Fog Cutter Recipe</t>
  </si>
  <si>
    <t>0.5 oz sherry</t>
  </si>
  <si>
    <t>Gochujang</t>
  </si>
  <si>
    <t>Snowboard</t>
  </si>
  <si>
    <t>30 ml Vodka</t>
  </si>
  <si>
    <t>Her Majesty, A Sherry Cocktail</t>
  </si>
  <si>
    <t>1 oz Wild Turkey 101 rye whiskey</t>
  </si>
  <si>
    <t>Wild Turkey 101</t>
  </si>
  <si>
    <t>Bourbon Slush with Drunken Cherries</t>
  </si>
  <si>
    <t>2.5 cups bourbon</t>
  </si>
  <si>
    <t>True Manhattan</t>
  </si>
  <si>
    <t>1 cup ice cubes, or as needed</t>
  </si>
  <si>
    <t>Two Island Gin &amp; Tonic</t>
  </si>
  <si>
    <t>Top Note Indian Tonic, to top</t>
  </si>
  <si>
    <t>Indian Tonic</t>
  </si>
  <si>
    <t>Top Note|, to top</t>
  </si>
  <si>
    <t>Homemade Sweet Vermouth Recipe</t>
  </si>
  <si>
    <t>0.5 teaspoon dried lavender</t>
  </si>
  <si>
    <t>60ml Don Julio Blanco</t>
  </si>
  <si>
    <t>Blanco</t>
  </si>
  <si>
    <t>1 tablespoon jam, blackberry or any flavor</t>
  </si>
  <si>
    <t>jam|blackberry</t>
  </si>
  <si>
    <t>,|or any flavor</t>
  </si>
  <si>
    <t>Cordial Cherry</t>
  </si>
  <si>
    <t>2 oz Almond Liqueur</t>
  </si>
  <si>
    <t>Almond Cooler</t>
  </si>
  <si>
    <t>.5  0.33 oz Banana</t>
  </si>
  <si>
    <t>.5|0.33</t>
  </si>
  <si>
    <t>Chocolate Cupcake Cocktail</t>
  </si>
  <si>
    <t>Brazilian Cachaca Batida</t>
  </si>
  <si>
    <t>2 oz cream of coconut</t>
  </si>
  <si>
    <t>#8</t>
  </si>
  <si>
    <t>2 parts Aged tequila or Blanco tequila or Mezcal</t>
  </si>
  <si>
    <t>Aged tequila|Blanco tequila|Mezcal</t>
  </si>
  <si>
    <t>Vodka Russian</t>
  </si>
  <si>
    <t>Champagne Cornucopia</t>
  </si>
  <si>
    <t>Le Veau dOr Martini</t>
  </si>
  <si>
    <t>2 dashes Regans orange bitters</t>
  </si>
  <si>
    <t>Regans</t>
  </si>
  <si>
    <t>Anti-Freeze 2</t>
  </si>
  <si>
    <t>0.5 oz of Rose's lime juice</t>
  </si>
  <si>
    <t>Rose's lime juice</t>
  </si>
  <si>
    <t>Super Charged Corona</t>
  </si>
  <si>
    <t>Corona</t>
  </si>
  <si>
    <t>American Woman</t>
  </si>
  <si>
    <t>.5 oz Cherry Liqueur</t>
  </si>
  <si>
    <t>Cherry Liqueur</t>
  </si>
  <si>
    <t>Julius Orange</t>
  </si>
  <si>
    <t>0.5 part Dark rum</t>
  </si>
  <si>
    <t>Jersey Lemonade</t>
  </si>
  <si>
    <t>0.5 oz Energy Soda</t>
  </si>
  <si>
    <t>Orchard Sour</t>
  </si>
  <si>
    <t>20ml Egg white</t>
  </si>
  <si>
    <t>Egg white</t>
  </si>
  <si>
    <t>Pomegranate Mojito</t>
  </si>
  <si>
    <t>Amber Amour</t>
  </si>
  <si>
    <t>1 Simple Syrup</t>
  </si>
  <si>
    <t>Old Flame</t>
  </si>
  <si>
    <t>2 ounces</t>
  </si>
  <si>
    <t>Striptease</t>
  </si>
  <si>
    <t>Apple Jack Jello Shot</t>
  </si>
  <si>
    <t>Key Lime Margarita</t>
  </si>
  <si>
    <t>The Schofferita</t>
  </si>
  <si>
    <t>A Swallow's Leave</t>
  </si>
  <si>
    <t>3 dashes adzuki beanAngostura bitters</t>
  </si>
  <si>
    <t>adzuki beanAngostura bitters</t>
  </si>
  <si>
    <t>Fountain Inn's Syllabub</t>
  </si>
  <si>
    <t>Tiger Blood Shot</t>
  </si>
  <si>
    <t>Bloody Bishop</t>
  </si>
  <si>
    <t>90 ml Tomato Juice</t>
  </si>
  <si>
    <t>Tomato Juice</t>
  </si>
  <si>
    <t>Hot Irish 2</t>
  </si>
  <si>
    <t>1.5 oz Irish Whiskey</t>
  </si>
  <si>
    <t>Irish Whiskey</t>
  </si>
  <si>
    <t>Cocoa Colada</t>
  </si>
  <si>
    <t>12 oz Lemonade Concentrate</t>
  </si>
  <si>
    <t>Lemonade Concentrate</t>
  </si>
  <si>
    <t>Tropical Highball</t>
  </si>
  <si>
    <t>10.5 parts Aged rum or Pineapple rum or Spiced rum</t>
  </si>
  <si>
    <t>Aged rum|Pineapple rum|Spiced rum</t>
  </si>
  <si>
    <t>Triple sec 1.5 oz</t>
  </si>
  <si>
    <t>Bunny Mother</t>
  </si>
  <si>
    <t>10.5 parts Vodka or Citrus vodka or Dessert vodka or Vanilla vodka</t>
  </si>
  <si>
    <t>Vodka|Citrus vodka|Dessert vodka|Vanilla vodka</t>
  </si>
  <si>
    <t>Architects and Kings</t>
  </si>
  <si>
    <t>4 parts Hot Coffee</t>
  </si>
  <si>
    <t>On the Rag</t>
  </si>
  <si>
    <t>1.5 oz Dry Gin</t>
  </si>
  <si>
    <t>Dry Gin</t>
  </si>
  <si>
    <t>Clementine Martini</t>
  </si>
  <si>
    <t>.5 Ginger Ale</t>
  </si>
  <si>
    <t>Rose 75: A French 75 Riff</t>
  </si>
  <si>
    <t>1 oz Copper &amp; Kings The History of Lovers Rose Gin</t>
  </si>
  <si>
    <t>The History of Lovers Rose Gin</t>
  </si>
  <si>
    <t>Copper &amp; Kings</t>
  </si>
  <si>
    <t>Soda  Grape Soda</t>
  </si>
  <si>
    <t>Sinatra Smash</t>
  </si>
  <si>
    <t>2 parts Bourbon or Rye whiskey or Blended whiskey</t>
  </si>
  <si>
    <t>70 Margarita Cristalina</t>
  </si>
  <si>
    <t>15ml Clarified Lime Juice</t>
  </si>
  <si>
    <t>Clarified Lime Juice</t>
  </si>
  <si>
    <t>Bee's Knees</t>
  </si>
  <si>
    <t>2 cl Lime Juice</t>
  </si>
  <si>
    <t>Pimms Cup Riff: Bloodline</t>
  </si>
  <si>
    <t>JW Green Label Garnished with Candied Ginger</t>
  </si>
  <si>
    <t>1 Cube of Candied Ginger</t>
  </si>
  <si>
    <t>Cube</t>
  </si>
  <si>
    <t>Candied Ginger</t>
  </si>
  <si>
    <t>1 dash Aromatic bitters or Apple bitters or Creole bitters</t>
  </si>
  <si>
    <t>Aromatic bitters|Apple bitters|Creole bitters</t>
  </si>
  <si>
    <t>White Lightning Monster</t>
  </si>
  <si>
    <t>1 can Energy Soda White Monster Energy</t>
  </si>
  <si>
    <t>White Monster Energy</t>
  </si>
  <si>
    <t>Bullshot</t>
  </si>
  <si>
    <t>1 dash Celery salt or Celery bitters</t>
  </si>
  <si>
    <t>Celery salt|Celery bitters</t>
  </si>
  <si>
    <t>Hot Brick Toddy</t>
  </si>
  <si>
    <t>7 oz Hot Water</t>
  </si>
  <si>
    <t>Spiced Lemonade</t>
  </si>
  <si>
    <t>Lemon slices to garnish</t>
  </si>
  <si>
    <t>Vesuvio</t>
  </si>
  <si>
    <t>Juice of 0.5 Lemon</t>
  </si>
  <si>
    <t>Champagne Cocktail</t>
  </si>
  <si>
    <t>0.5 part Brandy or Cognac or Apple brandy or Gin</t>
  </si>
  <si>
    <t>Brandy|Cognac|Apple brandy|Gin</t>
  </si>
  <si>
    <t>Bananarac</t>
  </si>
  <si>
    <t>CC Ginger Ale</t>
  </si>
  <si>
    <t>3 parts Fever-Tree Ginger Ale</t>
  </si>
  <si>
    <t>Irish Monk</t>
  </si>
  <si>
    <t>Cherry Vodka &amp; Cola</t>
  </si>
  <si>
    <t>50ml Smirnoff Cherry</t>
  </si>
  <si>
    <t>Smirnoff Cherry</t>
  </si>
  <si>
    <t>Butternut Squash No. 1</t>
  </si>
  <si>
    <t>0.25 ounce lime juice</t>
  </si>
  <si>
    <t>Bubblegum Martini</t>
  </si>
  <si>
    <t>Vertigo</t>
  </si>
  <si>
    <t>50 ml Averna Liquer</t>
  </si>
  <si>
    <t>Averna Liquer</t>
  </si>
  <si>
    <t>Winter Old Fashioned</t>
  </si>
  <si>
    <t>1 wedge lemon</t>
  </si>
  <si>
    <t>Pudding Shots</t>
  </si>
  <si>
    <t>Whipped cream, for garnish</t>
  </si>
  <si>
    <t>Boston Sour</t>
  </si>
  <si>
    <t>Coconut Toastie</t>
  </si>
  <si>
    <t>5 tbsp Ice Cream</t>
  </si>
  <si>
    <t>0.5 ounce red-chile-infused Aperol</t>
  </si>
  <si>
    <t>red-chile-infused Aperol</t>
  </si>
  <si>
    <t>Freakshake</t>
  </si>
  <si>
    <t>1 White and Dark Chocolate Sprinkles (Garnish)</t>
  </si>
  <si>
    <t>White and Dark Chocolate Sprinkles</t>
  </si>
  <si>
    <t>Anatomy of a Drink: Americano</t>
  </si>
  <si>
    <t>1.25 oz Campari</t>
  </si>
  <si>
    <t>Alfonso</t>
  </si>
  <si>
    <t>1 Sugar cube or Granulated sugar or Simple syrup</t>
  </si>
  <si>
    <t>Sugar cube|Granulated sugar|Simple syrup</t>
  </si>
  <si>
    <t>Presbyterian</t>
  </si>
  <si>
    <t>2 to 3 ounces ginger ale , chilled, to top</t>
  </si>
  <si>
    <t>to|,|, to top</t>
  </si>
  <si>
    <t>French Kiss</t>
  </si>
  <si>
    <t>10 ml Irish Cream Liqueur</t>
  </si>
  <si>
    <t>Australian Rose Vermouth &amp; Tonic</t>
  </si>
  <si>
    <t>60ml Belsazar Rose</t>
  </si>
  <si>
    <t>Belsazar Rose</t>
  </si>
  <si>
    <t>Cibola</t>
  </si>
  <si>
    <t>Spiked Shamrock Milkshake</t>
  </si>
  <si>
    <t>marshmallows</t>
  </si>
  <si>
    <t>Bosom Caresser</t>
  </si>
  <si>
    <t>1 oz Madeira</t>
  </si>
  <si>
    <t>Madeira</t>
  </si>
  <si>
    <t>Millers Tale: A Sidra Cocktail</t>
  </si>
  <si>
    <t>4 oz sidra</t>
  </si>
  <si>
    <t>sidra</t>
  </si>
  <si>
    <t>Hot Gin</t>
  </si>
  <si>
    <t>Autumn Sunshine Cocktail</t>
  </si>
  <si>
    <t>1 fluid ounce brandy-based orange liqueur</t>
  </si>
  <si>
    <t>brandy-based orange liqueur</t>
  </si>
  <si>
    <t>Ruby Sunrise Cocktail</t>
  </si>
  <si>
    <t>2 oz Viniq Ruby</t>
  </si>
  <si>
    <t>Viniq Ruby</t>
  </si>
  <si>
    <t>Boston Gold</t>
  </si>
  <si>
    <t>Pepper-Watermelon Margarita</t>
  </si>
  <si>
    <t>1-2 cups granulated sugar</t>
  </si>
  <si>
    <t>Grand Gold Margarita</t>
  </si>
  <si>
    <t>3 oz Orange Liqueur</t>
  </si>
  <si>
    <t>Irish Spring</t>
  </si>
  <si>
    <t>2g Orange zest</t>
  </si>
  <si>
    <t>Orange zest</t>
  </si>
  <si>
    <t>Absolut Evergreen</t>
  </si>
  <si>
    <t>.33 Part Banana Liqueur</t>
  </si>
  <si>
    <t>2 dashes orange bitters</t>
  </si>
  <si>
    <t>Frozen Daiquiri Cocktail</t>
  </si>
  <si>
    <t>1 teaspoon white sugar</t>
  </si>
  <si>
    <t>Sana Sana</t>
  </si>
  <si>
    <t>0.75 ounce mango puree, preferably Perfect Puree</t>
  </si>
  <si>
    <t>mango puree</t>
  </si>
  <si>
    <t>, preferably Perfect Puree</t>
  </si>
  <si>
    <t>Pisco Sour</t>
  </si>
  <si>
    <t>0.25 part Egg white or Aquafaba</t>
  </si>
  <si>
    <t>Martini Cocktail 1888</t>
  </si>
  <si>
    <t>1 oz sweet vermouth</t>
  </si>
  <si>
    <t>Cowboy Killer</t>
  </si>
  <si>
    <t>fill with Half-and-half</t>
  </si>
  <si>
    <t>1 oz coconut cream</t>
  </si>
  <si>
    <t>coconut cream</t>
  </si>
  <si>
    <t>1 tsp Cinnamon Sugar</t>
  </si>
  <si>
    <t>Summer Berry Vodka Splash</t>
  </si>
  <si>
    <t>Addington</t>
  </si>
  <si>
    <t>Dancing Queen: A Blackberry Cocktail</t>
  </si>
  <si>
    <t>0.5 oz blackberry syrup</t>
  </si>
  <si>
    <t>blackberry syrup</t>
  </si>
  <si>
    <t>Ketel One Cucumber Martini</t>
  </si>
  <si>
    <t>20ml Sugar syrup</t>
  </si>
  <si>
    <t>Applejack Rabbit</t>
  </si>
  <si>
    <t>Cosmobellini</t>
  </si>
  <si>
    <t>Ranch Water</t>
  </si>
  <si>
    <t>Lime wedge for garnish</t>
  </si>
  <si>
    <t>Bluebird</t>
  </si>
  <si>
    <t>Bourbon Cider Cocktail</t>
  </si>
  <si>
    <t>1 part Maker's Mark Bourbon</t>
  </si>
  <si>
    <t>Maker's Mark Bourbon</t>
  </si>
  <si>
    <t>Elder Fashion Royale</t>
  </si>
  <si>
    <t>1.5 oz Tequila Reposado</t>
  </si>
  <si>
    <t>Tequila Reposado</t>
  </si>
  <si>
    <t>Saz with a Sting</t>
  </si>
  <si>
    <t>0.5 ounce white creme de menthe</t>
  </si>
  <si>
    <t>white creme de menthe</t>
  </si>
  <si>
    <t>Berry Deadly</t>
  </si>
  <si>
    <t>0.5 gal Orange juice</t>
  </si>
  <si>
    <t>gal</t>
  </si>
  <si>
    <t>The Offering: A Tequila Cocktail</t>
  </si>
  <si>
    <t>1 oz Cardamaro</t>
  </si>
  <si>
    <t>Cardamaro</t>
  </si>
  <si>
    <t>Green Summer</t>
  </si>
  <si>
    <t>Sea Breeze</t>
  </si>
  <si>
    <t>0.75 parts Grapefruit juice</t>
  </si>
  <si>
    <t>This Little Lychee of Mine</t>
  </si>
  <si>
    <t>10.5 part Gin</t>
  </si>
  <si>
    <t>Strawberry Guava Jello Shots</t>
  </si>
  <si>
    <t>Seagram's escapes jamaican me happy</t>
  </si>
  <si>
    <t>jamaican me happy</t>
  </si>
  <si>
    <t>Seagram's escapes</t>
  </si>
  <si>
    <t>Peppermint Margarita</t>
  </si>
  <si>
    <t>1 cup simple syrup</t>
  </si>
  <si>
    <t>Agave Punch</t>
  </si>
  <si>
    <t>2 parts Orange juice</t>
  </si>
  <si>
    <t>Cafe de la Manana</t>
  </si>
  <si>
    <t>1 tbsp Agave nectar</t>
  </si>
  <si>
    <t>1 Top up with soda Water</t>
  </si>
  <si>
    <t>soda Water</t>
  </si>
  <si>
    <t>Madam Eliza</t>
  </si>
  <si>
    <t>20ml Lemon Juice</t>
  </si>
  <si>
    <t>Ultimate Frozen Strawberry Margarita</t>
  </si>
  <si>
    <t>2 cups ice cubes, or as needed</t>
  </si>
  <si>
    <t>Forbidden Fruit</t>
  </si>
  <si>
    <t>1 part Gin aperitif</t>
  </si>
  <si>
    <t>Gin aperitif</t>
  </si>
  <si>
    <t>The Ultimate Ketel One Pomegranate Martini</t>
  </si>
  <si>
    <t>10ml Pomegranate Juice</t>
  </si>
  <si>
    <t>Pomegranate Juice</t>
  </si>
  <si>
    <t>1 teaspoon grenadine syrup</t>
  </si>
  <si>
    <t>Party Punch IV</t>
  </si>
  <si>
    <t>2 bottles lemon-lime flavored carbonated beverage, chilled</t>
  </si>
  <si>
    <t>Beachside Peach</t>
  </si>
  <si>
    <t>Cricket</t>
  </si>
  <si>
    <t>25 ml White Creme de Cacao</t>
  </si>
  <si>
    <t>White Creme de Cacao</t>
  </si>
  <si>
    <t>Italian Margarita Recipe</t>
  </si>
  <si>
    <t>Seedlip Spice Ginger Highball</t>
  </si>
  <si>
    <t>Mexican Mocha</t>
  </si>
  <si>
    <t>Italian Spritzer</t>
  </si>
  <si>
    <t>Marshmallow Shot Glasses with Smores infused Vodka</t>
  </si>
  <si>
    <t>Chocolate chips 0.25 cup</t>
  </si>
  <si>
    <t>Chocolate chips</t>
  </si>
  <si>
    <t>Wicked Behavior: A Bourbon Cocktail</t>
  </si>
  <si>
    <t>0.75 oz pineapple juice</t>
  </si>
  <si>
    <t>1 ounce Appleton Estate 12-Year-Old Rare Casks rum</t>
  </si>
  <si>
    <t>Appleton Estate 12-Year-Old Rare Casks rum</t>
  </si>
  <si>
    <t>Blueberry Rumba</t>
  </si>
  <si>
    <t>0.25 oz Blue Curacao Liqueur</t>
  </si>
  <si>
    <t>1.5 Cup Ice</t>
  </si>
  <si>
    <t>Lillet Spritz</t>
  </si>
  <si>
    <t>Apple Cider Old Fashioned</t>
  </si>
  <si>
    <t>0.5 to 1 ounce apple cider syrup (see below or variation)</t>
  </si>
  <si>
    <t>0.5|1</t>
  </si>
  <si>
    <t>apple cider syrup</t>
  </si>
  <si>
    <t>to|(see below or variation)</t>
  </si>
  <si>
    <t>Autumns Jacket From Julia Momose</t>
  </si>
  <si>
    <t>Lemon Cherry Cachaca Smash</t>
  </si>
  <si>
    <t>Maraschino cherries - I used my own.</t>
  </si>
  <si>
    <t>Maraschino cherries</t>
  </si>
  <si>
    <t>Averna Cobbler</t>
  </si>
  <si>
    <t>Garnish: cracked black pepper</t>
  </si>
  <si>
    <t>Garnish: lemon peel</t>
  </si>
  <si>
    <t>lemon peel</t>
  </si>
  <si>
    <t>Walk the Plank Bomb</t>
  </si>
  <si>
    <t>Gold rum 1.5 oz</t>
  </si>
  <si>
    <t>Gold rum</t>
  </si>
  <si>
    <t>1 oz Apricot Juice</t>
  </si>
  <si>
    <t>Apricot Juice</t>
  </si>
  <si>
    <t>Millionaire</t>
  </si>
  <si>
    <t>0.75 part Apricot liqueur</t>
  </si>
  <si>
    <t>Fast Canoe</t>
  </si>
  <si>
    <t>0.5 ounce pandan syrup (see Editor's Note)</t>
  </si>
  <si>
    <t>pandan syrup</t>
  </si>
  <si>
    <t>Hot Johnnie Ginger</t>
  </si>
  <si>
    <t>1 Sprig of Rosemary (Garnish)</t>
  </si>
  <si>
    <t>20-30 Strawberries</t>
  </si>
  <si>
    <t>20|30</t>
  </si>
  <si>
    <t>Soda water, chilled, to top (about 2 ounces )</t>
  </si>
  <si>
    <t>,|, to top (about 2 ounces )</t>
  </si>
  <si>
    <t>Watermelon Jolly Rancher Frozen Margarita</t>
  </si>
  <si>
    <t>Bumble Bee 3</t>
  </si>
  <si>
    <t>2 tsp Honey</t>
  </si>
  <si>
    <t>1 cup fruit chopped or muddled</t>
  </si>
  <si>
    <t>fruit</t>
  </si>
  <si>
    <t>chopped|muddled</t>
  </si>
  <si>
    <t>Whisky sour-1</t>
  </si>
  <si>
    <t>50ml Lemon Juice</t>
  </si>
  <si>
    <t>Envy Me</t>
  </si>
  <si>
    <t>Bocce Ball</t>
  </si>
  <si>
    <t>Vieux Carre Cocktail</t>
  </si>
  <si>
    <t>1 fluid ounce rye whiskey</t>
  </si>
  <si>
    <t>Ocean Haze</t>
  </si>
  <si>
    <t>Vodka 1 part</t>
  </si>
  <si>
    <t>Grasshopper Cocktail</t>
  </si>
  <si>
    <t>0.75 fluid ounce creme de menthe</t>
  </si>
  <si>
    <t>creme de menthe</t>
  </si>
  <si>
    <t>Old Scratch</t>
  </si>
  <si>
    <t>0.75 ounce Coconut Whey Syrup (see Editor's Note)</t>
  </si>
  <si>
    <t>Coconut Whey Syrup</t>
  </si>
  <si>
    <t>Shamrock Juice</t>
  </si>
  <si>
    <t>Chai No Lait: A Chai Gin Sour</t>
  </si>
  <si>
    <t>Banana Hammock Cocktail</t>
  </si>
  <si>
    <t>0.75 ounce banana syrup, homemade</t>
  </si>
  <si>
    <t>banana syrup</t>
  </si>
  <si>
    <t>, homemade</t>
  </si>
  <si>
    <t>Candy Cane Shot Glasses with Candy Cane Vodka</t>
  </si>
  <si>
    <t>Endless Summer Punch</t>
  </si>
  <si>
    <t>2 parts Lemonade</t>
  </si>
  <si>
    <t>Boozy Butterbeer</t>
  </si>
  <si>
    <t>1.5 oz butterscotch syrup</t>
  </si>
  <si>
    <t>butterscotch syrup</t>
  </si>
  <si>
    <t>0.75 oz grenadine</t>
  </si>
  <si>
    <t>Frank Caiafas Corpse Reviver No. 1</t>
  </si>
  <si>
    <t>1 dash orange bitters, preferably Regans</t>
  </si>
  <si>
    <t>Watermelon Sour Patch Jello Shots</t>
  </si>
  <si>
    <t>Watermelon pucker 2 oz</t>
  </si>
  <si>
    <t>1 ounce lime juice , freshly squeezed</t>
  </si>
  <si>
    <t>Devil in the Morning</t>
  </si>
  <si>
    <t>2 parts Jim Beam Devil's Cut</t>
  </si>
  <si>
    <t>Jim Beam Devil's Cut</t>
  </si>
  <si>
    <t>Lucky Driver</t>
  </si>
  <si>
    <t>Oaxaca Mule</t>
  </si>
  <si>
    <t>10.5 oz mezcal</t>
  </si>
  <si>
    <t>Top Shelf Margaritas on the Rocks</t>
  </si>
  <si>
    <t>Coffee Syrup</t>
  </si>
  <si>
    <t>3 tablespoons ground coffee</t>
  </si>
  <si>
    <t>Davenport</t>
  </si>
  <si>
    <t>.5 oz Dark Rum</t>
  </si>
  <si>
    <t>Doubleplusgood</t>
  </si>
  <si>
    <t>Peach Mojito</t>
  </si>
  <si>
    <t>Juice of 1 Lime</t>
  </si>
  <si>
    <t>Raspberry Rose Wine Slushie</t>
  </si>
  <si>
    <t>Vodka Fizz</t>
  </si>
  <si>
    <t>Sherry Flip</t>
  </si>
  <si>
    <t>1 tsp Powdered sugar</t>
  </si>
  <si>
    <t>Powdered</t>
  </si>
  <si>
    <t>Brandy Simple Syrup</t>
  </si>
  <si>
    <t>1 cup white sugar</t>
  </si>
  <si>
    <t>Dilly Bloody Mary</t>
  </si>
  <si>
    <t>2 dashes hot pepper sauce, or to taste</t>
  </si>
  <si>
    <t>hot pepper sauce</t>
  </si>
  <si>
    <t>Sidecar Recipe</t>
  </si>
  <si>
    <t>Superfine sugar rim, optional</t>
  </si>
  <si>
    <t>Superfine sugar rim</t>
  </si>
  <si>
    <t>, optional</t>
  </si>
  <si>
    <t>Valentines French 75</t>
  </si>
  <si>
    <t>Champagne 3 oz</t>
  </si>
  <si>
    <t>Low-ABV Cocktail: Floppy Disk</t>
  </si>
  <si>
    <t>2 oz chilled soda</t>
  </si>
  <si>
    <t>soda</t>
  </si>
  <si>
    <t>Rusty Compass</t>
  </si>
  <si>
    <t>Coco En Rama</t>
  </si>
  <si>
    <t>1 ounce tarragon-infused blanc vermouth, preferably Dolin (see Editor's Note)</t>
  </si>
  <si>
    <t>tarragon-infused blanc vermouth</t>
  </si>
  <si>
    <t>, preferably Dolin (see Editor's Note)</t>
  </si>
  <si>
    <t>2 ounces Rhine Hall Fernet Lola</t>
  </si>
  <si>
    <t>Fernet Lola</t>
  </si>
  <si>
    <t xml:space="preserve">Rhine Hall </t>
  </si>
  <si>
    <t>Purple Helmeted Warrior 2</t>
  </si>
  <si>
    <t>Blue Agave Margarita</t>
  </si>
  <si>
    <t>1 whole Egg white or Aquafaba</t>
  </si>
  <si>
    <t>whole Egg white|Aquafaba</t>
  </si>
  <si>
    <t>Root Beer Float Bomb Shot</t>
  </si>
  <si>
    <t>Hurricane Boston</t>
  </si>
  <si>
    <t>2 tsp Lime Juice</t>
  </si>
  <si>
    <t>Vampires Kiss Cocktail</t>
  </si>
  <si>
    <t>Granulated sugar and additional grenadine, for the sugar rim (optional)</t>
  </si>
  <si>
    <t>Granulated sugar|additional grenadine</t>
  </si>
  <si>
    <t>and|, for the sugar rim (optional)</t>
  </si>
  <si>
    <t>El Presidente</t>
  </si>
  <si>
    <t>10.5 parts Light rum or Aged rum</t>
  </si>
  <si>
    <t>Light rum|Aged rum</t>
  </si>
  <si>
    <t>6 to 8 ounces sparkling water to taste</t>
  </si>
  <si>
    <t>to, to taste</t>
  </si>
  <si>
    <t>The Quebec Gold</t>
  </si>
  <si>
    <t>Maple syrup 0.5 oz</t>
  </si>
  <si>
    <t>2 dashes Anise liqueur or Absinthe or Creole bitters</t>
  </si>
  <si>
    <t>Anise liqueur|Absinthe|Creole bitters</t>
  </si>
  <si>
    <t>Bramble #10</t>
  </si>
  <si>
    <t>3 Blackberries (garnish)</t>
  </si>
  <si>
    <t>Blackberries</t>
  </si>
  <si>
    <t>(garnish)</t>
  </si>
  <si>
    <t>Kew Garden</t>
  </si>
  <si>
    <t>Club Soda chilled, to top</t>
  </si>
  <si>
    <t>Good Luck Charm</t>
  </si>
  <si>
    <t>20 ml Limoncello</t>
  </si>
  <si>
    <t>Whiskey Highball: Full Sneak</t>
  </si>
  <si>
    <t>Fresh mint or lemon slice</t>
  </si>
  <si>
    <t>mint|lemon slice</t>
  </si>
  <si>
    <t>Brown Derby Cocktail</t>
  </si>
  <si>
    <t>0.5 oz rich honey syrup</t>
  </si>
  <si>
    <t>rich honey syrup</t>
  </si>
  <si>
    <t>Skeleton Key Cocktail</t>
  </si>
  <si>
    <t>3 to 5 ounce ginger beer</t>
  </si>
  <si>
    <t>Cocobana Rum Slush</t>
  </si>
  <si>
    <t>Autumn Gin &amp; Tonic</t>
  </si>
  <si>
    <t>1.5 oz apple-infused gin</t>
  </si>
  <si>
    <t>apple-infused gin</t>
  </si>
  <si>
    <t>Alien Nipple</t>
  </si>
  <si>
    <t>Butterscotch schnapps 1 part</t>
  </si>
  <si>
    <t>Strawberry Spice Everything Nice Spritz</t>
  </si>
  <si>
    <t>3 oz prosecco</t>
  </si>
  <si>
    <t>prosecco</t>
  </si>
  <si>
    <t>Blushin' Russian #2</t>
  </si>
  <si>
    <t>Canadian Hangover</t>
  </si>
  <si>
    <t>5 Drop Vanilla Extract</t>
  </si>
  <si>
    <t>Brandy Eggnog</t>
  </si>
  <si>
    <t>2 oz London dry gin</t>
  </si>
  <si>
    <t>Strip-tease Cocktail</t>
  </si>
  <si>
    <t>1 peel Lemon</t>
  </si>
  <si>
    <t>Valencia Cocktail</t>
  </si>
  <si>
    <t>Black Ukrainian</t>
  </si>
  <si>
    <t>3 oz Cola</t>
  </si>
  <si>
    <t>St. Charles</t>
  </si>
  <si>
    <t>5 oz of Tonic water</t>
  </si>
  <si>
    <t>AT&amp;T</t>
  </si>
  <si>
    <t>Ube Daiquiri</t>
  </si>
  <si>
    <t>25ml Ube Syrup</t>
  </si>
  <si>
    <t>Ube Syrup</t>
  </si>
  <si>
    <t>Mexican Sangria Recipe</t>
  </si>
  <si>
    <t>0.5 cup brandy</t>
  </si>
  <si>
    <t>1 ounce fresh pineapple juice</t>
  </si>
  <si>
    <t>Bad Birdys Rum Punch</t>
  </si>
  <si>
    <t>Angelfire</t>
  </si>
  <si>
    <t>Lime Sherbet Margarita</t>
  </si>
  <si>
    <t>7 and 7</t>
  </si>
  <si>
    <t>6 ounces 7UP</t>
  </si>
  <si>
    <t>7UP</t>
  </si>
  <si>
    <t>Crusta</t>
  </si>
  <si>
    <t>2 dashes Aromatic bitters or Chocolate bitters or Lavender bitters or Lemon bitters or Grapefruit bitters or Orange bitters or Peach bitters or Creole bitters or Walnut bitters or Cherry bitters</t>
  </si>
  <si>
    <t>Aromatic bitters|Chocolate bitters|Lavender bitters|Lemon bitters|Grapefruit bitters|Orange bitters|Peach bitters|Creole bitters|Walnut bitters|Cherry bitters</t>
  </si>
  <si>
    <t>or|or|or|or|or|or|or|or|or</t>
  </si>
  <si>
    <t>Amy`s Tattoo</t>
  </si>
  <si>
    <t>Tropical Margarita</t>
  </si>
  <si>
    <t>2 oz El Padrino Tropical Mango Tequila</t>
  </si>
  <si>
    <t>Tropical Mango Tequila</t>
  </si>
  <si>
    <t>El Padrino</t>
  </si>
  <si>
    <t>MARTINI &amp; ROSSI Italian Spritz</t>
  </si>
  <si>
    <t>1 ounce MARTINI &amp; ROSSI Bitter Liqueur</t>
  </si>
  <si>
    <t>Bitter Liqueur</t>
  </si>
  <si>
    <t>MARTINI &amp; ROSSI</t>
  </si>
  <si>
    <t>Orange Creamsicle Jello Shots</t>
  </si>
  <si>
    <t>Whipped cream vodka 0.5 oz</t>
  </si>
  <si>
    <t>0.83 oz Lemon Juice</t>
  </si>
  <si>
    <t>Jello Shot American Flag</t>
  </si>
  <si>
    <t>Blueberry jello 3 oz</t>
  </si>
  <si>
    <t>Blueberry jello</t>
  </si>
  <si>
    <t>Sparkling Limoncello</t>
  </si>
  <si>
    <t>1.5 parts limoncello</t>
  </si>
  <si>
    <t>limoncello</t>
  </si>
  <si>
    <t>Applejack Rum Rickey</t>
  </si>
  <si>
    <t>2 oz Club Soda</t>
  </si>
  <si>
    <t>Pixy Dust Margarita</t>
  </si>
  <si>
    <t>Sweet n sour 0.5 oz</t>
  </si>
  <si>
    <t>Sweet n sour</t>
  </si>
  <si>
    <t>The Berry Thought of You</t>
  </si>
  <si>
    <t>Garnish: Blackberries, Lemon Wheel, Thyme Sprig</t>
  </si>
  <si>
    <t>Wheel|Sprig</t>
  </si>
  <si>
    <t xml:space="preserve"> Blackberries|Lemon|Thyme</t>
  </si>
  <si>
    <t>Garnish:|,|,</t>
  </si>
  <si>
    <t>La Negra Tiene Tumbao, A Fernet Pina Colada</t>
  </si>
  <si>
    <t>0.25 oz fernet</t>
  </si>
  <si>
    <t>4 oz IPA</t>
  </si>
  <si>
    <t>IPA</t>
  </si>
  <si>
    <t>Ciroc Peach Spritz</t>
  </si>
  <si>
    <t>1 Twist of Lemon (Garnish)</t>
  </si>
  <si>
    <t>The Hubba Bubble</t>
  </si>
  <si>
    <t>Orange Moscow Mule</t>
  </si>
  <si>
    <t>2 oz. Orange Juice</t>
  </si>
  <si>
    <t>oz.</t>
  </si>
  <si>
    <t>Big Chill 1</t>
  </si>
  <si>
    <t>Sour Patch Kids Vodka</t>
  </si>
  <si>
    <t>Golden Glow</t>
  </si>
  <si>
    <t>1 tbsp of fresh lemon juice</t>
  </si>
  <si>
    <t>Paralyzer</t>
  </si>
  <si>
    <t>1 part Heavy whipping cream</t>
  </si>
  <si>
    <t>Baileys Chocolatini</t>
  </si>
  <si>
    <t>10ml Chocolate Liqueur</t>
  </si>
  <si>
    <t>Chocolate Liqueur</t>
  </si>
  <si>
    <t>Nahliato</t>
  </si>
  <si>
    <t>1 ounce Giffard Aperitif Syrup</t>
  </si>
  <si>
    <t>Aperitif Syrup</t>
  </si>
  <si>
    <t>Saturn</t>
  </si>
  <si>
    <t>Whiskey Sidecar Slush</t>
  </si>
  <si>
    <t>0.75 fluid ounce simple syrup</t>
  </si>
  <si>
    <t>Anus Butter</t>
  </si>
  <si>
    <t>1 oz Vanilla Vodka</t>
  </si>
  <si>
    <t>Vanilla Vodka</t>
  </si>
  <si>
    <t>0.5 shot of De Kuyper Apricot Brandy</t>
  </si>
  <si>
    <t>De Kuyper</t>
  </si>
  <si>
    <t>Bulleit Rye Blinker</t>
  </si>
  <si>
    <t>1 Grapefruit Wedge (Garnish)</t>
  </si>
  <si>
    <t>Ketel One Vodka Mojito</t>
  </si>
  <si>
    <t>Kylo Rye</t>
  </si>
  <si>
    <t>0.25 oz Fresh lime juice</t>
  </si>
  <si>
    <t>Coconut Lime Frozen Margarita</t>
  </si>
  <si>
    <t>Safari Orange juice</t>
  </si>
  <si>
    <t>50ml Safari Exotic Fruit Liqueur</t>
  </si>
  <si>
    <t>Exotic Fruit Liqueur</t>
  </si>
  <si>
    <t>Safari</t>
  </si>
  <si>
    <t>Oral Sex on the Beach</t>
  </si>
  <si>
    <t>3.5 oz Pineapple Juice</t>
  </si>
  <si>
    <t>Whiskey Sour</t>
  </si>
  <si>
    <t>2 oz Blended whiskey</t>
  </si>
  <si>
    <t>Blended whiskey</t>
  </si>
  <si>
    <t>Lychee fruits, for garnish</t>
  </si>
  <si>
    <t>Lychee fruits</t>
  </si>
  <si>
    <t>Raspberry Mule</t>
  </si>
  <si>
    <t>1.5 oz Bols Raspberry</t>
  </si>
  <si>
    <t>Bols Raspberry</t>
  </si>
  <si>
    <t>0.5 ounce simple syrup, 2:1 ratio</t>
  </si>
  <si>
    <t>, 2:1 ratio</t>
  </si>
  <si>
    <t>Kung Fu Furi</t>
  </si>
  <si>
    <t>0.75 ounce genmaicha syrup</t>
  </si>
  <si>
    <t>genmaicha syrup</t>
  </si>
  <si>
    <t>Toffee Apple Jello Shots</t>
  </si>
  <si>
    <t>Apple jello 3 oz</t>
  </si>
  <si>
    <t>Apple jello</t>
  </si>
  <si>
    <t>Cheeky Churro</t>
  </si>
  <si>
    <t>Buttermilk Margarita</t>
  </si>
  <si>
    <t>2 cl agave syrup (I probably used a good deal less mine was very thick)</t>
  </si>
  <si>
    <t>(I probably used a good deal less mine was very thick)</t>
  </si>
  <si>
    <t>Baileys Tiramisu</t>
  </si>
  <si>
    <t>70ml Mascarpone</t>
  </si>
  <si>
    <t>Mascarpone</t>
  </si>
  <si>
    <t>Thanksgiving Cocktail</t>
  </si>
  <si>
    <t>1.5 oz Bourbon Whiskey</t>
  </si>
  <si>
    <t>Tropical Fruit Slush</t>
  </si>
  <si>
    <t>Frozen pineapple 1 cup</t>
  </si>
  <si>
    <t>Frozen</t>
  </si>
  <si>
    <t>1 dash Peychaud's bitters</t>
  </si>
  <si>
    <t>Peychaud's bitters</t>
  </si>
  <si>
    <t>Rye House Spring Beer Cocktail</t>
  </si>
  <si>
    <t>Lager beer (such as Blue Point) , chilled, to top</t>
  </si>
  <si>
    <t>Lager beer</t>
  </si>
  <si>
    <t xml:space="preserve">(such as Blue Point), |, to top </t>
  </si>
  <si>
    <t>1 slices Lemon</t>
  </si>
  <si>
    <t>Coffee Grog</t>
  </si>
  <si>
    <t>0.5 part Aged rum or Dark rum or Demerara rum</t>
  </si>
  <si>
    <t>Aged rum|Dark rum|Demerara rum</t>
  </si>
  <si>
    <t>Banshee</t>
  </si>
  <si>
    <t>1 dash Dave Arnolds Chocolate Bitters  or store-bought chocolate bitters</t>
  </si>
  <si>
    <t>Dave Arnolds Chocolate Bitters|store-bought chocolate bitters</t>
  </si>
  <si>
    <t>Checkerboard</t>
  </si>
  <si>
    <t>1 Pinch Chocolate</t>
  </si>
  <si>
    <t>3 oz Vodka</t>
  </si>
  <si>
    <t>Whiskey Daisy</t>
  </si>
  <si>
    <t>Green Emanuelle</t>
  </si>
  <si>
    <t>1.5 ounces kiwi-cucumber fresca (See Editor's Note)</t>
  </si>
  <si>
    <t>kiwi-cucumber fresca</t>
  </si>
  <si>
    <t>(See Editor's Note)</t>
  </si>
  <si>
    <t>Nassau Street Cocktail</t>
  </si>
  <si>
    <t>1 oz apple brandy</t>
  </si>
  <si>
    <t>apple brandy</t>
  </si>
  <si>
    <t>Hunter's Moon</t>
  </si>
  <si>
    <t>25 ml Vermouth</t>
  </si>
  <si>
    <t>Baron Samedi</t>
  </si>
  <si>
    <t>1 drop Orange flower water</t>
  </si>
  <si>
    <t>drop</t>
  </si>
  <si>
    <t>Orange flower water</t>
  </si>
  <si>
    <t>Coconut Strawberry Martini</t>
  </si>
  <si>
    <t>Blue 1575 Martini</t>
  </si>
  <si>
    <t>1 oz Bols Blue 1575</t>
  </si>
  <si>
    <t>Bols Blue 1575</t>
  </si>
  <si>
    <t>Blue Coconut Daiquiri</t>
  </si>
  <si>
    <t>Cream of coconut 1 oz</t>
  </si>
  <si>
    <t>Peanut Butter Cup Shot Glass</t>
  </si>
  <si>
    <t>Irish cream 1 oz</t>
  </si>
  <si>
    <t>Limoncello Spritz</t>
  </si>
  <si>
    <t>1 ounce soda water</t>
  </si>
  <si>
    <t>Hennessy Martini</t>
  </si>
  <si>
    <t>.5 tsp Lemon Juice</t>
  </si>
  <si>
    <t>Peppermint Stick</t>
  </si>
  <si>
    <t>10.5 parts Light Creme de cacao</t>
  </si>
  <si>
    <t>Light Creme de cacao</t>
  </si>
  <si>
    <t>Brandy Crusta</t>
  </si>
  <si>
    <t>a little more lemon juice</t>
  </si>
  <si>
    <t>a little more</t>
  </si>
  <si>
    <t>Brandied Madeira</t>
  </si>
  <si>
    <t>Blue Christina</t>
  </si>
  <si>
    <t>4 oz Apple Juice</t>
  </si>
  <si>
    <t>Love Berry Shots</t>
  </si>
  <si>
    <t>Fruit, Chopped</t>
  </si>
  <si>
    <t>Fruit</t>
  </si>
  <si>
    <t>Chopped</t>
  </si>
  <si>
    <t>Super Soup</t>
  </si>
  <si>
    <t>1 ounce ginger beer (to top)</t>
  </si>
  <si>
    <t>(to top)</t>
  </si>
  <si>
    <t>30ml Ciroc Peach</t>
  </si>
  <si>
    <t>Ciroc Peach</t>
  </si>
  <si>
    <t>Midori Mai Tai</t>
  </si>
  <si>
    <t>Fully Loaded Rum Punch</t>
  </si>
  <si>
    <t>Gordon's Pink Spritz</t>
  </si>
  <si>
    <t>1 Half strawberry on rim</t>
  </si>
  <si>
    <t>Half</t>
  </si>
  <si>
    <t>on rim</t>
  </si>
  <si>
    <t>.5 tsp Butter</t>
  </si>
  <si>
    <t>Zapatero Cocktail</t>
  </si>
  <si>
    <t>1 dash Chocolate bitters</t>
  </si>
  <si>
    <t>Chocolate bitters</t>
  </si>
  <si>
    <t>Coconut Snowball Martini</t>
  </si>
  <si>
    <t>0.25 part DeKuyper Blue Curacao Liqueur</t>
  </si>
  <si>
    <t>Curacao Liqueur</t>
  </si>
  <si>
    <t>DeKuyper Blue</t>
  </si>
  <si>
    <t>Sage &amp; Pineapple</t>
  </si>
  <si>
    <t>Negroni Frappe</t>
  </si>
  <si>
    <t>3 dashes of orange bitters</t>
  </si>
  <si>
    <t>1 quart tomato juice or Campbells V8 juice</t>
  </si>
  <si>
    <t>tomato juice|Campbells V8 juice</t>
  </si>
  <si>
    <t>Lemony Lemon Drop Martini</t>
  </si>
  <si>
    <t>Edinburgh Mule</t>
  </si>
  <si>
    <t>8 Mint Leaves</t>
  </si>
  <si>
    <t>Sweet &amp; Vicious</t>
  </si>
  <si>
    <t>15ml Don Julio Blanco Tequila</t>
  </si>
  <si>
    <t>Apfel Orange</t>
  </si>
  <si>
    <t>10 ml Vodka</t>
  </si>
  <si>
    <t>Lychee Martini</t>
  </si>
  <si>
    <t>1 jigger vodka</t>
  </si>
  <si>
    <t>Volcano</t>
  </si>
  <si>
    <t>Polar Bear 2</t>
  </si>
  <si>
    <t>.5  1 oz Blue Curacao Liqueur</t>
  </si>
  <si>
    <t>Mojito Caballito</t>
  </si>
  <si>
    <t>1.5 ounces carbonated mineral water, preferably Topo Chico</t>
  </si>
  <si>
    <t>carbonated mineral water</t>
  </si>
  <si>
    <t>, preferably Topo Chico</t>
  </si>
  <si>
    <t>Johnnie Walker Ginger Smash</t>
  </si>
  <si>
    <t>30ml Champagne</t>
  </si>
  <si>
    <t>Chocolate Margarita</t>
  </si>
  <si>
    <t>1 splash freshly squeezed orange juice</t>
  </si>
  <si>
    <t>Blueberry Sour</t>
  </si>
  <si>
    <t>0.5 fluid ounce white rum</t>
  </si>
  <si>
    <t>Brandy Milk Punch Cocktail</t>
  </si>
  <si>
    <t>Grated nutmeg, for garnish</t>
  </si>
  <si>
    <t>Grated</t>
  </si>
  <si>
    <t>0.33 oz Sugar Syrup</t>
  </si>
  <si>
    <t>Harrogate Nights</t>
  </si>
  <si>
    <t>5ml Lime Cordial</t>
  </si>
  <si>
    <t>Ginger-Peach Bellini</t>
  </si>
  <si>
    <t>6 slices fresh peaches</t>
  </si>
  <si>
    <t>peaches</t>
  </si>
  <si>
    <t>Tequila Espresso Martini</t>
  </si>
  <si>
    <t>Rabarbaro Amaro</t>
  </si>
  <si>
    <t>Zucca</t>
  </si>
  <si>
    <t>Sangria Liqueur</t>
  </si>
  <si>
    <t>1 Cup Orange Juice</t>
  </si>
  <si>
    <t>Flor Picante, A Mezcal Cocktail</t>
  </si>
  <si>
    <t>0.75 oz chile syrup</t>
  </si>
  <si>
    <t>chile syrup</t>
  </si>
  <si>
    <t>Orange Tic Tac Shot</t>
  </si>
  <si>
    <t>Vodka 2 oz</t>
  </si>
  <si>
    <t>Blue Bucky</t>
  </si>
  <si>
    <t>Mafia`s Kiss</t>
  </si>
  <si>
    <t>2 ounces ginger beer</t>
  </si>
  <si>
    <t>Apple Cider Martini</t>
  </si>
  <si>
    <t>10ml Grapefruit Juice</t>
  </si>
  <si>
    <t>Test Pilot</t>
  </si>
  <si>
    <t>6 drops Anise liqueur or Absinthe</t>
  </si>
  <si>
    <t>Anise liqueur|Absinthe</t>
  </si>
  <si>
    <t>Grasshopper 2.0</t>
  </si>
  <si>
    <t>1 drop food coloring</t>
  </si>
  <si>
    <t>food coloring</t>
  </si>
  <si>
    <t>1 Part White Rum</t>
  </si>
  <si>
    <t>White Cosmopolitan</t>
  </si>
  <si>
    <t>0.5 oz white cranberry juice</t>
  </si>
  <si>
    <t>Colleen Bawn</t>
  </si>
  <si>
    <t>37.5 ml Rye Whiskey</t>
  </si>
  <si>
    <t>1 tsp Honey</t>
  </si>
  <si>
    <t>1.5 ounces pineapple juice</t>
  </si>
  <si>
    <t>Roma Wedding</t>
  </si>
  <si>
    <t>Pink Milk</t>
  </si>
  <si>
    <t>Orange Breeze</t>
  </si>
  <si>
    <t>Cream Sherry Flip</t>
  </si>
  <si>
    <t>1000 Knife vs. Bacardi 151</t>
  </si>
  <si>
    <t>Beautiful Day</t>
  </si>
  <si>
    <t>Toki Highball</t>
  </si>
  <si>
    <t>Garnish: Grapefruit Peel</t>
  </si>
  <si>
    <t>Grapefruit Peel</t>
  </si>
  <si>
    <t>Bon Bon</t>
  </si>
  <si>
    <t>2 tsp Vanilla syrup or Simple syrup or Brown sugar syrup</t>
  </si>
  <si>
    <t>Vanilla syrup|Simple syrup|Brown sugar syrup</t>
  </si>
  <si>
    <t>1 part Brandy or Cognac</t>
  </si>
  <si>
    <t>0.85 oz Pineapple Juice</t>
  </si>
  <si>
    <t>Basil Spritz</t>
  </si>
  <si>
    <t>How to Make Your Own Gomme Syrup</t>
  </si>
  <si>
    <t>0.75 cup water, divided</t>
  </si>
  <si>
    <t>Yuzu Sour</t>
  </si>
  <si>
    <t>3 drops sarsaparilla bitters</t>
  </si>
  <si>
    <t>sarsaparilla bitters</t>
  </si>
  <si>
    <t>Aurora Borealis</t>
  </si>
  <si>
    <t>2 parts Aged rum</t>
  </si>
  <si>
    <t>Atlas</t>
  </si>
  <si>
    <t>1 Part Blue Curacao Liqueur</t>
  </si>
  <si>
    <t>Blindside Bishop</t>
  </si>
  <si>
    <t>1 oz [yellow tail] Merlot</t>
  </si>
  <si>
    <t>Merlot</t>
  </si>
  <si>
    <t>[yellow tail]</t>
  </si>
  <si>
    <t>Mezcal Mule</t>
  </si>
  <si>
    <t>0.5 oz fresh ginger juice</t>
  </si>
  <si>
    <t>ginger juice</t>
  </si>
  <si>
    <t>Fuerza: A Oaxaca Old Fashioned</t>
  </si>
  <si>
    <t>1.25 oz reposado tequila</t>
  </si>
  <si>
    <t>Dark 'n Stormy Cocktail</t>
  </si>
  <si>
    <t>0.5 ounce freshly squeezed lime juice, optional</t>
  </si>
  <si>
    <t>Black Forest Shake</t>
  </si>
  <si>
    <t>2 oz Chocolate Sauce</t>
  </si>
  <si>
    <t>Candy Cane Shooters</t>
  </si>
  <si>
    <t>Snowball Brandy Cocktail</t>
  </si>
  <si>
    <t>Cherry Lime Mojito</t>
  </si>
  <si>
    <t>Club soda 1 oz</t>
  </si>
  <si>
    <t>Royal Mango</t>
  </si>
  <si>
    <t>1 Assortment of Fruit (Garnish)</t>
  </si>
  <si>
    <t>Assortment of Fruit</t>
  </si>
  <si>
    <t>Cherry Daiquiri</t>
  </si>
  <si>
    <t>0.33 oz Cherry Brandy</t>
  </si>
  <si>
    <t>Cherry Brandy</t>
  </si>
  <si>
    <t>Pink Panther Shooter</t>
  </si>
  <si>
    <t>Tequila rose 1 part</t>
  </si>
  <si>
    <t>Tequila rose</t>
  </si>
  <si>
    <t>Hedgerow Sling</t>
  </si>
  <si>
    <t>2 Blackberries (Garnish)</t>
  </si>
  <si>
    <t>Pain Killer</t>
  </si>
  <si>
    <t>1 part Hazelnut liqueur</t>
  </si>
  <si>
    <t>Hazelnut liqueur</t>
  </si>
  <si>
    <t>Slut Tits</t>
  </si>
  <si>
    <t>6 oz Cranberry and Strawberry Juice</t>
  </si>
  <si>
    <t>Cranberry|Strawberry Juice</t>
  </si>
  <si>
    <t>Canchanchara</t>
  </si>
  <si>
    <t>0.5 ounce honey syrup</t>
  </si>
  <si>
    <t>Elderflower Collins</t>
  </si>
  <si>
    <t>French Colada</t>
  </si>
  <si>
    <t>0.75 oz Coconut Cream</t>
  </si>
  <si>
    <t>Bourbon Eggnog</t>
  </si>
  <si>
    <t>8 ounces heavy cream</t>
  </si>
  <si>
    <t>Bloomer Dropper</t>
  </si>
  <si>
    <t>2 Can Peach</t>
  </si>
  <si>
    <t>Kiwi Lime Mojito</t>
  </si>
  <si>
    <t>Simple syrup 1.5 oz</t>
  </si>
  <si>
    <t>Iced Strawberry Shortcake</t>
  </si>
  <si>
    <t>175ml Hot Chocolate</t>
  </si>
  <si>
    <t>Hot Chocolate</t>
  </si>
  <si>
    <t>Baker's Midnight Manhattan</t>
  </si>
  <si>
    <t>1 part Averna Amaro</t>
  </si>
  <si>
    <t>Averna Amaro</t>
  </si>
  <si>
    <t>Malted Marigold</t>
  </si>
  <si>
    <t>50ml Orange Juice</t>
  </si>
  <si>
    <t>Bellevue</t>
  </si>
  <si>
    <t>0.25 oz Lime Juice</t>
  </si>
  <si>
    <t>Aurora</t>
  </si>
  <si>
    <t>Bitter Lemon</t>
  </si>
  <si>
    <t>0.75 oz Cream</t>
  </si>
  <si>
    <t>Gingerbread martini</t>
  </si>
  <si>
    <t>Gingerbread men</t>
  </si>
  <si>
    <t>Long Island Fruit Punch</t>
  </si>
  <si>
    <t>.5 oz Orange Vodka</t>
  </si>
  <si>
    <t>Orange Vodka</t>
  </si>
  <si>
    <t>Blue Raspberry Jolly Rancher Moonshine</t>
  </si>
  <si>
    <t>Blue raspberry jolly ranchers</t>
  </si>
  <si>
    <t>White Dragon</t>
  </si>
  <si>
    <t>1.75 ounces Casa Dragones blanco tequila</t>
  </si>
  <si>
    <t>Casa Dragones</t>
  </si>
  <si>
    <t>Reposado Margarita</t>
  </si>
  <si>
    <t>1 parts Cognac-Based Orange Liqueur</t>
  </si>
  <si>
    <t>Cognac-Based</t>
  </si>
  <si>
    <t>Room for Improvement's Cosmopolitan</t>
  </si>
  <si>
    <t>0.25 ounce Clement Creole Shrubb</t>
  </si>
  <si>
    <t>Creole Shrubb</t>
  </si>
  <si>
    <t>Clement</t>
  </si>
  <si>
    <t>1 oz bourbon</t>
  </si>
  <si>
    <t>1.5 ounces gin, preferably Song Cai</t>
  </si>
  <si>
    <t>, preferably Song Cai</t>
  </si>
  <si>
    <t>Pink Pantie Pulldown</t>
  </si>
  <si>
    <t>2 oz Lemonade</t>
  </si>
  <si>
    <t>Don Julio &amp; Lemonade</t>
  </si>
  <si>
    <t>Blueberry Hawaiian</t>
  </si>
  <si>
    <t>Allegory's Pisco Sour</t>
  </si>
  <si>
    <t>VO Rocks</t>
  </si>
  <si>
    <t>1 Orange Slice (Garnish)</t>
  </si>
  <si>
    <t>GORDONS GRAPEFRUIT FIZZ (PINK PALOMA FOR GB) 0.0% VARIANT</t>
  </si>
  <si>
    <t>50ml Gordons 0.0% Premium Pink</t>
  </si>
  <si>
    <t>Gordons 0.0% Premium Pink</t>
  </si>
  <si>
    <t>Ranch Water Recipe</t>
  </si>
  <si>
    <t>For serving: lime wedges or wheels, ice (try clear ice !)</t>
  </si>
  <si>
    <t>wedges|wheels</t>
  </si>
  <si>
    <t xml:space="preserve"> For serving:|or|, ice (try clear ice) </t>
  </si>
  <si>
    <t>1 whole egg</t>
  </si>
  <si>
    <t>whole egg</t>
  </si>
  <si>
    <t>Hacienda</t>
  </si>
  <si>
    <t>3 Dashes aromatic bitters</t>
  </si>
  <si>
    <t>Nettle Shoots</t>
  </si>
  <si>
    <t>1.5 cl white creme de cacao</t>
  </si>
  <si>
    <t>Italian 75</t>
  </si>
  <si>
    <t>25ml Lemon juice</t>
  </si>
  <si>
    <t>Quaker's Cocktail</t>
  </si>
  <si>
    <t>Juice of 0.25 Lemon</t>
  </si>
  <si>
    <t>Grand Slam</t>
  </si>
  <si>
    <t>1 ounce Goslings Black Seal rum</t>
  </si>
  <si>
    <t>Goslings Black Seal rum</t>
  </si>
  <si>
    <t>1 dash Grapefruit bitters</t>
  </si>
  <si>
    <t>Grapefruit bitters</t>
  </si>
  <si>
    <t>Bourbon Old-Fashioned</t>
  </si>
  <si>
    <t>3 Dashes Bitters</t>
  </si>
  <si>
    <t>King's Cider</t>
  </si>
  <si>
    <t>420 Liquid Marijuana Jungle Juice</t>
  </si>
  <si>
    <t>10ml Sugar Syrup</t>
  </si>
  <si>
    <t>Summer Berry Sangria</t>
  </si>
  <si>
    <t>Pickleback</t>
  </si>
  <si>
    <t>1.5 ounces Jameson Irish whiskey</t>
  </si>
  <si>
    <t>Jameson</t>
  </si>
  <si>
    <t>Paloma Mimosa</t>
  </si>
  <si>
    <t>Skyball</t>
  </si>
  <si>
    <t>125ml Lemonade</t>
  </si>
  <si>
    <t>Spiced Christmas Coquito</t>
  </si>
  <si>
    <t>1 Sprinkling of Nutmeg</t>
  </si>
  <si>
    <t>Sprinkling</t>
  </si>
  <si>
    <t>Black-Cherry Rum Punch</t>
  </si>
  <si>
    <t>24 oz White Rum</t>
  </si>
  <si>
    <t>Montgomery</t>
  </si>
  <si>
    <t>0.25 Shot Dry Vermouth</t>
  </si>
  <si>
    <t>The Strawberry Capitol Cocktail</t>
  </si>
  <si>
    <t>Bushwick</t>
  </si>
  <si>
    <t>0.25 ounce Amer Picon (or Amaro Lucano )</t>
  </si>
  <si>
    <t>Amer Picon|Amaro Lucano</t>
  </si>
  <si>
    <t>Original Irish Coffee</t>
  </si>
  <si>
    <t>2 teaspoons packed brown sugar, to taste</t>
  </si>
  <si>
    <t>packed brown sugar</t>
  </si>
  <si>
    <t>, to taste</t>
  </si>
  <si>
    <t>1 oz grapefruit juice</t>
  </si>
  <si>
    <t>Not Your Fathers Root Beer Float</t>
  </si>
  <si>
    <t>Spiced rum 1 oz</t>
  </si>
  <si>
    <t>Spiced rum</t>
  </si>
  <si>
    <t>Bleu Passion Fruit Mojito</t>
  </si>
  <si>
    <t>12.5 ounces Tanqueray London Dry gin</t>
  </si>
  <si>
    <t>Frozen Banana Margaritas</t>
  </si>
  <si>
    <t>6 ice cubes, or as needed</t>
  </si>
  <si>
    <t>,or as needed</t>
  </si>
  <si>
    <t>Blue Mother</t>
  </si>
  <si>
    <t>0.5 barspoon yuzu kosho</t>
  </si>
  <si>
    <t>yuzu kosho</t>
  </si>
  <si>
    <t>Best Chocolate Martini</t>
  </si>
  <si>
    <t>2 ounces  Irish cream (like Baileys)</t>
  </si>
  <si>
    <t>(like Baileys)</t>
  </si>
  <si>
    <t>Butter Beer</t>
  </si>
  <si>
    <t>Popping Candy</t>
  </si>
  <si>
    <t>Blue Hawaii</t>
  </si>
  <si>
    <t>2 parts Pineapple Juice</t>
  </si>
  <si>
    <t>Bananas Foster Martini</t>
  </si>
  <si>
    <t>Chocolate Milk with a Kick</t>
  </si>
  <si>
    <t>Hemingway Daiquiri Cocktail</t>
  </si>
  <si>
    <t>2 fluid ounces rum</t>
  </si>
  <si>
    <t>German Vacation</t>
  </si>
  <si>
    <t>3 dashes Creole bitters</t>
  </si>
  <si>
    <t>Creole bitters</t>
  </si>
  <si>
    <t>Hybrid Highball</t>
  </si>
  <si>
    <t>30 ml Lemon Juice</t>
  </si>
  <si>
    <t>Jalapeno Margarita Shot</t>
  </si>
  <si>
    <t>Grand marnier 1 oz</t>
  </si>
  <si>
    <t>Liqiud Mintaero</t>
  </si>
  <si>
    <t>1 Handfull Ice</t>
  </si>
  <si>
    <t>Handfull</t>
  </si>
  <si>
    <t>Mayan Whore</t>
  </si>
  <si>
    <t>0.75 oz Tequila</t>
  </si>
  <si>
    <t>2 parts Passion Fruit Liqueur</t>
  </si>
  <si>
    <t>Passion Fruit Liqueur</t>
  </si>
  <si>
    <t>Fuzzy Pecker</t>
  </si>
  <si>
    <t>French 75</t>
  </si>
  <si>
    <t>Garnish: Lemon Twist</t>
  </si>
  <si>
    <t>Ancho Chile Hot Chocolate</t>
  </si>
  <si>
    <t>5 oz hot chocolate</t>
  </si>
  <si>
    <t>hot chocolate</t>
  </si>
  <si>
    <t>Gin Cobbler</t>
  </si>
  <si>
    <t>2 Shot Gin</t>
  </si>
  <si>
    <t>Bobby Bare</t>
  </si>
  <si>
    <t>1 oz Orange Vodka</t>
  </si>
  <si>
    <t>Homemade Brown Sugar Spiced Simple Syrup</t>
  </si>
  <si>
    <t>1 teaspoon whole cloves</t>
  </si>
  <si>
    <t>Club Blue</t>
  </si>
  <si>
    <t>25ml Smirnoff Amaretto</t>
  </si>
  <si>
    <t>Smirnoff Amaretto</t>
  </si>
  <si>
    <t>Tarocco Spritz</t>
  </si>
  <si>
    <t>0.5 ounce vanilla syrup</t>
  </si>
  <si>
    <t>vanilla syrup</t>
  </si>
  <si>
    <t>Best Frose Recipe (Frozen Rose)</t>
  </si>
  <si>
    <t>1 tablespoon honey (or maple syrup for vegan)</t>
  </si>
  <si>
    <t>honey|maple syrup</t>
  </si>
  <si>
    <t>(or |for vegan)</t>
  </si>
  <si>
    <t>1 Cacao Butter Fat Wash</t>
  </si>
  <si>
    <t>Cacao Butter Fat Wash</t>
  </si>
  <si>
    <t>Hello Kitty</t>
  </si>
  <si>
    <t>6 leaves of fresh mint</t>
  </si>
  <si>
    <t>Raspberry Martini</t>
  </si>
  <si>
    <t>6 Raspberries</t>
  </si>
  <si>
    <t>Bloody Hogger</t>
  </si>
  <si>
    <t>Tom &amp; Jerry Warm Milk Punch</t>
  </si>
  <si>
    <t>2 ounces dark rum</t>
  </si>
  <si>
    <t>Tie Me To The Bedpost  Hawaiian</t>
  </si>
  <si>
    <t>Fireball Cola Slush</t>
  </si>
  <si>
    <t>Fireball 3 oz</t>
  </si>
  <si>
    <t>Fireball</t>
  </si>
  <si>
    <t>Breakfast Margarita</t>
  </si>
  <si>
    <t>1.5 fluid ounces tequila</t>
  </si>
  <si>
    <t>1 part Blood orange liqueur</t>
  </si>
  <si>
    <t>Blood orange liqueur</t>
  </si>
  <si>
    <t>Haus Special</t>
  </si>
  <si>
    <t>2 oz Blackberry Schnapps</t>
  </si>
  <si>
    <t>Blackberry Schnapps</t>
  </si>
  <si>
    <t>Cherry Kiss</t>
  </si>
  <si>
    <t>Mulled Wine</t>
  </si>
  <si>
    <t>250g Sugar</t>
  </si>
  <si>
    <t>Boozy Sandwich From Mohawk Bend</t>
  </si>
  <si>
    <t>2 slices of sourdough bread, sliced 0.5-0.75 inches thick</t>
  </si>
  <si>
    <t>sourdough bread</t>
  </si>
  <si>
    <t>of|,|0.5-0.75 inches thick</t>
  </si>
  <si>
    <t>6 parts Sauza Blue 100% Agave Blanco Tequila</t>
  </si>
  <si>
    <t>Agave Blanco Tequila</t>
  </si>
  <si>
    <t>Sauza Blue 100%</t>
  </si>
  <si>
    <t>The Snowman</t>
  </si>
  <si>
    <t>Vanilla vodka 1 oz</t>
  </si>
  <si>
    <t>British Orchard Spritz</t>
  </si>
  <si>
    <t>50ml Cloudy Apple Juice</t>
  </si>
  <si>
    <t>Cloudy Apple Juice</t>
  </si>
  <si>
    <t>Valentino</t>
  </si>
  <si>
    <t>Cuban Affair</t>
  </si>
  <si>
    <t>3 dashes Chocolate bitters</t>
  </si>
  <si>
    <t>Snake Hips Swizzle</t>
  </si>
  <si>
    <t>0.5 part Sweet sherry</t>
  </si>
  <si>
    <t>Sweet sherry</t>
  </si>
  <si>
    <t>Purple Viking Cocktail</t>
  </si>
  <si>
    <t>1 ounce sloe gin</t>
  </si>
  <si>
    <t>Quarterback Sack Shots</t>
  </si>
  <si>
    <t>2 oz of Gin</t>
  </si>
  <si>
    <t>Moranguito</t>
  </si>
  <si>
    <t>0.4 Absinthe</t>
  </si>
  <si>
    <t>Iced Tea Sangria</t>
  </si>
  <si>
    <t>Iced tea 16 oz</t>
  </si>
  <si>
    <t>June Bug</t>
  </si>
  <si>
    <t>2 ounces cherry tarragon shrub (see Editor's Note)</t>
  </si>
  <si>
    <t>cherry tarragon shrub</t>
  </si>
  <si>
    <t>Detox Shot</t>
  </si>
  <si>
    <t>0.25 oz Brandy</t>
  </si>
  <si>
    <t>0.25 oz roasted pineapple syrup</t>
  </si>
  <si>
    <t>pineapple syrup</t>
  </si>
  <si>
    <t>roasted</t>
  </si>
  <si>
    <t>Frozen Cocktail: Life on Freezy Street</t>
  </si>
  <si>
    <t>0.5 oz honey</t>
  </si>
  <si>
    <t>2 parts Rye whiskey or Bourbon or Brandy or Cognac or Irish whiskey or Blended whiskey</t>
  </si>
  <si>
    <t>Rye whiskey|Bourbon|Brandy|Cognac|Irish whiskey|Blended whiskey</t>
  </si>
  <si>
    <t>or|or|or|or|or</t>
  </si>
  <si>
    <t>1 large sprig fresh mint</t>
  </si>
  <si>
    <t>large</t>
  </si>
  <si>
    <t>Wonder Woman Shot</t>
  </si>
  <si>
    <t>1 jigger pumpkin flavored liqueur</t>
  </si>
  <si>
    <t>pumpkin flavored liqueur</t>
  </si>
  <si>
    <t>Kentucky Buck</t>
  </si>
  <si>
    <t>2 dashes Aromatic bitters or Lemon bitters or Creole bitters</t>
  </si>
  <si>
    <t>Aromatic bitters|Lemon bitters|Creole bitters</t>
  </si>
  <si>
    <t>Pixie Stix</t>
  </si>
  <si>
    <t>The Summer Essence</t>
  </si>
  <si>
    <t>Mint leaves 8 undefined</t>
  </si>
  <si>
    <t>Strawberry Mudslide</t>
  </si>
  <si>
    <t>2 dashes Angostura Bitters</t>
  </si>
  <si>
    <t>Scarlett Martini</t>
  </si>
  <si>
    <t>Electric Harbor Tea</t>
  </si>
  <si>
    <t>0.5 oz of Blue Curacao</t>
  </si>
  <si>
    <t>Bananarama Cocktail</t>
  </si>
  <si>
    <t>Rum 2 oz</t>
  </si>
  <si>
    <t>30ml Hennessy VSOP</t>
  </si>
  <si>
    <t>Hennessy VSOP</t>
  </si>
  <si>
    <t>50ml Don Julio Reposado</t>
  </si>
  <si>
    <t>Reposado</t>
  </si>
  <si>
    <t>The Cornell</t>
  </si>
  <si>
    <t>fill with Ice</t>
  </si>
  <si>
    <t>Baileys Nutty Irishman</t>
  </si>
  <si>
    <t>70ml Baileys Original Irish Cream Liqueur</t>
  </si>
  <si>
    <t>Sorrenity</t>
  </si>
  <si>
    <t>1.5 ounces rum, preferably Bacardi Ocho</t>
  </si>
  <si>
    <t>, preferably Bacardi Ocho</t>
  </si>
  <si>
    <t>Scotch Screwdriver</t>
  </si>
  <si>
    <t>Classic Gin Fizz Cocktail</t>
  </si>
  <si>
    <t>0.75 ounce simple syrup, 1:1 ratio</t>
  </si>
  <si>
    <t>, 1:1 ratio</t>
  </si>
  <si>
    <t>Coast Colada</t>
  </si>
  <si>
    <t>Snickertini</t>
  </si>
  <si>
    <t>Bacardi Cocktail</t>
  </si>
  <si>
    <t>0.5 tsp of sugar syrup</t>
  </si>
  <si>
    <t>Thai Iced Tea</t>
  </si>
  <si>
    <t>0.25 cup Thai Tea</t>
  </si>
  <si>
    <t>Thai Tea</t>
  </si>
  <si>
    <t>Midnight's Kiss</t>
  </si>
  <si>
    <t>2.5 fluid ounces half-and-half</t>
  </si>
  <si>
    <t>1 oz Creme De Cacao</t>
  </si>
  <si>
    <t>Creme De Cacao</t>
  </si>
  <si>
    <t>Bananary Buzz</t>
  </si>
  <si>
    <t>0.75 cl banana liqueur - I used Giffard Banane du Bresil</t>
  </si>
  <si>
    <t>Blues Night</t>
  </si>
  <si>
    <t>My Loups Tuxedo No. 2</t>
  </si>
  <si>
    <t>0.25 ounce maraschino liqueur, preferably Maraska</t>
  </si>
  <si>
    <t>preferably Maraska</t>
  </si>
  <si>
    <t>Kumquat Sidecar</t>
  </si>
  <si>
    <t>Jacqueline Cocktail</t>
  </si>
  <si>
    <t>Tropical Sunrise Popsicles</t>
  </si>
  <si>
    <t>Kiwi Margarita</t>
  </si>
  <si>
    <t>2 cups small ice cubes</t>
  </si>
  <si>
    <t>DIY Southern Comfort</t>
  </si>
  <si>
    <t>3 dried cherries</t>
  </si>
  <si>
    <t>Captain Bahama Mama</t>
  </si>
  <si>
    <t>50ml Captain Morgan Original Spiced Gold</t>
  </si>
  <si>
    <t>Original Spiced Gold</t>
  </si>
  <si>
    <t>Captain Morgan</t>
  </si>
  <si>
    <t>KCB</t>
  </si>
  <si>
    <t>1 tsp tsp Apricot Brandy</t>
  </si>
  <si>
    <t>The Dabney</t>
  </si>
  <si>
    <t>2 dashes Bitter Queens tobacco bitters</t>
  </si>
  <si>
    <t>tobacco bitters</t>
  </si>
  <si>
    <t>Bitter Queens</t>
  </si>
  <si>
    <t>1 Bottle Club Soda</t>
  </si>
  <si>
    <t>Bottle</t>
  </si>
  <si>
    <t>Caribbean Cooler</t>
  </si>
  <si>
    <t>1.5 oz club soda</t>
  </si>
  <si>
    <t>Mr. Big's White Sangria</t>
  </si>
  <si>
    <t>1 bottle champagne</t>
  </si>
  <si>
    <t>Mistea</t>
  </si>
  <si>
    <t>7 oz Tea Hot</t>
  </si>
  <si>
    <t>Tea</t>
  </si>
  <si>
    <t>Jalapeo Margarita</t>
  </si>
  <si>
    <t>Splash Orange Bitters</t>
  </si>
  <si>
    <t>Bill's Famous Mai Tai</t>
  </si>
  <si>
    <t>0.75 fluid ounce light rum</t>
  </si>
  <si>
    <t>Peachy Dream</t>
  </si>
  <si>
    <t>Saison Highball</t>
  </si>
  <si>
    <t>0.5 ounce St. George apple brandy</t>
  </si>
  <si>
    <t>St. George</t>
  </si>
  <si>
    <t>Toasted Almond</t>
  </si>
  <si>
    <t>37.5 ml Coffee Liqueur</t>
  </si>
  <si>
    <t>NATURAL COFFEE COCKTAIL</t>
  </si>
  <si>
    <t>1 Double-strained muddled watermelon mixture</t>
  </si>
  <si>
    <t>watermelon mixture</t>
  </si>
  <si>
    <t>muddled</t>
  </si>
  <si>
    <t>Double-strained</t>
  </si>
  <si>
    <t>Kinky Rockstars</t>
  </si>
  <si>
    <t>Buttercream Tea</t>
  </si>
  <si>
    <t>1 Splash Cola</t>
  </si>
  <si>
    <t>Alabama</t>
  </si>
  <si>
    <t>Seaside Negroni Riff Recipe</t>
  </si>
  <si>
    <t>10.5 oz Lillet Blanc</t>
  </si>
  <si>
    <t>Bourbon Sloe Gin Fizz</t>
  </si>
  <si>
    <t>1 tsp of sugar syrup</t>
  </si>
  <si>
    <t>300ml Heavy Cream</t>
  </si>
  <si>
    <t>Heavy Cream</t>
  </si>
  <si>
    <t>2 Tbsp. roasted pumpkin seeds</t>
  </si>
  <si>
    <t>Tbsp.</t>
  </si>
  <si>
    <t>pumpkin seeds</t>
  </si>
  <si>
    <t>Alligator Tail Shots</t>
  </si>
  <si>
    <t>Jagermeister 1 part</t>
  </si>
  <si>
    <t>Blue Devil</t>
  </si>
  <si>
    <t>Bagrationi</t>
  </si>
  <si>
    <t>1 ounce Italian sweet vermouth</t>
  </si>
  <si>
    <t>Italian sweet vermouth</t>
  </si>
  <si>
    <t>Hot Lil Honey Shots</t>
  </si>
  <si>
    <t>Hazelnut liqueur 1 part</t>
  </si>
  <si>
    <t>0.5 ounce dry vermouth</t>
  </si>
  <si>
    <t>Hemingway Daiquiri</t>
  </si>
  <si>
    <t>1.5 oz white rum</t>
  </si>
  <si>
    <t>Fault Line</t>
  </si>
  <si>
    <t>1 teaspoon carrot eau de vie, preferably Reisetbauer</t>
  </si>
  <si>
    <t>carrot eau de vie</t>
  </si>
  <si>
    <t>, preferably Reisetbauer</t>
  </si>
  <si>
    <t>Melted Snowman Shots</t>
  </si>
  <si>
    <t>Blue Eye</t>
  </si>
  <si>
    <t>Tequila Cocktail: The Casper</t>
  </si>
  <si>
    <t>2 oz reposado tequila</t>
  </si>
  <si>
    <t>Bondages` No Problem</t>
  </si>
  <si>
    <t>1 cups Cranberry Juice</t>
  </si>
  <si>
    <t>1 Can Condensed Milk</t>
  </si>
  <si>
    <t>Tart n Sand</t>
  </si>
  <si>
    <t>0.75 ounce Lillet Rouge aperitif</t>
  </si>
  <si>
    <t>aperitif</t>
  </si>
  <si>
    <t>Lillet Rouge</t>
  </si>
  <si>
    <t>Fidel Castro</t>
  </si>
  <si>
    <t>Vodka Apple Jello Shots</t>
  </si>
  <si>
    <t>Apple vodka 1.5 oz</t>
  </si>
  <si>
    <t>Apple vodka</t>
  </si>
  <si>
    <t>Coconut Orange</t>
  </si>
  <si>
    <t>Blonde Moment</t>
  </si>
  <si>
    <t>1 oz Lemon Rum</t>
  </si>
  <si>
    <t>Hpnotiq Margarita</t>
  </si>
  <si>
    <t>Strawberry Rosemary Punch</t>
  </si>
  <si>
    <t>12 parts Cruzan Strawberry Rum</t>
  </si>
  <si>
    <t>Strawberry Rum</t>
  </si>
  <si>
    <t>Cruzan</t>
  </si>
  <si>
    <t>Electric Iced Tea Cocktail</t>
  </si>
  <si>
    <t>0.5 ounce blue curacao liqueur</t>
  </si>
  <si>
    <t>A Bloody Good Time</t>
  </si>
  <si>
    <t>1 oz Cherry vodka</t>
  </si>
  <si>
    <t>Cherry vodka</t>
  </si>
  <si>
    <t>Australian Tropical Thunder</t>
  </si>
  <si>
    <t>30ml Coconut Water</t>
  </si>
  <si>
    <t>Coconut Water</t>
  </si>
  <si>
    <t>The Nyeri Harvest Bliss</t>
  </si>
  <si>
    <t>4 Freshly roasted coffee beans (garnish)</t>
  </si>
  <si>
    <t>coffee beans</t>
  </si>
  <si>
    <t>Old Sister Tamarind</t>
  </si>
  <si>
    <t>5 drops Bittermens celery shrub</t>
  </si>
  <si>
    <t>celery shrub</t>
  </si>
  <si>
    <t>Bittermens</t>
  </si>
  <si>
    <t>Stars &amp; Satellites</t>
  </si>
  <si>
    <t>1 ounce Cynar</t>
  </si>
  <si>
    <t>Bossa Manhattan</t>
  </si>
  <si>
    <t>Cucumber Jalapeno Margarita</t>
  </si>
  <si>
    <t>4 wedges lime</t>
  </si>
  <si>
    <t>Candy Corn Jello Treats</t>
  </si>
  <si>
    <t>milk</t>
  </si>
  <si>
    <t>Classic Bushwacker</t>
  </si>
  <si>
    <t>2 ounces 2% milk</t>
  </si>
  <si>
    <t>2% milk</t>
  </si>
  <si>
    <t>Landmaster</t>
  </si>
  <si>
    <t>0.25 ounce Galliano</t>
  </si>
  <si>
    <t>Galliano</t>
  </si>
  <si>
    <t>Alligator Bait 2</t>
  </si>
  <si>
    <t>1 oz Strawberry Margarita Mix</t>
  </si>
  <si>
    <t>Strawberry Margarita Mix</t>
  </si>
  <si>
    <t>1 fluid ounce brine from olive jar</t>
  </si>
  <si>
    <t>brine from olive jar</t>
  </si>
  <si>
    <t>Corpse Reviver No. 2</t>
  </si>
  <si>
    <t>1 part Triple sec or Orange curacao</t>
  </si>
  <si>
    <t>Triple sec|Orange curacao</t>
  </si>
  <si>
    <t>Gummy Bear Jello Cups</t>
  </si>
  <si>
    <t>Gummy bears</t>
  </si>
  <si>
    <t>Strawberry Dream</t>
  </si>
  <si>
    <t>Bulleit Manhattan</t>
  </si>
  <si>
    <t>10ml Sweet vermouth</t>
  </si>
  <si>
    <t>The Real Rum Runner</t>
  </si>
  <si>
    <t>2 cups ice, divided, or as needed</t>
  </si>
  <si>
    <t xml:space="preserve">, divided, or as needed </t>
  </si>
  <si>
    <t>Fizzy Apple Cocktail</t>
  </si>
  <si>
    <t>Apple Slice</t>
  </si>
  <si>
    <t>Bloody Aztec</t>
  </si>
  <si>
    <t>20 ml Red Food Colouring</t>
  </si>
  <si>
    <t>Red Food Colouring</t>
  </si>
  <si>
    <t>The Hayworth</t>
  </si>
  <si>
    <t>10ml Cassis Liqueur</t>
  </si>
  <si>
    <t>Cassis Liqueur</t>
  </si>
  <si>
    <t>Absinthe Drip</t>
  </si>
  <si>
    <t>2 oz Absinthe Herbal Liqueur</t>
  </si>
  <si>
    <t>Absinthe Herbal Liqueur</t>
  </si>
  <si>
    <t>Pina Colada Mix</t>
  </si>
  <si>
    <t>Spiced Rum Punch</t>
  </si>
  <si>
    <t>1.5 oz pineapple juice</t>
  </si>
  <si>
    <t>4th of July Jello Shots</t>
  </si>
  <si>
    <t>Knox unflavored gelatin 2 pack</t>
  </si>
  <si>
    <t>gelatin</t>
  </si>
  <si>
    <t>unflavored</t>
  </si>
  <si>
    <t>Knox</t>
  </si>
  <si>
    <t>Hells Fury Shot</t>
  </si>
  <si>
    <t>Everclear 1 oz</t>
  </si>
  <si>
    <t>Bordeaux Sour</t>
  </si>
  <si>
    <t>Rainbow White Wine Spritzer</t>
  </si>
  <si>
    <t>South Slope</t>
  </si>
  <si>
    <t>Chicago</t>
  </si>
  <si>
    <t>Dirty Bloody Red Headed Slut</t>
  </si>
  <si>
    <t>.5 oz Tomato Juice</t>
  </si>
  <si>
    <t>Billionaire</t>
  </si>
  <si>
    <t>0.25 oz Triple Sec</t>
  </si>
  <si>
    <t>Archangel</t>
  </si>
  <si>
    <t>0.75 part Sweet orange aperitif (Aperol)</t>
  </si>
  <si>
    <t>Sweet orange aperitif</t>
  </si>
  <si>
    <t>(Aperol)</t>
  </si>
  <si>
    <t>Basil Simple Syrup</t>
  </si>
  <si>
    <t>Vodka Fruit Punch Popsicle</t>
  </si>
  <si>
    <t>Strawberry vodka 0.5 oz</t>
  </si>
  <si>
    <t>Strawberry vodka</t>
  </si>
  <si>
    <t>Baileys Chocolate Pudding</t>
  </si>
  <si>
    <t>Rugburn</t>
  </si>
  <si>
    <t>40 ml Irish Whiskey</t>
  </si>
  <si>
    <t>Chicks Dig It</t>
  </si>
  <si>
    <t>fill with Ginger Ale</t>
  </si>
  <si>
    <t>Colorado Bulldog 2</t>
  </si>
  <si>
    <t>1.5 oz Butterscotch Liqueur</t>
  </si>
  <si>
    <t>Welcome To The Island</t>
  </si>
  <si>
    <t>5ml Pineapple Juice</t>
  </si>
  <si>
    <t>Pineapple Ginger Margarita</t>
  </si>
  <si>
    <t>Lime wedge, for garnish</t>
  </si>
  <si>
    <t>Playboy Bunny</t>
  </si>
  <si>
    <t>2 Cup Cranberry Juice</t>
  </si>
  <si>
    <t>1 oz Knight Gabriello Rosso Amaro</t>
  </si>
  <si>
    <t>Rosso Amaro</t>
  </si>
  <si>
    <t>Knight Gabriello</t>
  </si>
  <si>
    <t>Soda water , for serving (optional)</t>
  </si>
  <si>
    <t>, for serving (optional)</t>
  </si>
  <si>
    <t>Jimi On Acid</t>
  </si>
  <si>
    <t>1.5 oz Mango Puree</t>
  </si>
  <si>
    <t>Stoplight Margarita</t>
  </si>
  <si>
    <t>Mango daiquiri mix 1.5 oz</t>
  </si>
  <si>
    <t>Mango daiquiri mix</t>
  </si>
  <si>
    <t>Deiji</t>
  </si>
  <si>
    <t>1 ounce gin, preferably Roku</t>
  </si>
  <si>
    <t>, preferably Roku</t>
  </si>
  <si>
    <t>1 part JDK &amp; Sons O3 Premium Orange Liqueur</t>
  </si>
  <si>
    <t>JDK &amp; Sons O3 Premium</t>
  </si>
  <si>
    <t>Mystical One</t>
  </si>
  <si>
    <t>2 parts Bourbon</t>
  </si>
  <si>
    <t>Shochu Sour</t>
  </si>
  <si>
    <t>0.25 ounce fresh kaki apple juice</t>
  </si>
  <si>
    <t>kaki apple juice</t>
  </si>
  <si>
    <t>Jamaican Sunrise 2</t>
  </si>
  <si>
    <t>1.5 oz Rum</t>
  </si>
  <si>
    <t>Something for Everyone</t>
  </si>
  <si>
    <t>Blueberry puree 1 oz</t>
  </si>
  <si>
    <t>Blueberry puree</t>
  </si>
  <si>
    <t>Razzleberry Delight</t>
  </si>
  <si>
    <t>Razzmatazz schnapps 1.5 oz</t>
  </si>
  <si>
    <t>Razzmatazz schnapps</t>
  </si>
  <si>
    <t>Pitcher Perfect Margaritas</t>
  </si>
  <si>
    <t>0.75 cup sweetened lime juice</t>
  </si>
  <si>
    <t>sweetened lime juice</t>
  </si>
  <si>
    <t>Jim Beam Apple Highball</t>
  </si>
  <si>
    <t>50ml Boiling Water</t>
  </si>
  <si>
    <t>Truth Tea</t>
  </si>
  <si>
    <t>50ml Smirnoff Wild Honey</t>
  </si>
  <si>
    <t>Wild Honey</t>
  </si>
  <si>
    <t>Smirnoff</t>
  </si>
  <si>
    <t>Downshift</t>
  </si>
  <si>
    <t>1 part Sprite</t>
  </si>
  <si>
    <t>Sprite</t>
  </si>
  <si>
    <t>Frozen Melon Margaritas</t>
  </si>
  <si>
    <t>4 cups ice cubes</t>
  </si>
  <si>
    <t>Holiday Drink: Last Waltz</t>
  </si>
  <si>
    <t>1 tsp. yellow Chartreuse</t>
  </si>
  <si>
    <t>Seedlip Grove Ginger Highball</t>
  </si>
  <si>
    <t>1 Orange Wheel (Garnish)</t>
  </si>
  <si>
    <t>Boston Sidecar</t>
  </si>
  <si>
    <t>0.75 oz Triple sec</t>
  </si>
  <si>
    <t>Perfect Milk Punch</t>
  </si>
  <si>
    <t>0.5 ounce brandy</t>
  </si>
  <si>
    <t>Terra Boa</t>
  </si>
  <si>
    <t>Lemon 70 Toddy</t>
  </si>
  <si>
    <t>1 Lemon Peel Twist (Garnish)</t>
  </si>
  <si>
    <t>Brown Cow 2</t>
  </si>
  <si>
    <t>1.2 part Milk</t>
  </si>
  <si>
    <t>Hugo Spritz</t>
  </si>
  <si>
    <t>1 ounce soda water, chilled</t>
  </si>
  <si>
    <t>Polar Bear Hot Chocolate</t>
  </si>
  <si>
    <t>Peppermint schnapps 2 oz</t>
  </si>
  <si>
    <t>Peppermint schnapps</t>
  </si>
  <si>
    <t>Small ciliegine mozzarella ball, or cherry-sized</t>
  </si>
  <si>
    <t>ciliegine mozzarella ball</t>
  </si>
  <si>
    <t>French Pear Martini</t>
  </si>
  <si>
    <t>Salt &amp; Vinegar Martini</t>
  </si>
  <si>
    <t>1 pinch of salt</t>
  </si>
  <si>
    <t>Scorpion Kick</t>
  </si>
  <si>
    <t>Virgin Margarita (Non Alcoholic!)</t>
  </si>
  <si>
    <t>0.5 ounce fresh lemon juice</t>
  </si>
  <si>
    <t>Ward 8</t>
  </si>
  <si>
    <t>1 Cherry (Garnish)</t>
  </si>
  <si>
    <t>Irish Gold</t>
  </si>
  <si>
    <t>4 parts Ginger beer or Ginger ale</t>
  </si>
  <si>
    <t>Ginger beer|Ginger ale</t>
  </si>
  <si>
    <t>1 Grapefruit Rosette (Garnish)</t>
  </si>
  <si>
    <t>Grapefruit Rosette</t>
  </si>
  <si>
    <t>Jitterbug Cafe</t>
  </si>
  <si>
    <t>0.25 oz toasted pecan syrup</t>
  </si>
  <si>
    <t>pecan syrup</t>
  </si>
  <si>
    <t>toasted</t>
  </si>
  <si>
    <t>Scotch Holiday Sour</t>
  </si>
  <si>
    <t>3 slices Green Apple</t>
  </si>
  <si>
    <t>Green Apple</t>
  </si>
  <si>
    <t>37.5 ml Spice Rum</t>
  </si>
  <si>
    <t>Spice Rum</t>
  </si>
  <si>
    <t>Bourbon Crusta</t>
  </si>
  <si>
    <t>1 tbsp Sugar</t>
  </si>
  <si>
    <t>Boston Cocktail</t>
  </si>
  <si>
    <t>juice of 0.25 Lemon</t>
  </si>
  <si>
    <t>Grizz Killer</t>
  </si>
  <si>
    <t>Thats Amore Sotto Negroni</t>
  </si>
  <si>
    <t>0.5 oz Carpano Antica</t>
  </si>
  <si>
    <t>Carpano Antica</t>
  </si>
  <si>
    <t>Spicy Paloma Cocktail</t>
  </si>
  <si>
    <t>Whisky Negroni</t>
  </si>
  <si>
    <t>30ml Italian bitter aperitivo</t>
  </si>
  <si>
    <t>Italian bitter aperitivo</t>
  </si>
  <si>
    <t>Fire Fly</t>
  </si>
  <si>
    <t>Vanilla Dream</t>
  </si>
  <si>
    <t>50ml Smirnoff Vanilla</t>
  </si>
  <si>
    <t>Wintery Moscow Mule</t>
  </si>
  <si>
    <t>Dash Soy Sauce</t>
  </si>
  <si>
    <t>Soy Sauce</t>
  </si>
  <si>
    <t>5ml Grenadine</t>
  </si>
  <si>
    <t>2 tablespoons creme de menthe liqueur</t>
  </si>
  <si>
    <t>creme de menthe liqueur</t>
  </si>
  <si>
    <t>Castillian Hot Chocolate</t>
  </si>
  <si>
    <t>7 tsp Cornstarch</t>
  </si>
  <si>
    <t>Cornstarch</t>
  </si>
  <si>
    <t>Salted Caramel White Russian</t>
  </si>
  <si>
    <t>1 oz Amaretto</t>
  </si>
  <si>
    <t>Black Magick</t>
  </si>
  <si>
    <t>1 oz Black Raspberry Liqueur</t>
  </si>
  <si>
    <t>Black Raspberry Liqueur</t>
  </si>
  <si>
    <t>Amaretto Stone Sour</t>
  </si>
  <si>
    <t>1.5 ounces amaretto</t>
  </si>
  <si>
    <t>35ml Bulleit Bourbon</t>
  </si>
  <si>
    <t>Black Rock Chiller: A Batched Cocktail</t>
  </si>
  <si>
    <t>8 oz Suze</t>
  </si>
  <si>
    <t>Ciroc French Accent</t>
  </si>
  <si>
    <t>10ml Raspberry liqueur</t>
  </si>
  <si>
    <t>4.5 oz Orange Juice</t>
  </si>
  <si>
    <t>Still Steam</t>
  </si>
  <si>
    <t>Single Grain Irish Whiskey</t>
  </si>
  <si>
    <t>Kilbeggan</t>
  </si>
  <si>
    <t>Mary Pickford</t>
  </si>
  <si>
    <t>0.25 part Maraschino</t>
  </si>
  <si>
    <t>Maraschino</t>
  </si>
  <si>
    <t>Coqodaqs Alaska</t>
  </si>
  <si>
    <t>0.5 ounce vodka, preferably Chopin</t>
  </si>
  <si>
    <t>, preferably Chopin</t>
  </si>
  <si>
    <t>Ruby Sparkler</t>
  </si>
  <si>
    <t>1 part fresh Grapefruit Juice</t>
  </si>
  <si>
    <t>0.5 oz ginger liqueur</t>
  </si>
  <si>
    <t>ginger liqueur</t>
  </si>
  <si>
    <t>Raspberry Kiss</t>
  </si>
  <si>
    <t>Spiced Cherry Sipper</t>
  </si>
  <si>
    <t>1 dash Fee Brothers Old Fashioned Aromatic Bitters</t>
  </si>
  <si>
    <t>Aromatic Bitters</t>
  </si>
  <si>
    <t>Fee Brothers Old Fashioned</t>
  </si>
  <si>
    <t>Watermelon Long Island Iced Tea</t>
  </si>
  <si>
    <t>3 oz Triple Sec</t>
  </si>
  <si>
    <t>Mississippi Mud-Tini</t>
  </si>
  <si>
    <t>Marshmallow vodka 1 oz</t>
  </si>
  <si>
    <t>Marshmallow vodka</t>
  </si>
  <si>
    <t>2 oz of Tequila</t>
  </si>
  <si>
    <t>1 shot of peach schnapps</t>
  </si>
  <si>
    <t>Santiago</t>
  </si>
  <si>
    <t>Whoa Mama</t>
  </si>
  <si>
    <t>2 parts Ginger beer</t>
  </si>
  <si>
    <t>Elizabeth on 37ths Eggnog Recipe</t>
  </si>
  <si>
    <t>0.5 tsp. of ground allspice</t>
  </si>
  <si>
    <t>allspice</t>
  </si>
  <si>
    <t>Homemade Kahlua</t>
  </si>
  <si>
    <t>3 cups boiling Water</t>
  </si>
  <si>
    <t>Blue Tahoe</t>
  </si>
  <si>
    <t>38812 Ice Cubes</t>
  </si>
  <si>
    <t>1 ounce aperol</t>
  </si>
  <si>
    <t>aperol</t>
  </si>
  <si>
    <t>Washington Apple Bomb</t>
  </si>
  <si>
    <t>Cranberry juice 1 splash</t>
  </si>
  <si>
    <t>Citrus Smack</t>
  </si>
  <si>
    <t>The Real Teal</t>
  </si>
  <si>
    <t>Mountain dew 1 part</t>
  </si>
  <si>
    <t>Trinidad Sour</t>
  </si>
  <si>
    <t>10.5 parts Aromatic bitters</t>
  </si>
  <si>
    <t>Piopiko Lavender Margarita</t>
  </si>
  <si>
    <t>Call It A Night</t>
  </si>
  <si>
    <t>Burnt Oranges</t>
  </si>
  <si>
    <t>12.5 ml Blood Orange Puree</t>
  </si>
  <si>
    <t>Blood Orange Puree</t>
  </si>
  <si>
    <t>Saigon Lady</t>
  </si>
  <si>
    <t>0.75 ounce grenadine, preferably Jack Rudy</t>
  </si>
  <si>
    <t>, preferably Jack Rudy</t>
  </si>
  <si>
    <t>White rum 1 oz</t>
  </si>
  <si>
    <t>Lapero</t>
  </si>
  <si>
    <t>15ml Lemon juice</t>
  </si>
  <si>
    <t>0.75 ounce Luxardo Bitter Bianco</t>
  </si>
  <si>
    <t>Bitter Bianco</t>
  </si>
  <si>
    <t>Luxardo</t>
  </si>
  <si>
    <t>Hard in the Paint</t>
  </si>
  <si>
    <t>Choco Colada</t>
  </si>
  <si>
    <t>1.5 oz Milk</t>
  </si>
  <si>
    <t>Gibson</t>
  </si>
  <si>
    <t>3 part Gin</t>
  </si>
  <si>
    <t>Suffragette City</t>
  </si>
  <si>
    <t>0.25 ounce honey</t>
  </si>
  <si>
    <t>Guavaberry Sunset</t>
  </si>
  <si>
    <t>5 oz Grapefruit Juice</t>
  </si>
  <si>
    <t>Spiked Hot Chocolate</t>
  </si>
  <si>
    <t>3 tablespoons sugar</t>
  </si>
  <si>
    <t>0.5 ounce Lairds bottled-in-bond straight apple brandy</t>
  </si>
  <si>
    <t>Lairds bottled-in-bond straight</t>
  </si>
  <si>
    <t>French Toast #2</t>
  </si>
  <si>
    <t>0.5 oz of milk</t>
  </si>
  <si>
    <t>Abilene</t>
  </si>
  <si>
    <t>1.5 oz Dark Rum</t>
  </si>
  <si>
    <t>High Tide</t>
  </si>
  <si>
    <t>1 ounce Japanese whisky</t>
  </si>
  <si>
    <t>Grand Armys Amaretto Sour</t>
  </si>
  <si>
    <t>2 ounces amaretto, preferably Lazzaroni</t>
  </si>
  <si>
    <t>, preferably Lazzaroni</t>
  </si>
  <si>
    <t>Frozen Coconut Mojito</t>
  </si>
  <si>
    <t>Best Simple Margarita</t>
  </si>
  <si>
    <t>1 ounce Cointreau (or Triple Sec)</t>
  </si>
  <si>
    <t>Cointreau|Triple Sec</t>
  </si>
  <si>
    <t>Smoky Mezcal Margarita</t>
  </si>
  <si>
    <t>2 parts Mi Mama Me Dijo Mezcal</t>
  </si>
  <si>
    <t>Mezcal</t>
  </si>
  <si>
    <t xml:space="preserve">Mi Mama Me Dijo </t>
  </si>
  <si>
    <t>3 grinds fresh Pepper, Black</t>
  </si>
  <si>
    <t>grinds</t>
  </si>
  <si>
    <t>Black Pepper</t>
  </si>
  <si>
    <t>Blanco Royal</t>
  </si>
  <si>
    <t>10ml Orange liqueur</t>
  </si>
  <si>
    <t>Orange liqueur</t>
  </si>
  <si>
    <t>Mushroom</t>
  </si>
  <si>
    <t>2 ounces Champagne, to top</t>
  </si>
  <si>
    <t>British Snakebite</t>
  </si>
  <si>
    <t>1 dash Blackcurrant Cordial</t>
  </si>
  <si>
    <t>Blackcurrant Cordial</t>
  </si>
  <si>
    <t>Gobstopper</t>
  </si>
  <si>
    <t>1 part DeKuyper Pucker Watermelon Schnapps</t>
  </si>
  <si>
    <t>DeKuyper Pucker</t>
  </si>
  <si>
    <t>Three Dots and a Dash</t>
  </si>
  <si>
    <t>Separator Cocktail</t>
  </si>
  <si>
    <t>1.5 ounces brandy</t>
  </si>
  <si>
    <t>15ml Light rum</t>
  </si>
  <si>
    <t>Mamie Taylor Cocktail</t>
  </si>
  <si>
    <t>2 ounces blended Scotch whisky</t>
  </si>
  <si>
    <t>blended Scotch whisky</t>
  </si>
  <si>
    <t>Bacardi Buck 72293</t>
  </si>
  <si>
    <t>Tractor Fuel</t>
  </si>
  <si>
    <t>Rum 0.75 oz</t>
  </si>
  <si>
    <t>The Captain's Cannonball</t>
  </si>
  <si>
    <t>4 fluid ounces cola-flavored carbonated beverage, or as needed</t>
  </si>
  <si>
    <t>cola-flavored carbonated beverage</t>
  </si>
  <si>
    <t>1 oz Espresso</t>
  </si>
  <si>
    <t>Flaming Liquid Cocaine</t>
  </si>
  <si>
    <t>Candle in the Window</t>
  </si>
  <si>
    <t>4 oz Coffee</t>
  </si>
  <si>
    <t>Not Your Mamas Old Fashioned</t>
  </si>
  <si>
    <t>Spiced syrup [nutmeg, vanilla bean, allspice, cloves, simple syrup] 0.5 oz</t>
  </si>
  <si>
    <t>Spiced syrup</t>
  </si>
  <si>
    <t>[nutmeg, vanilla bean, allspice, cloves, simple syrup]</t>
  </si>
  <si>
    <t>Beyonces Lemonade</t>
  </si>
  <si>
    <t>Flying Dutchman</t>
  </si>
  <si>
    <t>Oaks Lily</t>
  </si>
  <si>
    <t>Garnish: 2 blackberries</t>
  </si>
  <si>
    <t>2 blackberries</t>
  </si>
  <si>
    <t>Wisconsin Old Fashioned</t>
  </si>
  <si>
    <t>1 splash Lemon-lime soda or Lemon soda or Sparkling water or Flavored sparkling water</t>
  </si>
  <si>
    <t>Lemon-lime soda|Lemon soda|Sparkling water|Flavored sparkling water</t>
  </si>
  <si>
    <t>Australian Reeftip &amp; Coral</t>
  </si>
  <si>
    <t>100ml Sparkling blood orange Soda</t>
  </si>
  <si>
    <t>Sparkling blood orange Soda</t>
  </si>
  <si>
    <t>Blackthorne</t>
  </si>
  <si>
    <t>2 part Irish whiskey or Bourbon or Rye whiskey or Scotch</t>
  </si>
  <si>
    <t>Irish whiskey|Bourbon|Rye whiskey|Scotch</t>
  </si>
  <si>
    <t>Classic Harvey Wallbanger</t>
  </si>
  <si>
    <t>Spanish Gibson</t>
  </si>
  <si>
    <t>2.25 ounces dry gin, preferably Haymans London Dry, or vodka, preferably Aloo</t>
  </si>
  <si>
    <t>dry gin|vodka</t>
  </si>
  <si>
    <t>, preferably Haymans London Dry, or|, preferably Aloo</t>
  </si>
  <si>
    <t>Blushing Margarita</t>
  </si>
  <si>
    <t>LA Water Shot</t>
  </si>
  <si>
    <t>Old Pal</t>
  </si>
  <si>
    <t>2 oz Rye whiskey</t>
  </si>
  <si>
    <t>Rye whiskey</t>
  </si>
  <si>
    <t>Root Beer Squared</t>
  </si>
  <si>
    <t>100ml Root Beer</t>
  </si>
  <si>
    <t>Angela`s Cantaloupe Martini</t>
  </si>
  <si>
    <t>1 oz Mandarin Vodka</t>
  </si>
  <si>
    <t>The Holiday Moscow Mule</t>
  </si>
  <si>
    <t>3 Cranberries</t>
  </si>
  <si>
    <t>Lemon lime soda 1.5 oz</t>
  </si>
  <si>
    <t>Baileys Vanilla Twist</t>
  </si>
  <si>
    <t>Tajin Michelada</t>
  </si>
  <si>
    <t>ice as needed</t>
  </si>
  <si>
    <t>as needed</t>
  </si>
  <si>
    <t>1 oz French press coffee</t>
  </si>
  <si>
    <t>French press coffee</t>
  </si>
  <si>
    <t>Crown Royal Old Fashioned</t>
  </si>
  <si>
    <t>1.5 parts Aperol Aperitif</t>
  </si>
  <si>
    <t>Aperitif</t>
  </si>
  <si>
    <t>Nakatomi Plaza</t>
  </si>
  <si>
    <t>1 Strawberries</t>
  </si>
  <si>
    <t>Hot Mollifier</t>
  </si>
  <si>
    <t>1 ounce Dolin sweet vermouth</t>
  </si>
  <si>
    <t>Dolin</t>
  </si>
  <si>
    <t>Pina Verde</t>
  </si>
  <si>
    <t>Winter Spiced Margarita</t>
  </si>
  <si>
    <t>12.5ml Ginger Syrup</t>
  </si>
  <si>
    <t>Firecracker</t>
  </si>
  <si>
    <t>37.5 ml Elderflower Liqueur</t>
  </si>
  <si>
    <t>Boxcar</t>
  </si>
  <si>
    <t>Montego Bay</t>
  </si>
  <si>
    <t>Banana liqueur 0.5 oz</t>
  </si>
  <si>
    <t>Banana liqueur</t>
  </si>
  <si>
    <t>Goldmine</t>
  </si>
  <si>
    <t>0.75 part White wine aperitif</t>
  </si>
  <si>
    <t>Caribbean Harvest</t>
  </si>
  <si>
    <t>Classic Hurricane Cocktail</t>
  </si>
  <si>
    <t>1 ounce orange juice</t>
  </si>
  <si>
    <t>Raspberry Rose Fizz</t>
  </si>
  <si>
    <t>0.75 parts Raspberry syrup</t>
  </si>
  <si>
    <t>1.5 cups ice as needed</t>
  </si>
  <si>
    <t>Morgan Melon</t>
  </si>
  <si>
    <t>1 oz Watermelon Schnapps</t>
  </si>
  <si>
    <t>Cervezarita</t>
  </si>
  <si>
    <t>Tropical Breeze</t>
  </si>
  <si>
    <t>Negroni Riff: Tegroni</t>
  </si>
  <si>
    <t>10.25 oz Bulldog gin</t>
  </si>
  <si>
    <t>Bulldog gin</t>
  </si>
  <si>
    <t>2 tsp. coffee liqueur</t>
  </si>
  <si>
    <t>12.5 ml Simple Syrup</t>
  </si>
  <si>
    <t>Guadalajara</t>
  </si>
  <si>
    <t>5 leaves Mint</t>
  </si>
  <si>
    <t>leaves Mint</t>
  </si>
  <si>
    <t>Hot Rum Chocolate</t>
  </si>
  <si>
    <t>1 tbsp Whipped Cream</t>
  </si>
  <si>
    <t>Missile Stopper</t>
  </si>
  <si>
    <t>Absolut Sunrise</t>
  </si>
  <si>
    <t>Spirit of the Beehive</t>
  </si>
  <si>
    <t>2.25 ounces Mahoko sweet potato shochu</t>
  </si>
  <si>
    <t>Mahoko sweet potato shochu</t>
  </si>
  <si>
    <t>Terremoto</t>
  </si>
  <si>
    <t>2 to 3 scoops of pineapple ice cream or pineapple sorbet</t>
  </si>
  <si>
    <t>pineapple ice cream|pineapple sorbet</t>
  </si>
  <si>
    <t>to|or</t>
  </si>
  <si>
    <t>1 ounce dry vermouth</t>
  </si>
  <si>
    <t>1 dash Orange Bitters</t>
  </si>
  <si>
    <t>Praying Mantis</t>
  </si>
  <si>
    <t>2 tsp of Lime Juice</t>
  </si>
  <si>
    <t>Whoopie Juice</t>
  </si>
  <si>
    <t>Triple sec 1 bottle</t>
  </si>
  <si>
    <t>Spicy Fireball Shooter</t>
  </si>
  <si>
    <t>2 dashes Tabasco sauce</t>
  </si>
  <si>
    <t>A Gilligan`s Island</t>
  </si>
  <si>
    <t>Pomegranate Margarita #1</t>
  </si>
  <si>
    <t>Harvest Sling</t>
  </si>
  <si>
    <t>0.5 part Sweet herbal liqueur</t>
  </si>
  <si>
    <t>Mountain Berry Punch</t>
  </si>
  <si>
    <t>.5 oz Raspberry Schnapps</t>
  </si>
  <si>
    <t>Raspberry Schnapps</t>
  </si>
  <si>
    <t>Milk Punch</t>
  </si>
  <si>
    <t>1 tbsp Sugar Syrup</t>
  </si>
  <si>
    <t>A Midsummer Nights Dream</t>
  </si>
  <si>
    <t>5 straw</t>
  </si>
  <si>
    <t>straw</t>
  </si>
  <si>
    <t>0.67 cup fresh-brewed hot espresso or coffee of your choice</t>
  </si>
  <si>
    <t>espresso|coffee</t>
  </si>
  <si>
    <t>-|or|of your choice</t>
  </si>
  <si>
    <t>Glowing Aurora</t>
  </si>
  <si>
    <t>Mango Tequila Sunrise</t>
  </si>
  <si>
    <t>Spiced rum 0.5 oz</t>
  </si>
  <si>
    <t>A Sunny Delight</t>
  </si>
  <si>
    <t>Watermelon Vodka Martini</t>
  </si>
  <si>
    <t xml:space="preserve">ice </t>
  </si>
  <si>
    <t>BandB Collins</t>
  </si>
  <si>
    <t>Lemon Blanco Toddy</t>
  </si>
  <si>
    <t>15ml Simple Syrup</t>
  </si>
  <si>
    <t>Red Headed Mexican</t>
  </si>
  <si>
    <t>0.25 cup granulated sugar</t>
  </si>
  <si>
    <t>Jalisco Stroll</t>
  </si>
  <si>
    <t>4 drops concentrated saline solution</t>
  </si>
  <si>
    <t>concentrated saline solution</t>
  </si>
  <si>
    <t>Irish Fish Bowl</t>
  </si>
  <si>
    <t>Green apple soda 12 oz</t>
  </si>
  <si>
    <t>Green apple soda</t>
  </si>
  <si>
    <t>Gin Sour</t>
  </si>
  <si>
    <t>Squirtle Pokemon Cocktail</t>
  </si>
  <si>
    <t>0.5 oz Blue Curacao Liqueur</t>
  </si>
  <si>
    <t>Black Ice</t>
  </si>
  <si>
    <t>Horsefeather</t>
  </si>
  <si>
    <t>1.5 ounces whiskey</t>
  </si>
  <si>
    <t>Scotch Toddy</t>
  </si>
  <si>
    <t>0.75 ounce Red Wine Syrup</t>
  </si>
  <si>
    <t>Red Wine Syrup</t>
  </si>
  <si>
    <t>Watermelon Julep</t>
  </si>
  <si>
    <t>20.25 parts Bourbon or Rye whiskey or Blended whiskey</t>
  </si>
  <si>
    <t>Division Bell</t>
  </si>
  <si>
    <t>Premier Margarita</t>
  </si>
  <si>
    <t>0.5 part DeKuyper Triple Sec Liqueur</t>
  </si>
  <si>
    <t>DeKuyper</t>
  </si>
  <si>
    <t>Baltimore Bracer Cocktail</t>
  </si>
  <si>
    <t>1.5 ounces anisette liqueur</t>
  </si>
  <si>
    <t>anisette liqueur</t>
  </si>
  <si>
    <t>Reposado Tequila Breeze</t>
  </si>
  <si>
    <t>100ml Pink grapefruit Juice</t>
  </si>
  <si>
    <t>Pink grapefruit Juice</t>
  </si>
  <si>
    <t>Woodford Reserve Old Fashioned</t>
  </si>
  <si>
    <t>50ml Woodford Reserve Bourbon</t>
  </si>
  <si>
    <t>Woodford Reserve</t>
  </si>
  <si>
    <t>Eastside Cocktail</t>
  </si>
  <si>
    <t>Casa Repo Spritz</t>
  </si>
  <si>
    <t>35ml Vermouth bianco</t>
  </si>
  <si>
    <t>Vermouth bianco</t>
  </si>
  <si>
    <t>Figgy Smalls</t>
  </si>
  <si>
    <t>0.75 ounce Grand Marnier</t>
  </si>
  <si>
    <t>Apple &amp; Ginger Martini</t>
  </si>
  <si>
    <t>Frozen Citron Neon</t>
  </si>
  <si>
    <t>1 pinch ground cinnamon</t>
  </si>
  <si>
    <t>cinnamon</t>
  </si>
  <si>
    <t>Fuzzy Banana</t>
  </si>
  <si>
    <t>2 Part Orange Juice</t>
  </si>
  <si>
    <t>Groove is in the Heart</t>
  </si>
  <si>
    <t>1 ounce club soda, chilled</t>
  </si>
  <si>
    <t>Coconut Margarita</t>
  </si>
  <si>
    <t>1.5 fluid ounces freshly squeezed lime juice</t>
  </si>
  <si>
    <t>PB &amp; J Bomb Shot</t>
  </si>
  <si>
    <t>Strawberry soda 3 oz</t>
  </si>
  <si>
    <t>Strawberry soda</t>
  </si>
  <si>
    <t>Teardrop Lounges Dark Side</t>
  </si>
  <si>
    <t>28 drops lemon bitters</t>
  </si>
  <si>
    <t>lemon bitters</t>
  </si>
  <si>
    <t>Rum Rickey</t>
  </si>
  <si>
    <t>Ketel One PK</t>
  </si>
  <si>
    <t>15ml Pimm's No. 1 Liqueur</t>
  </si>
  <si>
    <t>Pimm's No. 1 Liqueur</t>
  </si>
  <si>
    <t>Luscious Leslie</t>
  </si>
  <si>
    <t>LaCroix Cocktail</t>
  </si>
  <si>
    <t>0.5 part Maraschino</t>
  </si>
  <si>
    <t>Twisted Swan</t>
  </si>
  <si>
    <t>10.5 parts Raspberry liqueur</t>
  </si>
  <si>
    <t>Dick in the Dirt</t>
  </si>
  <si>
    <t>1 Splash Orange Liqueur</t>
  </si>
  <si>
    <t>French Connection</t>
  </si>
  <si>
    <t>1.5 oz Cognac</t>
  </si>
  <si>
    <t>Negroni Sbagliato for a Crowd</t>
  </si>
  <si>
    <t>1 bottle prosecco or other sparkling wine, chilled</t>
  </si>
  <si>
    <t>prosecco|sparkling wine</t>
  </si>
  <si>
    <t>or other|,</t>
  </si>
  <si>
    <t>Blue 1575 Swimming Pool</t>
  </si>
  <si>
    <t>1.7 oz kokosroom</t>
  </si>
  <si>
    <t>kokosroom</t>
  </si>
  <si>
    <t>1 cup liquor, or divide multiple liquors to taste</t>
  </si>
  <si>
    <t>liquor</t>
  </si>
  <si>
    <t>, or divide multiple liquors to taste</t>
  </si>
  <si>
    <t>Chambord Kamikaze</t>
  </si>
  <si>
    <t>Handfull Ice</t>
  </si>
  <si>
    <t>Candy Corn Jello Shooters</t>
  </si>
  <si>
    <t>Tsunami Cocktail</t>
  </si>
  <si>
    <t>Crushed Orange</t>
  </si>
  <si>
    <t>70ml Pineapple Juice</t>
  </si>
  <si>
    <t>Graceful Old-Fashioned</t>
  </si>
  <si>
    <t>1 dash Bittermens Burlesque bitters</t>
  </si>
  <si>
    <t>Bittermens Burlesque</t>
  </si>
  <si>
    <t>Don Limonada Fizz</t>
  </si>
  <si>
    <t>Kona Village Mai Tai</t>
  </si>
  <si>
    <t>3 tbsp Gold Rum</t>
  </si>
  <si>
    <t>Sexy Berry Punch</t>
  </si>
  <si>
    <t>Cran-apple juice 6 oz</t>
  </si>
  <si>
    <t>Cran-apple juice</t>
  </si>
  <si>
    <t>Pirate's Rum Punch</t>
  </si>
  <si>
    <t>Lime wedge to garnish</t>
  </si>
  <si>
    <t>A Stone's Throw</t>
  </si>
  <si>
    <t>0.5 teaspoon dry Curacao</t>
  </si>
  <si>
    <t>dry Curacao</t>
  </si>
  <si>
    <t>Beachcomber</t>
  </si>
  <si>
    <t>Orange Creamsicle Shots</t>
  </si>
  <si>
    <t>Orange vodka 2 oz</t>
  </si>
  <si>
    <t>bar spoon Granulated Sugar</t>
  </si>
  <si>
    <t>bar spoon</t>
  </si>
  <si>
    <t>Granulated Sugar</t>
  </si>
  <si>
    <t>Maid in Cuba</t>
  </si>
  <si>
    <t>Absinthe rinse</t>
  </si>
  <si>
    <t>Beermosa</t>
  </si>
  <si>
    <t>orange slice for garnish</t>
  </si>
  <si>
    <t>Situationship From Cardinal Atlanta</t>
  </si>
  <si>
    <t>0.5 oz Th. Kramers Aromatique</t>
  </si>
  <si>
    <t>Aromatique</t>
  </si>
  <si>
    <t>Th. Kramers</t>
  </si>
  <si>
    <t>Singapore Sling Cocktail</t>
  </si>
  <si>
    <t>0.5 fluid ounce grenadine syrup</t>
  </si>
  <si>
    <t>Triple sec 0.25 cup</t>
  </si>
  <si>
    <t>Cuban Immigrant</t>
  </si>
  <si>
    <t>1 Scoop Sherbet</t>
  </si>
  <si>
    <t>Scoop Sherbet</t>
  </si>
  <si>
    <t>Baileys Almande Peach Smoothie Recipe</t>
  </si>
  <si>
    <t>220ml Baileys Almande</t>
  </si>
  <si>
    <t>Baileys Almande</t>
  </si>
  <si>
    <t>K-O.F.</t>
  </si>
  <si>
    <t>1.5 ounces whiskey, preferably Old Overholt Bottled-in-Bond</t>
  </si>
  <si>
    <t>, preferably Old Overholt Bottled-in-Bond</t>
  </si>
  <si>
    <t>50ml Captain Morgan Spiced Gold</t>
  </si>
  <si>
    <t>Spiced Gold</t>
  </si>
  <si>
    <t>Monkey La La</t>
  </si>
  <si>
    <t>Glogg</t>
  </si>
  <si>
    <t>10 cardamom pods</t>
  </si>
  <si>
    <t>Avocado Daiquiri</t>
  </si>
  <si>
    <t>Simple syrup 2 oz</t>
  </si>
  <si>
    <t>Amaretto Espresso Ice Cream Float</t>
  </si>
  <si>
    <t>Johnny on the Spot</t>
  </si>
  <si>
    <t>15ml Espresso Liqueur</t>
  </si>
  <si>
    <t>Espresso Liqueur</t>
  </si>
  <si>
    <t>S'mores Cocktail</t>
  </si>
  <si>
    <t>Marshmallows, for garnish</t>
  </si>
  <si>
    <t>Dck Sucker</t>
  </si>
  <si>
    <t>Grape or blueberry schnapps 1 part</t>
  </si>
  <si>
    <t>Grape|blueberry schnapps</t>
  </si>
  <si>
    <t>Quarter Deck Cocktail</t>
  </si>
  <si>
    <t>Juice of 0.5 Lime</t>
  </si>
  <si>
    <t>Lions Tail Cocktail</t>
  </si>
  <si>
    <t>Vodka Gimlet</t>
  </si>
  <si>
    <t>Appetizer a lItalienne</t>
  </si>
  <si>
    <t>2 oz sweet vermouth</t>
  </si>
  <si>
    <t>0.5 teaspoon honey, or as needed</t>
  </si>
  <si>
    <t>Coffee liqueur 0.75 oz</t>
  </si>
  <si>
    <t>Coffee liqueur</t>
  </si>
  <si>
    <t>Ketel One Old-Fashioned</t>
  </si>
  <si>
    <t>2 Slices of Orange with 1 for garnish</t>
  </si>
  <si>
    <t>of|with 1 for garnish</t>
  </si>
  <si>
    <t>Champagne Sunset</t>
  </si>
  <si>
    <t>75ml Pineapple Juice</t>
  </si>
  <si>
    <t>Sour Cherry Negroni</t>
  </si>
  <si>
    <t>0.25 oz acid-adjusted cherry juice</t>
  </si>
  <si>
    <t>acid-adjusted cherry juice</t>
  </si>
  <si>
    <t>Gunmetal Fix</t>
  </si>
  <si>
    <t>1.75 ounces mezcal, preferably Del Maguey Vida</t>
  </si>
  <si>
    <t>, preferably Del Maguey Vida</t>
  </si>
  <si>
    <t>Pineapple Mimosas</t>
  </si>
  <si>
    <t>11.33 fluid ounces apricot nectar</t>
  </si>
  <si>
    <t>apricot nectar</t>
  </si>
  <si>
    <t>Portobello Rum Punch</t>
  </si>
  <si>
    <t>Whiskey Slush</t>
  </si>
  <si>
    <t>Full Moon Fever</t>
  </si>
  <si>
    <t>1 Dash Sours</t>
  </si>
  <si>
    <t>Ooh La La Martini Cocktail</t>
  </si>
  <si>
    <t>Bear Fight</t>
  </si>
  <si>
    <t>1.5 oz Amaretto liqueur</t>
  </si>
  <si>
    <t>Amaretto liqueur</t>
  </si>
  <si>
    <t>Bourbon Strawberry Iced Tea</t>
  </si>
  <si>
    <t>Garnish: blueberries</t>
  </si>
  <si>
    <t>blueberries</t>
  </si>
  <si>
    <t>Pinch salt</t>
  </si>
  <si>
    <t>Foghorn</t>
  </si>
  <si>
    <t>Dreamsicle 2</t>
  </si>
  <si>
    <t>Cape Cod Cooler</t>
  </si>
  <si>
    <t>Frostmark 5 on Ice</t>
  </si>
  <si>
    <t>Garden Gin &amp; Tonic</t>
  </si>
  <si>
    <t>Lemon Wheel</t>
  </si>
  <si>
    <t>Velvet Ace Party Punch</t>
  </si>
  <si>
    <t>0.75 cup Bonal Gentiane Quina</t>
  </si>
  <si>
    <t>Bonal Gentiane Quina</t>
  </si>
  <si>
    <t>Clover Club</t>
  </si>
  <si>
    <t>0.5 part Orange curacao or Shrubb</t>
  </si>
  <si>
    <t>Orange curacao|Shrubb</t>
  </si>
  <si>
    <t>Pomegranate Orange Sparkling Punch</t>
  </si>
  <si>
    <t>4 cups Pomegranate juice</t>
  </si>
  <si>
    <t>1 tsp Ricard</t>
  </si>
  <si>
    <t>Ricard</t>
  </si>
  <si>
    <t>Baltimore Eggnog</t>
  </si>
  <si>
    <t>16 ounces Jamaican rum</t>
  </si>
  <si>
    <t>The Pomegranate Mimosa</t>
  </si>
  <si>
    <t>1 ounce Aperol (or orange juice)</t>
  </si>
  <si>
    <t>Aperol|orange juice</t>
  </si>
  <si>
    <t>Rapscallion</t>
  </si>
  <si>
    <t>scant 0.75 ounce Pedro Ximenez sherry</t>
  </si>
  <si>
    <t>Sweet &amp; sour 1 splash</t>
  </si>
  <si>
    <t xml:space="preserve">splash </t>
  </si>
  <si>
    <t>Aviation Cocktail</t>
  </si>
  <si>
    <t>1 barspoon maraschino liqueur</t>
  </si>
  <si>
    <t>Owen's Grandmother's Revenge</t>
  </si>
  <si>
    <t>12 oz Beer</t>
  </si>
  <si>
    <t>Cloister</t>
  </si>
  <si>
    <t>The Mad Hungarian</t>
  </si>
  <si>
    <t>Sweetened condensed milk 3 oz</t>
  </si>
  <si>
    <t>Mangos in Paradise</t>
  </si>
  <si>
    <t>Zacapa Salted Pina Colada</t>
  </si>
  <si>
    <t>50ml Ron Zacapa 23</t>
  </si>
  <si>
    <t>Ron Zacapa 23</t>
  </si>
  <si>
    <t>Hot Penicillin</t>
  </si>
  <si>
    <t>1 ounce Monkey Shoulder Blended Malt Scotch Whisky</t>
  </si>
  <si>
    <t>Monkey Shoulder Blended Malt Scotch Whisky</t>
  </si>
  <si>
    <t>Mini Blue Margarita</t>
  </si>
  <si>
    <t>Blue curacao 1 splash</t>
  </si>
  <si>
    <t>Fuzzy Navel 2</t>
  </si>
  <si>
    <t>Hawksmoor Apple Martini</t>
  </si>
  <si>
    <t>Garnish: apple blossom flower</t>
  </si>
  <si>
    <t>apple blossom flower</t>
  </si>
  <si>
    <t>0.75 parts Heering Cherry Liquor</t>
  </si>
  <si>
    <t>Heering Cherry Liquor</t>
  </si>
  <si>
    <t>.5 Lime Juice</t>
  </si>
  <si>
    <t>Plastic shot glass</t>
  </si>
  <si>
    <t>Santas Little Helper Cider Punch</t>
  </si>
  <si>
    <t>0.5 cup granulated sugar</t>
  </si>
  <si>
    <t>British Mule</t>
  </si>
  <si>
    <t>Tanqueray Snapper</t>
  </si>
  <si>
    <t>4 Dashes of Tabsaco Sauce</t>
  </si>
  <si>
    <t>Tabsaco Sauce</t>
  </si>
  <si>
    <t>Frosted Rose</t>
  </si>
  <si>
    <t>Arcadian Lovemaker</t>
  </si>
  <si>
    <t>Mexican Chocolate Sauce</t>
  </si>
  <si>
    <t>6 ounces dark chocolate, chopped or grated, or 0.5 cup dark chocolate chips</t>
  </si>
  <si>
    <t>dark chocolate,  or grated, or 0.5 cup dark chocolate chi</t>
  </si>
  <si>
    <t>chopped|grated</t>
  </si>
  <si>
    <t>Sunflower Cocktail</t>
  </si>
  <si>
    <t>2 jiggers orange-flavored liqueur</t>
  </si>
  <si>
    <t>orange-flavored liqueur</t>
  </si>
  <si>
    <t>Banana Nutbread</t>
  </si>
  <si>
    <t>Rosemary-Ginger Cocktail</t>
  </si>
  <si>
    <t>1 cup rosemary-ginger simple syrup</t>
  </si>
  <si>
    <t>rosemary-ginger simple syrup</t>
  </si>
  <si>
    <t>Orange juice 1.5 oz</t>
  </si>
  <si>
    <t>Cazuela</t>
  </si>
  <si>
    <t>Royal Crown Royal</t>
  </si>
  <si>
    <t>Spiked Lemonade</t>
  </si>
  <si>
    <t>Quinine-Free Tonic Syrup</t>
  </si>
  <si>
    <t>6 green cardamom pods</t>
  </si>
  <si>
    <t>green cardamom pods</t>
  </si>
  <si>
    <t>Lemon Drop Extraordinaire</t>
  </si>
  <si>
    <t>1 oz of cointreau orange liqueur</t>
  </si>
  <si>
    <t>cointreau orange liqueur</t>
  </si>
  <si>
    <t>Garnish: cinnamon stick</t>
  </si>
  <si>
    <t>Ediths Fizz</t>
  </si>
  <si>
    <t>2 parts Sparkling water or Flavored sparkling water</t>
  </si>
  <si>
    <t>Space Odyssey</t>
  </si>
  <si>
    <t>1 oz OP Rum</t>
  </si>
  <si>
    <t>Bloody Lip</t>
  </si>
  <si>
    <t>Buchanan's with Horchata</t>
  </si>
  <si>
    <t>50ml Buchanan's Master Blended Scotch Whisky</t>
  </si>
  <si>
    <t>Buchanan's Master Blended Scotch Whisky</t>
  </si>
  <si>
    <t>Toki Berra</t>
  </si>
  <si>
    <t>1 heaping tablespoon coco-matcha yogurt</t>
  </si>
  <si>
    <t>heaping tablespoon coco-matcha yogurt</t>
  </si>
  <si>
    <t>Energy FM</t>
  </si>
  <si>
    <t>1 Cup Coffee</t>
  </si>
  <si>
    <t>Ghoulish Shooters</t>
  </si>
  <si>
    <t>3 Cucumber Slice</t>
  </si>
  <si>
    <t>Dickey Wallbanger</t>
  </si>
  <si>
    <t>9 oz of Orange Juice</t>
  </si>
  <si>
    <t>Crane Kick</t>
  </si>
  <si>
    <t>2 parts Japanese whisky</t>
  </si>
  <si>
    <t>Nonalcoholic Negroni</t>
  </si>
  <si>
    <t>0.75 ounce Lyres Italian Orange</t>
  </si>
  <si>
    <t>Lyres Italian Orange</t>
  </si>
  <si>
    <t>3 cups milk</t>
  </si>
  <si>
    <t>Bourbon Tarragon Cooler</t>
  </si>
  <si>
    <t>1 part fresh Lime Juice</t>
  </si>
  <si>
    <t>1 tablespoon chili powder</t>
  </si>
  <si>
    <t>chili powder</t>
  </si>
  <si>
    <t>German Chocolate Cake Martini</t>
  </si>
  <si>
    <t>Milk 2.5 oz</t>
  </si>
  <si>
    <t>Homemade Limoncello Recipe</t>
  </si>
  <si>
    <t>5 cups sugar</t>
  </si>
  <si>
    <t>Hot &amp; Sour</t>
  </si>
  <si>
    <t>45ml Green Jalapeno</t>
  </si>
  <si>
    <t>Green Jalapeno</t>
  </si>
  <si>
    <t>South Of The Border</t>
  </si>
  <si>
    <t>Treacle</t>
  </si>
  <si>
    <t>0.5 part Apple juice</t>
  </si>
  <si>
    <t>Foaming Pepsi</t>
  </si>
  <si>
    <t>1 Bottle Whiskey</t>
  </si>
  <si>
    <t>Ticonderoga Clubs Sazerac</t>
  </si>
  <si>
    <t>2 ounces rye, preferably Rye &amp; Sons</t>
  </si>
  <si>
    <t>, preferably Rye &amp; Sons</t>
  </si>
  <si>
    <t>Caribbean Barefooted</t>
  </si>
  <si>
    <t>1.5 oz Tropical-Fruit Liqueur</t>
  </si>
  <si>
    <t>Kansas City Ice Water</t>
  </si>
  <si>
    <t>Apple Garibaldi</t>
  </si>
  <si>
    <t>5 ounces Granny Smith apple juice</t>
  </si>
  <si>
    <t>Granny Smith apple juice</t>
  </si>
  <si>
    <t>Liquid Candycane</t>
  </si>
  <si>
    <t>5  6 oz Lemon-Lime Soda</t>
  </si>
  <si>
    <t>1 egg white from a small egg (and don't take any pains to separate all the egg white just leave some with the yolk for a scrambled egg breakfast)</t>
  </si>
  <si>
    <t>from a  egg (and don't take any pains to separate all the egg white just leave some with the yolk for a scrambled egg breakfast)</t>
  </si>
  <si>
    <t>Monkey Cum</t>
  </si>
  <si>
    <t>0.5 of banana</t>
  </si>
  <si>
    <t>banana</t>
  </si>
  <si>
    <t>Blood Orange</t>
  </si>
  <si>
    <t>White Wine Sangria Snow Cones</t>
  </si>
  <si>
    <t>Deep Freeze</t>
  </si>
  <si>
    <t>Belladonna</t>
  </si>
  <si>
    <t>Spring Sangria</t>
  </si>
  <si>
    <t>0.25 cup Sugar</t>
  </si>
  <si>
    <t>Cloudy Sky</t>
  </si>
  <si>
    <t>2 parts Sloe gin</t>
  </si>
  <si>
    <t>Sloe gin</t>
  </si>
  <si>
    <t>Tidal Wave Punch</t>
  </si>
  <si>
    <t>Blue raspberry kool aid 1 pack</t>
  </si>
  <si>
    <t>Blue raspberry kool aid</t>
  </si>
  <si>
    <t>Stoner On Acid</t>
  </si>
  <si>
    <t>1 scoops ice</t>
  </si>
  <si>
    <t>The Sour Skittles Rainbow</t>
  </si>
  <si>
    <t>Skittles</t>
  </si>
  <si>
    <t>The Smoke Also Rises</t>
  </si>
  <si>
    <t>Royal Cherry Manhattan</t>
  </si>
  <si>
    <t>Aberdeen Angus</t>
  </si>
  <si>
    <t>Strawberry Champagne Jello Shots</t>
  </si>
  <si>
    <t>The Badger</t>
  </si>
  <si>
    <t>Guinness 1 part</t>
  </si>
  <si>
    <t>Guinness</t>
  </si>
  <si>
    <t>Mango Mai Tai</t>
  </si>
  <si>
    <t>0.5 ounce freshly squeezed lime juice</t>
  </si>
  <si>
    <t>0.75 ounce red chileinfused Aperol</t>
  </si>
  <si>
    <t>red chileinfused Aperol</t>
  </si>
  <si>
    <t>Life on Freezy Street</t>
  </si>
  <si>
    <t>0.25 part Apricot liqueur</t>
  </si>
  <si>
    <t>Thunderbird</t>
  </si>
  <si>
    <t>0.5 teaspoon powdered sugar</t>
  </si>
  <si>
    <t>powdered sugar</t>
  </si>
  <si>
    <t>Beam Black Bourbon</t>
  </si>
  <si>
    <t>Walk This Way</t>
  </si>
  <si>
    <t>2 parts Sweet sherry</t>
  </si>
  <si>
    <t>Strawberry Margarita</t>
  </si>
  <si>
    <t>Hawaiian Cocktail</t>
  </si>
  <si>
    <t>2 Gin</t>
  </si>
  <si>
    <t>61 Imperial</t>
  </si>
  <si>
    <t>For the garnish: Lime wedge</t>
  </si>
  <si>
    <t>Border Crossing</t>
  </si>
  <si>
    <t>Deadpools Healing Factor</t>
  </si>
  <si>
    <t>1 oz Aloe Vera Juice for its healing properties</t>
  </si>
  <si>
    <t>Aloe Vera Juice</t>
  </si>
  <si>
    <t xml:space="preserve"> for its healing properties</t>
  </si>
  <si>
    <t>Red Frog</t>
  </si>
  <si>
    <t>Spiced Holly Highball</t>
  </si>
  <si>
    <t>5 Cranberries</t>
  </si>
  <si>
    <t>Lawnmower Cocktail</t>
  </si>
  <si>
    <t>Diced honeydew 1 cup</t>
  </si>
  <si>
    <t>honeydew</t>
  </si>
  <si>
    <t>Diced</t>
  </si>
  <si>
    <t>5 Parts Cherry Vodka</t>
  </si>
  <si>
    <t>1.5 oz Irish cream</t>
  </si>
  <si>
    <t>Fog On The Lake</t>
  </si>
  <si>
    <t>Hpnotiq 1 splash</t>
  </si>
  <si>
    <t>Daq Attack</t>
  </si>
  <si>
    <t>1.5 ounces 3-year-old rum</t>
  </si>
  <si>
    <t>3-year-old rum</t>
  </si>
  <si>
    <t>5 Tbps. fresh lemon juice</t>
  </si>
  <si>
    <t>Sugar Daddy Shots</t>
  </si>
  <si>
    <t>Freezer Saz</t>
  </si>
  <si>
    <t>2 ounces plus 1 barspoon water</t>
  </si>
  <si>
    <t>plus 1 barspoon</t>
  </si>
  <si>
    <t>Black Cat</t>
  </si>
  <si>
    <t>2.75 oz of Amaretto</t>
  </si>
  <si>
    <t>1 lemon wedge</t>
  </si>
  <si>
    <t>Ginger Smoke Stack</t>
  </si>
  <si>
    <t>50ml Haig Club</t>
  </si>
  <si>
    <t>Haig Club</t>
  </si>
  <si>
    <t>10.5 parts Cognac or Brandy</t>
  </si>
  <si>
    <t>Sinthe Wave</t>
  </si>
  <si>
    <t>0.25 ounce Pernod absinthe</t>
  </si>
  <si>
    <t>Pernod absinthe</t>
  </si>
  <si>
    <t>Classic Sazerac Cocktail</t>
  </si>
  <si>
    <t>Lemon twist, for garnish</t>
  </si>
  <si>
    <t>Tanqueray Gin &amp; Tonic</t>
  </si>
  <si>
    <t>2.5 cups ice</t>
  </si>
  <si>
    <t>1 long orange peel studded with cloves</t>
  </si>
  <si>
    <t>long orange peel studded with cloves</t>
  </si>
  <si>
    <t>Texas Sunset</t>
  </si>
  <si>
    <t>1 cl orange Curacao</t>
  </si>
  <si>
    <t>orange Curacao</t>
  </si>
  <si>
    <t>Conn`s Fruity Beverage</t>
  </si>
  <si>
    <t>4 oz Orange Juice</t>
  </si>
  <si>
    <t>Long vodka</t>
  </si>
  <si>
    <t>0.5 Lime</t>
  </si>
  <si>
    <t>Tropical Hooter Shooter</t>
  </si>
  <si>
    <t>Lemon lime soda 0.33 oz</t>
  </si>
  <si>
    <t>Banana Bread Shooter</t>
  </si>
  <si>
    <t>Taylor Precedent</t>
  </si>
  <si>
    <t>1 dash Bittermens Tiki Bitters</t>
  </si>
  <si>
    <t>Bittermens Tiki Bitters</t>
  </si>
  <si>
    <t>Maker's Mark Mojito</t>
  </si>
  <si>
    <t>Splash DeKuyper Triple Sec Liqueur</t>
  </si>
  <si>
    <t>DeKuyper Triple Sec Liqueur</t>
  </si>
  <si>
    <t>Capri Sour</t>
  </si>
  <si>
    <t>2 dashes saline solution</t>
  </si>
  <si>
    <t>Cherry Breeze Martini</t>
  </si>
  <si>
    <t>1.5 fluid ounces cherry vodka</t>
  </si>
  <si>
    <t>The Deb (Peach-Basil Bourbon Smash) Cocktail</t>
  </si>
  <si>
    <t>3 dashes aromatic bitters</t>
  </si>
  <si>
    <t>Foggy Afternoon</t>
  </si>
  <si>
    <t>1 tsp Creme De Bananes</t>
  </si>
  <si>
    <t>The Ski Lift</t>
  </si>
  <si>
    <t>Godson</t>
  </si>
  <si>
    <t>2 parts Scotch</t>
  </si>
  <si>
    <t>Scotch</t>
  </si>
  <si>
    <t>Bird of Paradise Fizz</t>
  </si>
  <si>
    <t>10.5 parts Lime juice</t>
  </si>
  <si>
    <t>Mai Tai Cocktail</t>
  </si>
  <si>
    <t>2 oz Rum</t>
  </si>
  <si>
    <t>The Fast and Furious Cocktail</t>
  </si>
  <si>
    <t>Apple pucker 1 oz</t>
  </si>
  <si>
    <t>Apple pucker</t>
  </si>
  <si>
    <t>Simple Amaretto Sour Cocktail</t>
  </si>
  <si>
    <t>0.5 orange slice, for garnish</t>
  </si>
  <si>
    <t>Tangerine Blossom</t>
  </si>
  <si>
    <t>1 Tangerine Wheel (Garnish)a</t>
  </si>
  <si>
    <t>(Garnish)a</t>
  </si>
  <si>
    <t>60ml Seedlip Garden</t>
  </si>
  <si>
    <t>Seedlip Garden</t>
  </si>
  <si>
    <t>Sima</t>
  </si>
  <si>
    <t>1.5 dl Brown Sugar</t>
  </si>
  <si>
    <t>dl</t>
  </si>
  <si>
    <t>Brown Sugar</t>
  </si>
  <si>
    <t>4 oz. Ginger Beer non-alcoholic</t>
  </si>
  <si>
    <t>Ginger Beer non-alcoholic</t>
  </si>
  <si>
    <t>2 tsp Vanilla</t>
  </si>
  <si>
    <t>Vanilla</t>
  </si>
  <si>
    <t>Jamaican Quaalude</t>
  </si>
  <si>
    <t>Waldorf Cocktail</t>
  </si>
  <si>
    <t>Vampire Slayer</t>
  </si>
  <si>
    <t>3 oz club soda</t>
  </si>
  <si>
    <t>The Singleton Spey Cascade Old-Fashioned</t>
  </si>
  <si>
    <t>1 Orange Zest (Garnish)</t>
  </si>
  <si>
    <t>Orange Zest</t>
  </si>
  <si>
    <t>Jupiters Acorn</t>
  </si>
  <si>
    <t>Ben-Tiki Sour</t>
  </si>
  <si>
    <t>3 drops Tiki bitters</t>
  </si>
  <si>
    <t>Tiki bitters</t>
  </si>
  <si>
    <t>Raspberry liqueur 1 splash</t>
  </si>
  <si>
    <t>Smirnoff Preparada</t>
  </si>
  <si>
    <t>Pineapple chunks 0.33 cup</t>
  </si>
  <si>
    <t>Tapatio 1 dash</t>
  </si>
  <si>
    <t>Tapatio</t>
  </si>
  <si>
    <t>Identity Rainbow Sangria</t>
  </si>
  <si>
    <t>2 oz Rose's Sweetened Lime Juice</t>
  </si>
  <si>
    <t>Rose's Sweetened Lime Juice</t>
  </si>
  <si>
    <t>Citrus Rum Cooler</t>
  </si>
  <si>
    <t>2-4 oz Lemonade</t>
  </si>
  <si>
    <t>Casa Blanca</t>
  </si>
  <si>
    <t>1.5 tsp Maraschino liqueur</t>
  </si>
  <si>
    <t>Jake Barnes</t>
  </si>
  <si>
    <t>10.5 parts Apple brandy</t>
  </si>
  <si>
    <t>Apple brandy</t>
  </si>
  <si>
    <t>Tomato Spritz</t>
  </si>
  <si>
    <t>1.5 ounces tomato water</t>
  </si>
  <si>
    <t>El Quijotes Kalimotxo</t>
  </si>
  <si>
    <t>0.5 ounce Spanish red vermouth, preferably Destilerias Atxa Rojo Vermut</t>
  </si>
  <si>
    <t>Spanish red vermouth</t>
  </si>
  <si>
    <t>, preferably Destilerias Atxa Rojo Vermut</t>
  </si>
  <si>
    <t>Pumpkin Pie Martini</t>
  </si>
  <si>
    <t>0.5 jigger creme de cacao</t>
  </si>
  <si>
    <t>The Rug</t>
  </si>
  <si>
    <t>1 part Bourbon or Rye whiskey</t>
  </si>
  <si>
    <t>Bourbon|Rye whiskey</t>
  </si>
  <si>
    <t>Vodka Paralyzer</t>
  </si>
  <si>
    <t>2 fluid ounces milk</t>
  </si>
  <si>
    <t>dash Angostura Bitters</t>
  </si>
  <si>
    <t>Fun and Easy Jell-O Shots</t>
  </si>
  <si>
    <t>0.5 cup cold water, plus 1 cup boiling water</t>
  </si>
  <si>
    <t>, plus 1 cup boiling water</t>
  </si>
  <si>
    <t>Key Lime Martini - Original</t>
  </si>
  <si>
    <t>Strawberry and lime slice to garnish</t>
  </si>
  <si>
    <t>Strawberry|lime</t>
  </si>
  <si>
    <t>and|to garnish</t>
  </si>
  <si>
    <t>Imperial Blueberry Fizz</t>
  </si>
  <si>
    <t>2 tbsp Blueberry</t>
  </si>
  <si>
    <t>Blueberry</t>
  </si>
  <si>
    <t>U.S.S. BUTTERSCOTCH SHAKE</t>
  </si>
  <si>
    <t>2 scoops Ice Cream</t>
  </si>
  <si>
    <t>Anani Punch</t>
  </si>
  <si>
    <t>50 ml Dark Rum</t>
  </si>
  <si>
    <t>Vanilla vodka 2 oz</t>
  </si>
  <si>
    <t>6 oz Strawberry-Kiwi Juice</t>
  </si>
  <si>
    <t>Strawberry-Kiwi Juice</t>
  </si>
  <si>
    <t>How To Make Strawberry Vodka</t>
  </si>
  <si>
    <t>Strawberries (sliced) 0.5 cup</t>
  </si>
  <si>
    <t>Love Byte</t>
  </si>
  <si>
    <t>Royal Washington Apple</t>
  </si>
  <si>
    <t>10ml Smirnoff Green Apple</t>
  </si>
  <si>
    <t>Smirnoff Green Apple</t>
  </si>
  <si>
    <t>Club Cuba</t>
  </si>
  <si>
    <t>Watermelon Popsicle Margarita</t>
  </si>
  <si>
    <t>2 fluid ounces bourbon whiskey</t>
  </si>
  <si>
    <t>Blue Hurricane</t>
  </si>
  <si>
    <t>2 parts Dark Rum</t>
  </si>
  <si>
    <t>Tonique</t>
  </si>
  <si>
    <t>Ciroc Spring Spice</t>
  </si>
  <si>
    <t>1 Basil Leaf (Garnish)</t>
  </si>
  <si>
    <t>Basil Leaf</t>
  </si>
  <si>
    <t>Spicy Cucumber Margarita</t>
  </si>
  <si>
    <t>1.5 oz Apple Vodka</t>
  </si>
  <si>
    <t>Pyrus Communis</t>
  </si>
  <si>
    <t>Yankee Notions Chamomile Cocktail</t>
  </si>
  <si>
    <t>Lavender Simple Syrup</t>
  </si>
  <si>
    <t>2 cups sugar</t>
  </si>
  <si>
    <t>Vicki's Tangerine Martini</t>
  </si>
  <si>
    <t>1.5 fluid ounces vodka</t>
  </si>
  <si>
    <t>Pineapple Smash</t>
  </si>
  <si>
    <t>2 parts Soda Water</t>
  </si>
  <si>
    <t>Irish Shot</t>
  </si>
  <si>
    <t>0.5 ounce Irish whiskey</t>
  </si>
  <si>
    <t>Blue Diablo</t>
  </si>
  <si>
    <t>1 Dash Blue Curacao Liqueur</t>
  </si>
  <si>
    <t>Four Jokers</t>
  </si>
  <si>
    <t>Caroli</t>
  </si>
  <si>
    <t>Garnish: cinnamon sugar</t>
  </si>
  <si>
    <t>cinnamon sugar</t>
  </si>
  <si>
    <t>Hot Buttery Barrel</t>
  </si>
  <si>
    <t>2 tsp. Cinnamon, Ground</t>
  </si>
  <si>
    <t>Ground</t>
  </si>
  <si>
    <t>Santas Secret Cocktail</t>
  </si>
  <si>
    <t>top with Prosecco</t>
  </si>
  <si>
    <t>Strawberry Shortcake Drink</t>
  </si>
  <si>
    <t>1 fresh strawberry</t>
  </si>
  <si>
    <t>Arizona Sunset</t>
  </si>
  <si>
    <t>Insanely Good Midori Sour</t>
  </si>
  <si>
    <t>0.5 part Lime cordial</t>
  </si>
  <si>
    <t>Lime cordial</t>
  </si>
  <si>
    <t>Dont Miss a Beet</t>
  </si>
  <si>
    <t>Simple syrup 0.25 oz</t>
  </si>
  <si>
    <t>Brandy Sangaree</t>
  </si>
  <si>
    <t>.5 tsp Superfine Sugar</t>
  </si>
  <si>
    <t>Campfire Story From Root &amp; Flower</t>
  </si>
  <si>
    <t>0.25 oz gin</t>
  </si>
  <si>
    <t>Summer Vanilla Ice Cream Party</t>
  </si>
  <si>
    <t>Pink Smoke</t>
  </si>
  <si>
    <t>Mezcal 1.5 oz</t>
  </si>
  <si>
    <t>Brandy Collins</t>
  </si>
  <si>
    <t>Nick's Prescription-Strength Margarita</t>
  </si>
  <si>
    <t>1 oz of Triple Sec</t>
  </si>
  <si>
    <t>3 parts peach wine</t>
  </si>
  <si>
    <t>peach wine</t>
  </si>
  <si>
    <t>3 cups Vanilla Ice-Cream</t>
  </si>
  <si>
    <t>Grapefruit Collins</t>
  </si>
  <si>
    <t>3 dashes Peychaud's bitters</t>
  </si>
  <si>
    <t>1 part lemon juice</t>
  </si>
  <si>
    <t>Brandy Water Press</t>
  </si>
  <si>
    <t>Gingered Apple Tea</t>
  </si>
  <si>
    <t>15ml Apple schnapps</t>
  </si>
  <si>
    <t>Apple schnapps</t>
  </si>
  <si>
    <t>Jockey Club Cocktail</t>
  </si>
  <si>
    <t>0.75 oz creme de noyaux</t>
  </si>
  <si>
    <t>creme de noyaux</t>
  </si>
  <si>
    <t>fill with Apple Juice</t>
  </si>
  <si>
    <t>1 Tsp Cinnamon (Garnish)</t>
  </si>
  <si>
    <t>Tsp</t>
  </si>
  <si>
    <t>Hawaiian Sunset</t>
  </si>
  <si>
    <t>Nothern Moonshine</t>
  </si>
  <si>
    <t>10ml Yellow french herbal liqueur</t>
  </si>
  <si>
    <t>Yellow french herbal liqueur</t>
  </si>
  <si>
    <t>Cherrylicious</t>
  </si>
  <si>
    <t>90 mL Cherry Juice</t>
  </si>
  <si>
    <t>Blanco Agave Drop</t>
  </si>
  <si>
    <t>10ml Agave nectar</t>
  </si>
  <si>
    <t>Mexican Martinis</t>
  </si>
  <si>
    <t>1 jigger sweetened lime juice</t>
  </si>
  <si>
    <t>Coquito</t>
  </si>
  <si>
    <t>15 oz spiced coconut milk</t>
  </si>
  <si>
    <t>spiced coconut milk</t>
  </si>
  <si>
    <t>Caribbean Grid Lock</t>
  </si>
  <si>
    <t>1.5 oz Lime Juice</t>
  </si>
  <si>
    <t>Alex Jump's Ramos Gin Fizz</t>
  </si>
  <si>
    <t>2 ounces Plymouth gin</t>
  </si>
  <si>
    <t>Plymouth gin</t>
  </si>
  <si>
    <t>Wild Turkey's Old-Fashioned 101 Cocktail</t>
  </si>
  <si>
    <t>The Tracker Jackers Sting Cocktail</t>
  </si>
  <si>
    <t>.5 oz Brandy</t>
  </si>
  <si>
    <t>Key Lime Daiquiri</t>
  </si>
  <si>
    <t>The Rug, A Frozen White Russian</t>
  </si>
  <si>
    <t>0.67 oz coconut cream</t>
  </si>
  <si>
    <t>The Bad Apple</t>
  </si>
  <si>
    <t>2 oz cinnamon Whiskey</t>
  </si>
  <si>
    <t>cinnamon Whiskey</t>
  </si>
  <si>
    <t>Negroni Sour</t>
  </si>
  <si>
    <t>0.25 oz fresh orange juice</t>
  </si>
  <si>
    <t>Honey-Berry Lemonade</t>
  </si>
  <si>
    <t>6 whole Blueberry</t>
  </si>
  <si>
    <t>Whiskey Cocktail: Velvet Touch</t>
  </si>
  <si>
    <t>34 oz Amaro Nonino</t>
  </si>
  <si>
    <t>Amaro Nonino</t>
  </si>
  <si>
    <t>Greyhound - Original</t>
  </si>
  <si>
    <t>Glitter and Trash</t>
  </si>
  <si>
    <t>Bloomsbury Punch</t>
  </si>
  <si>
    <t>300ml Earl Grey Tea</t>
  </si>
  <si>
    <t>Earl Grey Tea</t>
  </si>
  <si>
    <t>Red, White &amp; Blue Jello Colada</t>
  </si>
  <si>
    <t>Americas Iced Tea</t>
  </si>
  <si>
    <t>Another Fine Mes</t>
  </si>
  <si>
    <t>2 dashes Fee Brothers Old Fashioned bitters</t>
  </si>
  <si>
    <t>Fee Brothers Old Fashioned bitters</t>
  </si>
  <si>
    <t>Suicide Squad  The Joker Shot</t>
  </si>
  <si>
    <t>Blue Angel Cocktail</t>
  </si>
  <si>
    <t>Brandy 1 oz</t>
  </si>
  <si>
    <t>Geting</t>
  </si>
  <si>
    <t>10 ml Banana Liqueur</t>
  </si>
  <si>
    <t>Smut</t>
  </si>
  <si>
    <t>0.33 part Red wine</t>
  </si>
  <si>
    <t>Red wine</t>
  </si>
  <si>
    <t>Im Old Fashioned</t>
  </si>
  <si>
    <t>0.5 oz Punt e Mes</t>
  </si>
  <si>
    <t>Punt e Mes</t>
  </si>
  <si>
    <t>Orgasm 4</t>
  </si>
  <si>
    <t>0.75 oz Irish Cream</t>
  </si>
  <si>
    <t>The Forbidden Fruit Cocktail</t>
  </si>
  <si>
    <t>50ml Clarified Guanabana</t>
  </si>
  <si>
    <t>Clarified Guanabana</t>
  </si>
  <si>
    <t>Mountain Dew Drop</t>
  </si>
  <si>
    <t>Light beer 3 oz</t>
  </si>
  <si>
    <t>Light beer</t>
  </si>
  <si>
    <t>1 oz Tropical-Fruit Liqueur</t>
  </si>
  <si>
    <t>Absolute Vacation</t>
  </si>
  <si>
    <t>Gold Driver</t>
  </si>
  <si>
    <t>1 Slice Lime</t>
  </si>
  <si>
    <t>Dr. Pepper Slammer</t>
  </si>
  <si>
    <t>1.5 oz Coconut Liqueur</t>
  </si>
  <si>
    <t>Kahlua Cream Soda</t>
  </si>
  <si>
    <t>1.5 oz Whipping Cream</t>
  </si>
  <si>
    <t>Mai Tai Riff: Secret Life of Plants</t>
  </si>
  <si>
    <t>Dash of absinthe</t>
  </si>
  <si>
    <t>Triple Sec Spritz</t>
  </si>
  <si>
    <t>Strawberry Mint Gin &amp; Tonic</t>
  </si>
  <si>
    <t>Berry Moscow Mule</t>
  </si>
  <si>
    <t>Blue Motorcycle</t>
  </si>
  <si>
    <t>0.75 fluid ounce gin</t>
  </si>
  <si>
    <t>Eye Opener</t>
  </si>
  <si>
    <t>1 ounce stout beer</t>
  </si>
  <si>
    <t>stout beer</t>
  </si>
  <si>
    <t>The Trinidad Sour</t>
  </si>
  <si>
    <t>1 ounce orgeat syrup</t>
  </si>
  <si>
    <t>orgeat syrup</t>
  </si>
  <si>
    <t>Cream Soda Shaker</t>
  </si>
  <si>
    <t>The Real Candy Cane Cocktail</t>
  </si>
  <si>
    <t>White chocolate 2 oz</t>
  </si>
  <si>
    <t>White chocolate</t>
  </si>
  <si>
    <t>Fuzzy Jager Cranberry Shooter</t>
  </si>
  <si>
    <t>1 ounce Jagermeister</t>
  </si>
  <si>
    <t>The Grinch Cocktail</t>
  </si>
  <si>
    <t>Keoke Coffee</t>
  </si>
  <si>
    <t>1 teaspoon brown sugar syrup</t>
  </si>
  <si>
    <t>brown sugar syrup</t>
  </si>
  <si>
    <t>Irish Car Bomb Brownies with Whiskey Whipped Cream</t>
  </si>
  <si>
    <t>Semisweet chocolate chips 1 cup</t>
  </si>
  <si>
    <t>Semisweet chocolate chips</t>
  </si>
  <si>
    <t>Bacardi O Tini</t>
  </si>
  <si>
    <t>.75 oz Apple Juice</t>
  </si>
  <si>
    <t>Batman Bomb</t>
  </si>
  <si>
    <t>Maple Bourbon Honeycrisp</t>
  </si>
  <si>
    <t>Maple extract 1 tsp</t>
  </si>
  <si>
    <t>Maple extract</t>
  </si>
  <si>
    <t>Arctic Circle</t>
  </si>
  <si>
    <t>Vodka Martini</t>
  </si>
  <si>
    <t>Blue Dragon</t>
  </si>
  <si>
    <t>The Kinky Pirate</t>
  </si>
  <si>
    <t>Kraken rum 1 part</t>
  </si>
  <si>
    <t>Mexican Hot Chocolate Cocktail</t>
  </si>
  <si>
    <t>40 g mulatto chile, stem removed</t>
  </si>
  <si>
    <t>mulatto chile</t>
  </si>
  <si>
    <t>stem removed</t>
  </si>
  <si>
    <t>Sloe Gin Fizz</t>
  </si>
  <si>
    <t>Smoked Old Fashioned</t>
  </si>
  <si>
    <t>0.5 teaspoon water</t>
  </si>
  <si>
    <t>Johnnie Walker Gold Label Smoke and Spice</t>
  </si>
  <si>
    <t>10ml Fresh Lime</t>
  </si>
  <si>
    <t>Frozen orange juice concentrate 6 oz</t>
  </si>
  <si>
    <t>orange juice concentrate</t>
  </si>
  <si>
    <t>Grog</t>
  </si>
  <si>
    <t>juice of 0.5 Lemon</t>
  </si>
  <si>
    <t>Creamy Tan</t>
  </si>
  <si>
    <t>4 oz Whipping Cream</t>
  </si>
  <si>
    <t>Cranberry Apple Crush</t>
  </si>
  <si>
    <t>1 Bar Spoon Orange Marmalade</t>
  </si>
  <si>
    <t>Orange Marmalade</t>
  </si>
  <si>
    <t>Classic Mint Julep Recipe</t>
  </si>
  <si>
    <t>12-15 fresh mint leaves</t>
  </si>
  <si>
    <t>12|15</t>
  </si>
  <si>
    <t>Pago Pago</t>
  </si>
  <si>
    <t>A fresh slice of pineapple</t>
  </si>
  <si>
    <t>A|of</t>
  </si>
  <si>
    <t>1.5 - 2 oz of blended whiskey</t>
  </si>
  <si>
    <t>1.5|2</t>
  </si>
  <si>
    <t xml:space="preserve"> blended whiskey</t>
  </si>
  <si>
    <t>to|of</t>
  </si>
  <si>
    <t>Sex On The Beach</t>
  </si>
  <si>
    <t>1 part Pineapple Juice</t>
  </si>
  <si>
    <t>Black Lodge</t>
  </si>
  <si>
    <t>White cranberry peach juice 5 oz</t>
  </si>
  <si>
    <t>White cranberry peach juice</t>
  </si>
  <si>
    <t>Amaretto Tea</t>
  </si>
  <si>
    <t>Chilled Whipped cream</t>
  </si>
  <si>
    <t>Chocolate Egg Martini</t>
  </si>
  <si>
    <t>2 Tbsp. double cream</t>
  </si>
  <si>
    <t>double cream</t>
  </si>
  <si>
    <t>25ml Baileys Vanilla Cinnamon Irish Cream Liqueur</t>
  </si>
  <si>
    <t>Baileys Vanilla Cinnamon Irish Cream Liqueur</t>
  </si>
  <si>
    <t>Fighting Joe Hooker Blueberry Whiskey Cocktail</t>
  </si>
  <si>
    <t>1.5 oz 100 proof rye whiskey</t>
  </si>
  <si>
    <t>100 proof rye whiskey</t>
  </si>
  <si>
    <t>The Salt Throne</t>
  </si>
  <si>
    <t>50ml Talisker  House Greyjoy</t>
  </si>
  <si>
    <t>Talisker House Greyjoy</t>
  </si>
  <si>
    <t>Carioca Hawaiian</t>
  </si>
  <si>
    <t>1 dash Aromatic bitters or Tiki bitters</t>
  </si>
  <si>
    <t>Aromatic bitters or Tiki bitters</t>
  </si>
  <si>
    <t>Mojito</t>
  </si>
  <si>
    <t>2 ounces white rum</t>
  </si>
  <si>
    <t>Boston Creme Pie Martini</t>
  </si>
  <si>
    <t>1 jigger Irish cream liqueur</t>
  </si>
  <si>
    <t>Garden G&amp;T</t>
  </si>
  <si>
    <t>1.5 ounces Koval gin</t>
  </si>
  <si>
    <t>Koval gin</t>
  </si>
  <si>
    <t>Blue Jeans</t>
  </si>
  <si>
    <t>15 ml of blue curacao liqueur</t>
  </si>
  <si>
    <t>Alexander Baby</t>
  </si>
  <si>
    <t>.5 oz Nutmeg</t>
  </si>
  <si>
    <t>Saline 2 drops</t>
  </si>
  <si>
    <t>Saline</t>
  </si>
  <si>
    <t>0.5 cup Vodka or light rum recommended</t>
  </si>
  <si>
    <t>Vodka|light rum</t>
  </si>
  <si>
    <t>or|recommended</t>
  </si>
  <si>
    <t>CV The French Twist</t>
  </si>
  <si>
    <t>Cayman Lemonade</t>
  </si>
  <si>
    <t>1 Mint Sprig (Garnish)</t>
  </si>
  <si>
    <t>French Cosmopolitan</t>
  </si>
  <si>
    <t>Lemouroudji</t>
  </si>
  <si>
    <t>ground Cayenne pepper</t>
  </si>
  <si>
    <t>Cayenne pepper</t>
  </si>
  <si>
    <t>Irish Gold Whiskey Cocktail</t>
  </si>
  <si>
    <t>Bavarian Alps</t>
  </si>
  <si>
    <t>1 oz Chocolate Liqueur</t>
  </si>
  <si>
    <t>2 dashes diluted MSG solution (2 parts water to 1 part MSG)</t>
  </si>
  <si>
    <t>diluted MSG solution</t>
  </si>
  <si>
    <t>(2 parts water to 1 part MSG)</t>
  </si>
  <si>
    <t>Royal Clover Club Cocktail</t>
  </si>
  <si>
    <t>Strawberry Easy Drink</t>
  </si>
  <si>
    <t>4.5 oz Bitter Lemon</t>
  </si>
  <si>
    <t>Benny Blanco: A Tequila Negroni</t>
  </si>
  <si>
    <t>1 oz blanco tequila</t>
  </si>
  <si>
    <t>Blushing Barmaid</t>
  </si>
  <si>
    <t>0.75 oz Almond Liqueur</t>
  </si>
  <si>
    <t>Miyazaki Martini</t>
  </si>
  <si>
    <t>1 ounce espresso</t>
  </si>
  <si>
    <t>Green Apple Martini</t>
  </si>
  <si>
    <t>1 tablespoon agave syrup or simple syrup</t>
  </si>
  <si>
    <t>agave syrup|simple syrup</t>
  </si>
  <si>
    <t>Beergarita</t>
  </si>
  <si>
    <t>6 cans or bottles beer</t>
  </si>
  <si>
    <t>cans|bottles</t>
  </si>
  <si>
    <t>beer</t>
  </si>
  <si>
    <t>Cherry Circle Room Old Fashioned</t>
  </si>
  <si>
    <t>2 oz bourbon</t>
  </si>
  <si>
    <t>Arctic Mouthwash</t>
  </si>
  <si>
    <t>5 oz Mountain Dew</t>
  </si>
  <si>
    <t>Mountain Dew</t>
  </si>
  <si>
    <t>1 Edible Flower (Garnish)</t>
  </si>
  <si>
    <t>Edible Flower</t>
  </si>
  <si>
    <t>Green Isaacs Special</t>
  </si>
  <si>
    <t>2 ounces London dry gin</t>
  </si>
  <si>
    <t>Harrison Ford Cocktail</t>
  </si>
  <si>
    <t>3 oz Irish Cream</t>
  </si>
  <si>
    <t>Texas Sling</t>
  </si>
  <si>
    <t>0.5 oz Bacardi 151 proof rum</t>
  </si>
  <si>
    <t>Bacardi 151 proof rum</t>
  </si>
  <si>
    <t>Last Word Cocktail</t>
  </si>
  <si>
    <t>0.75 oz green Chartreuse</t>
  </si>
  <si>
    <t>Luxardo maraschino liqueur 0.5 oz</t>
  </si>
  <si>
    <t>Luxardo maraschino liqueur</t>
  </si>
  <si>
    <t>Nuyorican Sour</t>
  </si>
  <si>
    <t>2 dashes Scrappys Seville orange bitters</t>
  </si>
  <si>
    <t>Scrappys Seville orange bitters</t>
  </si>
  <si>
    <t>Jo Jo Original</t>
  </si>
  <si>
    <t>Whipped Cream &amp; Orange Splash</t>
  </si>
  <si>
    <t>Margarita Legendario</t>
  </si>
  <si>
    <t>1 Wedge Lime and Salt (Garnish)</t>
  </si>
  <si>
    <t>Lime and Salt</t>
  </si>
  <si>
    <t>Sherry Colada Highball</t>
  </si>
  <si>
    <t>2 parts coconut-pineapple seltzer, preferably Bubly</t>
  </si>
  <si>
    <t>coconut-pineapple seltzer</t>
  </si>
  <si>
    <t>, preferably Bubly</t>
  </si>
  <si>
    <t>El Centro: A Tropical Winter Cocktail</t>
  </si>
  <si>
    <t>Ranglum</t>
  </si>
  <si>
    <t>heavy 0.25 ounce overproof rum, preferably Wray &amp; Nephew</t>
  </si>
  <si>
    <t>heavy overproof rum</t>
  </si>
  <si>
    <t>, preferably Wray &amp; Nephew</t>
  </si>
  <si>
    <t>Caramel Apple Jello Shots</t>
  </si>
  <si>
    <t>4 apples, green or yellow</t>
  </si>
  <si>
    <t>apples</t>
  </si>
  <si>
    <t>, green or yellow</t>
  </si>
  <si>
    <t>Peachy Tea</t>
  </si>
  <si>
    <t>Barbies Escape</t>
  </si>
  <si>
    <t>Peach schnapps 0.75 oz</t>
  </si>
  <si>
    <t>The Samuels</t>
  </si>
  <si>
    <t>0.5 part Cranberry Juice</t>
  </si>
  <si>
    <t>2 teaspoons orange juice</t>
  </si>
  <si>
    <t>3 dashes absinthe, preferably Leopold Bros.</t>
  </si>
  <si>
    <t>absinthe, Leopold Bros.</t>
  </si>
  <si>
    <t>preferably</t>
  </si>
  <si>
    <t>Maison Premieres Tom Collins</t>
  </si>
  <si>
    <t>soda water, to top</t>
  </si>
  <si>
    <t>Figgy Thyme</t>
  </si>
  <si>
    <t>Tanqueray Aviation</t>
  </si>
  <si>
    <t>12.5ml Maraschino Liqueur</t>
  </si>
  <si>
    <t>4  6 oz Coffee</t>
  </si>
  <si>
    <t>6 Coffee</t>
  </si>
  <si>
    <t>Adrienne`s Dream</t>
  </si>
  <si>
    <t>Raspberry Cooler</t>
  </si>
  <si>
    <t>1 oz Coconut-flavored Rum</t>
  </si>
  <si>
    <t>Coconut-flavored Rum</t>
  </si>
  <si>
    <t>Black Nazi</t>
  </si>
  <si>
    <t>Dry red wine 25 oz</t>
  </si>
  <si>
    <t>Dry red wine</t>
  </si>
  <si>
    <t>37.5 ml Gin</t>
  </si>
  <si>
    <t>Hammerjack</t>
  </si>
  <si>
    <t>Picon Whiskey</t>
  </si>
  <si>
    <t>1 oz Tequila to kickstart the healing</t>
  </si>
  <si>
    <t>to kickstart the healing</t>
  </si>
  <si>
    <t>2 tbsp Olive Brine</t>
  </si>
  <si>
    <t>Olive Brine</t>
  </si>
  <si>
    <t>Singapore Sling Slushy</t>
  </si>
  <si>
    <t>Rouge Martini</t>
  </si>
  <si>
    <t>1 tsp Raspberry Liqueur</t>
  </si>
  <si>
    <t>Margarita Lime Jello Shots</t>
  </si>
  <si>
    <t>Chocolate Covered Berries</t>
  </si>
  <si>
    <t>Ciroc Rocs</t>
  </si>
  <si>
    <t>1 White Grape (Garnish)</t>
  </si>
  <si>
    <t>White Grape</t>
  </si>
  <si>
    <t>King Coffee Cocktail</t>
  </si>
  <si>
    <t>2 oz stout beer</t>
  </si>
  <si>
    <t>Champagne 1 bottle</t>
  </si>
  <si>
    <t>slice Coca-Cola</t>
  </si>
  <si>
    <t>Shark`s Mai Tai</t>
  </si>
  <si>
    <t>Blood and Sand</t>
  </si>
  <si>
    <t>1 part Scotch</t>
  </si>
  <si>
    <t>Cheetos Flaming Hot Tequila Shots</t>
  </si>
  <si>
    <t>Absolute Stress</t>
  </si>
  <si>
    <t>Bleeding Heart</t>
  </si>
  <si>
    <t>.5 oz Cherry Brandy</t>
  </si>
  <si>
    <t>Beau`s Rum and Coke</t>
  </si>
  <si>
    <t>6 oz Cola</t>
  </si>
  <si>
    <t>Chocolate Cappuccino</t>
  </si>
  <si>
    <t>0.25 oz White Creme De Cacao</t>
  </si>
  <si>
    <t>Just Peachy</t>
  </si>
  <si>
    <t>0.75 oz Peach Puree</t>
  </si>
  <si>
    <t>Peach Puree</t>
  </si>
  <si>
    <t>1 Celery stick to garnish</t>
  </si>
  <si>
    <t>Celery stick</t>
  </si>
  <si>
    <t>1.5 ounces Johnnie Walker Double Black scotch whisky</t>
  </si>
  <si>
    <t>Johnnie Walker Double Black scotch whisky</t>
  </si>
  <si>
    <t>Brandy Forest</t>
  </si>
  <si>
    <t>1 peppermint stick to garnish</t>
  </si>
  <si>
    <t>peppermint stick</t>
  </si>
  <si>
    <t>Bourbon Sangaree</t>
  </si>
  <si>
    <t>0.25 part Agave nectar</t>
  </si>
  <si>
    <t>Disgruntled Mai Tai</t>
  </si>
  <si>
    <t>1 ounce overproof Jamaican rum, preferably Smith &amp; Cross</t>
  </si>
  <si>
    <t>overproof Jamaican rum</t>
  </si>
  <si>
    <t>, preferably Smith &amp; Cross</t>
  </si>
  <si>
    <t>Gin-Gin Mule Cocktail</t>
  </si>
  <si>
    <t>1 ounce simple syrup</t>
  </si>
  <si>
    <t>Frozen Mango Daiquiri</t>
  </si>
  <si>
    <t>2 ounces lime juice</t>
  </si>
  <si>
    <t>Wassail Sour</t>
  </si>
  <si>
    <t>0.5 ounce orange juice, freshly squeezed</t>
  </si>
  <si>
    <t>DOM Benedictine</t>
  </si>
  <si>
    <t>0.25 ounce orange juice, freshly squeezed</t>
  </si>
  <si>
    <t>Potted Parrot</t>
  </si>
  <si>
    <t>Anjan`s harem</t>
  </si>
  <si>
    <t>Winter Leaf Fizz</t>
  </si>
  <si>
    <t>20 milliliters cranberry wine</t>
  </si>
  <si>
    <t>cranberry wine</t>
  </si>
  <si>
    <t>Easy Mojitos</t>
  </si>
  <si>
    <t>4.5 ounces diet lemon-lime soda</t>
  </si>
  <si>
    <t>diet lemon-lime soda</t>
  </si>
  <si>
    <t>The Secret Catch, A Holiday Cacacha Cocktail</t>
  </si>
  <si>
    <t>1 fresh egg yolk</t>
  </si>
  <si>
    <t>egg yolk</t>
  </si>
  <si>
    <t>Big Hicky</t>
  </si>
  <si>
    <t>Garret Richard's Mai Tai</t>
  </si>
  <si>
    <t>1 ounce lime juice (reserve 1 spent lime wedge)</t>
  </si>
  <si>
    <t>(reserve 1 spent lime wedge)</t>
  </si>
  <si>
    <t>Strawberry Moscato Slush</t>
  </si>
  <si>
    <t>Moscato (frozen into cubes) 750 ml</t>
  </si>
  <si>
    <t>Moscato</t>
  </si>
  <si>
    <t>cubes|frozen</t>
  </si>
  <si>
    <t>Bombay Sling</t>
  </si>
  <si>
    <t>Coconut Shredded for rimming the glass</t>
  </si>
  <si>
    <t>Coconut Shredded</t>
  </si>
  <si>
    <t>for rimming the glass</t>
  </si>
  <si>
    <t>Snakebite and Black</t>
  </si>
  <si>
    <t>A little bit of Blackcurrant squash</t>
  </si>
  <si>
    <t>Blackcurrant squash</t>
  </si>
  <si>
    <t>A little bit of</t>
  </si>
  <si>
    <t>Pineapple Mojito</t>
  </si>
  <si>
    <t>For serving: Ice (try clear ice ), pineapple wedges</t>
  </si>
  <si>
    <t>Ice|pineapple wedges</t>
  </si>
  <si>
    <t>For serving:|(try clear ice),</t>
  </si>
  <si>
    <t>Granulated sugar, for rimming</t>
  </si>
  <si>
    <t>Granulated sugar</t>
  </si>
  <si>
    <t>, for rimming</t>
  </si>
  <si>
    <t>Geb's Reviver</t>
  </si>
  <si>
    <t>0.75 ounce pineapple-lemon oleo saccharum (see Editor's Note)</t>
  </si>
  <si>
    <t>pineapple-lemon oleo saccharum</t>
  </si>
  <si>
    <t>0.33 Orange Vodka</t>
  </si>
  <si>
    <t>3 oz of peach schnapps</t>
  </si>
  <si>
    <t>0.75 ounce manzanilla sherry, preferably Bodegas Yuste Aurora</t>
  </si>
  <si>
    <t>, preferably Bodegas Yuste Aurora</t>
  </si>
  <si>
    <t>0.5 oz Bols Creme de Cassis</t>
  </si>
  <si>
    <t>French 76</t>
  </si>
  <si>
    <t>3 ounces champagne or Prosecco (about 0.5 glass)</t>
  </si>
  <si>
    <t>champagne|Prosecco</t>
  </si>
  <si>
    <t>or|(about 0.5 glass)</t>
  </si>
  <si>
    <t>The Nick</t>
  </si>
  <si>
    <t>Frozen Margaritas</t>
  </si>
  <si>
    <t>Aromatic bitters|Tiki bitters</t>
  </si>
  <si>
    <t>Tito's Martini</t>
  </si>
  <si>
    <t>Banana Colada 2</t>
  </si>
  <si>
    <t>1 Scoop Ice Cream</t>
  </si>
  <si>
    <t>Crocodile Cooler</t>
  </si>
  <si>
    <t>Royal Hot Chocolate</t>
  </si>
  <si>
    <t>Batman</t>
  </si>
  <si>
    <t>330 ml Energy Soda</t>
  </si>
  <si>
    <t>Cotton Candy 3</t>
  </si>
  <si>
    <t>3 oz Gin</t>
  </si>
  <si>
    <t>Barbacoa</t>
  </si>
  <si>
    <t>0.5 ounce ginger syrup</t>
  </si>
  <si>
    <t>Batched Mai Tai</t>
  </si>
  <si>
    <t>350ml Pineapple Juice</t>
  </si>
  <si>
    <t>Rhubarb Margarita</t>
  </si>
  <si>
    <t>Whisky Mac Toddy</t>
  </si>
  <si>
    <t>10.5 parts Scotch</t>
  </si>
  <si>
    <t>Skull Island Cocktail</t>
  </si>
  <si>
    <t>Blue curacao 1.5 oz</t>
  </si>
  <si>
    <t>Cuban T&amp;T</t>
  </si>
  <si>
    <t>Tanqueray London Dry Gin</t>
  </si>
  <si>
    <t>0.25 ounce maraschino liqueur (preferably Luxardo)</t>
  </si>
  <si>
    <t>(preferably Luxardo)</t>
  </si>
  <si>
    <t>Chip Tyndale's Bamboo</t>
  </si>
  <si>
    <t>0.25 ounce blanc vermouth, preferably Dolin</t>
  </si>
  <si>
    <t>Orange soda 2 oz</t>
  </si>
  <si>
    <t>Hawaiian punch 2 oz</t>
  </si>
  <si>
    <t>Beach Haus</t>
  </si>
  <si>
    <t>1 oz Blackberry Schnapps</t>
  </si>
  <si>
    <t>Veil Blueberry Lemon Drop</t>
  </si>
  <si>
    <t>Blueberries for garnish</t>
  </si>
  <si>
    <t>Smirnoff Vodka Madras</t>
  </si>
  <si>
    <t>1 Orange slice (Garnish)</t>
  </si>
  <si>
    <t>Pitcher of Juleps</t>
  </si>
  <si>
    <t>Ice cubes or crushed ice</t>
  </si>
  <si>
    <t>Ice or ice</t>
  </si>
  <si>
    <t>crushed|cubes</t>
  </si>
  <si>
    <t>Classic Martini</t>
  </si>
  <si>
    <t>Vodka Cranberry Cocktail</t>
  </si>
  <si>
    <t>Catwoman Cocktail</t>
  </si>
  <si>
    <t>My Kind of Broadway</t>
  </si>
  <si>
    <t>0.75 oz Campari</t>
  </si>
  <si>
    <t>Lassi - Sweet</t>
  </si>
  <si>
    <t>2 cups cold Water</t>
  </si>
  <si>
    <t>Christmas Mule Cocktail</t>
  </si>
  <si>
    <t>4 ounces ginger beer</t>
  </si>
  <si>
    <t>3 ounces hot ginger broth</t>
  </si>
  <si>
    <t>ginger broth</t>
  </si>
  <si>
    <t>Sexy Bikini Sangria</t>
  </si>
  <si>
    <t>Pink lemonade 2 oz</t>
  </si>
  <si>
    <t>Canada Dream</t>
  </si>
  <si>
    <t>1 ounce pineapple juice</t>
  </si>
  <si>
    <t>Night Light</t>
  </si>
  <si>
    <t>Electric Long Island Iced Tea</t>
  </si>
  <si>
    <t>1.5 ounces whiskey, rum, or brandy</t>
  </si>
  <si>
    <t>whiskey|rum|brandy</t>
  </si>
  <si>
    <t>,|,|or</t>
  </si>
  <si>
    <t>Pear Martini</t>
  </si>
  <si>
    <t>0.5 fresh ripe pear</t>
  </si>
  <si>
    <t>ripe</t>
  </si>
  <si>
    <t>Honeymoon</t>
  </si>
  <si>
    <t>Pineapple Upside Down Shots</t>
  </si>
  <si>
    <t>Garnish Lime Wedges</t>
  </si>
  <si>
    <t>Mexican Hot Chocolate</t>
  </si>
  <si>
    <t>1 big pinch cayenne pepper</t>
  </si>
  <si>
    <t>Honeydew Crush Gin Cocktail</t>
  </si>
  <si>
    <t>1 fresh egg white</t>
  </si>
  <si>
    <t>Don Julio &amp; Cola</t>
  </si>
  <si>
    <t>50ml Don Julio Blanco</t>
  </si>
  <si>
    <t>Don Julio Blanco</t>
  </si>
  <si>
    <t>Cabin Fever Cure Flip Recipe</t>
  </si>
  <si>
    <t>0.5 oz Demerara syrup</t>
  </si>
  <si>
    <t>Bitter Mai Tai</t>
  </si>
  <si>
    <t>0.75 ounce aged Jamaican rum, preferably Smith &amp; Cross</t>
  </si>
  <si>
    <t>Watermelon Jello Shot Slices</t>
  </si>
  <si>
    <t>Vodka 2 cups</t>
  </si>
  <si>
    <t>Betsy Clear</t>
  </si>
  <si>
    <t>Super Bowl Margarita Jungle juice</t>
  </si>
  <si>
    <t>Triple sec 3 cups</t>
  </si>
  <si>
    <t>1 lychee, for garnish</t>
  </si>
  <si>
    <t>lychee</t>
  </si>
  <si>
    <t>Bahama Breeze</t>
  </si>
  <si>
    <t>0.5 fluid ounce apricot liqueur</t>
  </si>
  <si>
    <t>apricot liqueur</t>
  </si>
  <si>
    <t>Ice (try clear ice !)</t>
  </si>
  <si>
    <t>(try clear ice !)</t>
  </si>
  <si>
    <t>Cinnamon Toast Crunch Milkshake</t>
  </si>
  <si>
    <t>Perfectly Perfect Chartreuse Swizzle</t>
  </si>
  <si>
    <t>0.5 cl each lemon and lime juice</t>
  </si>
  <si>
    <t>lemon|lime juice</t>
  </si>
  <si>
    <t>each|and</t>
  </si>
  <si>
    <t>3 parts Orange juice</t>
  </si>
  <si>
    <t>1.5 ounce unaged blended rum, preferably Denizen</t>
  </si>
  <si>
    <t>unaged blended rum</t>
  </si>
  <si>
    <t>, preferably Denizen</t>
  </si>
  <si>
    <t>Sandy Snow</t>
  </si>
  <si>
    <t>Patron xo 0.5 oz</t>
  </si>
  <si>
    <t>Patron xo</t>
  </si>
  <si>
    <t>Aloha Fruit punch</t>
  </si>
  <si>
    <t>3-4 cups Pineapple juice</t>
  </si>
  <si>
    <t>3|4</t>
  </si>
  <si>
    <t>Cloud Forest</t>
  </si>
  <si>
    <t>1 part Dark rum or Black rum</t>
  </si>
  <si>
    <t>Dark rum|Black rum</t>
  </si>
  <si>
    <t>Cortado</t>
  </si>
  <si>
    <t>10.5 part Light rum or Spiced rum or Aged rum</t>
  </si>
  <si>
    <t>Light rum|Spiced rum|Aged rum</t>
  </si>
  <si>
    <t>0.25 ounce creme de violette liqueur</t>
  </si>
  <si>
    <t>creme de violette liqueur</t>
  </si>
  <si>
    <t>White Witch</t>
  </si>
  <si>
    <t>Soda water, to top</t>
  </si>
  <si>
    <t>Grumpier Old Man</t>
  </si>
  <si>
    <t>Chocolate Sin Cocktail</t>
  </si>
  <si>
    <t>.5 oz Chocolate Liqueur</t>
  </si>
  <si>
    <t>Homemade Grenadine</t>
  </si>
  <si>
    <t>0.5 cup pomegranate juice</t>
  </si>
  <si>
    <t>1 cup ice</t>
  </si>
  <si>
    <t>Frozen Ramos Gin Fizz</t>
  </si>
  <si>
    <t>Coconut Dream</t>
  </si>
  <si>
    <t>0.25 oz Banana Liqueur</t>
  </si>
  <si>
    <t>Silly Rabbit Carrot Cocktail</t>
  </si>
  <si>
    <t>Scotch 'n' Stormy</t>
  </si>
  <si>
    <t>150ml Cola</t>
  </si>
  <si>
    <t>12.5ml Sugar syrup</t>
  </si>
  <si>
    <t>0.75 oz brown butter apple brandy</t>
  </si>
  <si>
    <t>brown butter apple brandy</t>
  </si>
  <si>
    <t>Peking Cocktail</t>
  </si>
  <si>
    <t>2 dashes Grenadine Syrup</t>
  </si>
  <si>
    <t>Fruity Pebble 2</t>
  </si>
  <si>
    <t>2 oz Lemon Rum</t>
  </si>
  <si>
    <t>2 Tbps. olive juice</t>
  </si>
  <si>
    <t>olive juice</t>
  </si>
  <si>
    <t>The Best Bloody Mary</t>
  </si>
  <si>
    <t>The Hairy Navel</t>
  </si>
  <si>
    <t>Orange juice 5 oz</t>
  </si>
  <si>
    <t>Cereal Killer</t>
  </si>
  <si>
    <t>Fruit loops</t>
  </si>
  <si>
    <t>Lemon Drop 5</t>
  </si>
  <si>
    <t>juice of 1 Lemon</t>
  </si>
  <si>
    <t>The Scarlett O'Hara Cocktail</t>
  </si>
  <si>
    <t>2 ounces Southern Comfort</t>
  </si>
  <si>
    <t>Dr. Zhivago</t>
  </si>
  <si>
    <t>Adam Maitlands Afterlife</t>
  </si>
  <si>
    <t>2 cups ice, divided</t>
  </si>
  <si>
    <t>Rum-Spiked Horchata</t>
  </si>
  <si>
    <t>0.5 teaspoon ground cinnamon</t>
  </si>
  <si>
    <t>Butterfinger Shots</t>
  </si>
  <si>
    <t>Hubba bubba gum infused vodka 1 oz</t>
  </si>
  <si>
    <t>Hubba bubba gum infused vodka</t>
  </si>
  <si>
    <t>2 cl whisky - I used Dalwhinnie</t>
  </si>
  <si>
    <t>whisky</t>
  </si>
  <si>
    <t>1 Part Almond Liqueur</t>
  </si>
  <si>
    <t>2 fluid ounces pear juice</t>
  </si>
  <si>
    <t>pear juice</t>
  </si>
  <si>
    <t>Peach Blaster</t>
  </si>
  <si>
    <t>Buzz Lightyear</t>
  </si>
  <si>
    <t>White Wine Sangria</t>
  </si>
  <si>
    <t>750 ml White Wine</t>
  </si>
  <si>
    <t>White Wine</t>
  </si>
  <si>
    <t>Cherry Vodka Limeade</t>
  </si>
  <si>
    <t>Lime vodka 1 oz</t>
  </si>
  <si>
    <t>Lime vodka</t>
  </si>
  <si>
    <t>Scarlet the Scot</t>
  </si>
  <si>
    <t>25ml Pasteurized egg white (or one small fresh egg white)</t>
  </si>
  <si>
    <t>25|one</t>
  </si>
  <si>
    <t>Pasteurized egg white|egg white</t>
  </si>
  <si>
    <t>Captain Punch</t>
  </si>
  <si>
    <t>Dewberry Martini</t>
  </si>
  <si>
    <t>.75 oz Vodka</t>
  </si>
  <si>
    <t>Angelica Liqueur</t>
  </si>
  <si>
    <t>0.12 tsp powdered Coriander</t>
  </si>
  <si>
    <t>powdered Coriander</t>
  </si>
  <si>
    <t>Pineapple Mint Mango Daiquiri</t>
  </si>
  <si>
    <t>Classic Bellini</t>
  </si>
  <si>
    <t>1.5 oz peach puree</t>
  </si>
  <si>
    <t>peach puree</t>
  </si>
  <si>
    <t>Snake Piss</t>
  </si>
  <si>
    <t>3- 4 oz Peach Schnapps</t>
  </si>
  <si>
    <t xml:space="preserve"> Peach Schnapps</t>
  </si>
  <si>
    <t>GORDON'S FIZZ 0.0% VARIANT</t>
  </si>
  <si>
    <t>15ml Sugar Syrup</t>
  </si>
  <si>
    <t>Deep Valley</t>
  </si>
  <si>
    <t>3 cl Gin</t>
  </si>
  <si>
    <t>Ciroc Amaretto &amp; Sweet Tea</t>
  </si>
  <si>
    <t>50ml Ciroc Amaretto</t>
  </si>
  <si>
    <t>The Best Mexican Coffee Youll Ever Drink</t>
  </si>
  <si>
    <t>1 oz espresso</t>
  </si>
  <si>
    <t>Whiskey Long Island</t>
  </si>
  <si>
    <t>Lemonade 1 oz</t>
  </si>
  <si>
    <t>Country Thyme</t>
  </si>
  <si>
    <t>Peach Blossom Sunrise</t>
  </si>
  <si>
    <t>1 tablespoon grenadine syrup</t>
  </si>
  <si>
    <t>Ohio Bulldog</t>
  </si>
  <si>
    <t>Playboy Bunny Cocktail</t>
  </si>
  <si>
    <t>1 oz Tequila</t>
  </si>
  <si>
    <t>Midori Orange and Sparkling</t>
  </si>
  <si>
    <t>Wine, Sparkling</t>
  </si>
  <si>
    <t>, Sparkling</t>
  </si>
  <si>
    <t>15ml Lime</t>
  </si>
  <si>
    <t>All American Daiquiri</t>
  </si>
  <si>
    <t>Blue curacao 4 oz</t>
  </si>
  <si>
    <t>El Pepino Cocktail</t>
  </si>
  <si>
    <t>2 Jalapeno Pepper 0.25-inch thick</t>
  </si>
  <si>
    <t>Jalapeno Pepper</t>
  </si>
  <si>
    <t>thick</t>
  </si>
  <si>
    <t>Monster Hot Apple Pie</t>
  </si>
  <si>
    <t>Cinnamon schnapps 1 part</t>
  </si>
  <si>
    <t>Cinnamon schnapps</t>
  </si>
  <si>
    <t>Bartender's Long Island Iced Tea</t>
  </si>
  <si>
    <t>Classic Screwdriver</t>
  </si>
  <si>
    <t>Chef John's Whiskey Sour</t>
  </si>
  <si>
    <t>2 fluid ounces 100-proof bourbon whiskey</t>
  </si>
  <si>
    <t>100-proof bourbon whiskey</t>
  </si>
  <si>
    <t>Fruit &amp; Nut</t>
  </si>
  <si>
    <t>12.5ml Creme de Cacao White</t>
  </si>
  <si>
    <t>Creme de Cacao White</t>
  </si>
  <si>
    <t>California Iced Tea</t>
  </si>
  <si>
    <t>splash of Orange Juice</t>
  </si>
  <si>
    <t>Russian Cocaine Shot</t>
  </si>
  <si>
    <t>Brassy Blond</t>
  </si>
  <si>
    <t>0.25 oz Orange Liqueur</t>
  </si>
  <si>
    <t>Talisker Sour</t>
  </si>
  <si>
    <t>Juicy Screw</t>
  </si>
  <si>
    <t>DeKuyper Pucker Watermelon Schnapps</t>
  </si>
  <si>
    <t>Hawaiian Stone Sour</t>
  </si>
  <si>
    <t>1.5 oz of blended whiskey</t>
  </si>
  <si>
    <t>blended whiskey</t>
  </si>
  <si>
    <t>Maverick</t>
  </si>
  <si>
    <t>0.75 ounce gin</t>
  </si>
  <si>
    <t>Passion Fruit Mojito</t>
  </si>
  <si>
    <t>Fresh lime juice 0.5 oz</t>
  </si>
  <si>
    <t>0.75 oz lemon juice</t>
  </si>
  <si>
    <t>Sole Mio Oranje</t>
  </si>
  <si>
    <t>Berry Good Shandy</t>
  </si>
  <si>
    <t>Fresh Mixed Berries</t>
  </si>
  <si>
    <t>Mixed Berries</t>
  </si>
  <si>
    <t>10 leaves Mint</t>
  </si>
  <si>
    <t>Scooby Snack Bomb Shot</t>
  </si>
  <si>
    <t>Blackberry Mango Margarita</t>
  </si>
  <si>
    <t>Mango nectar 2 oz</t>
  </si>
  <si>
    <t>Mango nectar</t>
  </si>
  <si>
    <t>Sparkling Mezcal Negroni</t>
  </si>
  <si>
    <t>0.5 cup ice cubes, or as needed</t>
  </si>
  <si>
    <t>Congas y Coladas</t>
  </si>
  <si>
    <t>1.5 ounce coco syrup (see Editor's Note)</t>
  </si>
  <si>
    <t>coco syrup</t>
  </si>
  <si>
    <t>Orange Smartie</t>
  </si>
  <si>
    <t>0.67 oz Vodka</t>
  </si>
  <si>
    <t>Sol Y Sombra</t>
  </si>
  <si>
    <t>1.5 oz Licorice Liqueur</t>
  </si>
  <si>
    <t>Hell`s Mary</t>
  </si>
  <si>
    <t>2 oz Pepper Vodka</t>
  </si>
  <si>
    <t>Pepper Vodka</t>
  </si>
  <si>
    <t>Raspberry Lemonade Sangria</t>
  </si>
  <si>
    <t>Pequea Colada</t>
  </si>
  <si>
    <t>0.75 part Lime Juice</t>
  </si>
  <si>
    <t>Glow In The Dark Skull Jello Shots</t>
  </si>
  <si>
    <t>Tonic water 8 oz</t>
  </si>
  <si>
    <t>3 Coffee Beans (Garnish)</t>
  </si>
  <si>
    <t>Coffee Beans</t>
  </si>
  <si>
    <t>4 parts Sparkling water or Flavored sparkling water</t>
  </si>
  <si>
    <t>Fireball Sangria</t>
  </si>
  <si>
    <t>Fireball 6 oz</t>
  </si>
  <si>
    <t>Neon City</t>
  </si>
  <si>
    <t>Espresso Martini Granita</t>
  </si>
  <si>
    <t>whipped cream, for serving</t>
  </si>
  <si>
    <t>Chocolate Raspberry Martini</t>
  </si>
  <si>
    <t>1 oz Raspberry Vodka</t>
  </si>
  <si>
    <t>Cosmo Killer</t>
  </si>
  <si>
    <t>1 oz Grape Schnapps</t>
  </si>
  <si>
    <t>Grape Schnapps</t>
  </si>
  <si>
    <t>Three Wise Men Visit Mexico</t>
  </si>
  <si>
    <t>Jose cuervo gold tequila 0.5 oz</t>
  </si>
  <si>
    <t>Jose cuervo gold tequila</t>
  </si>
  <si>
    <t>Summer Dreaming Margarita</t>
  </si>
  <si>
    <t>0.5 part Simple syrup or Brown sugar syrup or Vanilla syrup or Lemon syrup or Oleo saccharum</t>
  </si>
  <si>
    <t>Simple syrup|Brown sugar syrup|Vanilla syrup|Lemon syrup|Oleo saccharum</t>
  </si>
  <si>
    <t>Hypno-Bite</t>
  </si>
  <si>
    <t>Green apple smirnoff 1 oz</t>
  </si>
  <si>
    <t>Green apple smirnoff</t>
  </si>
  <si>
    <t>Teresa</t>
  </si>
  <si>
    <t>0.75 part Creme de cassis</t>
  </si>
  <si>
    <t>Creme de cassis</t>
  </si>
  <si>
    <t>0.5 fluid ounce grapefruit juice</t>
  </si>
  <si>
    <t>Cranberry Kiss</t>
  </si>
  <si>
    <t>Chronic Ice Tea</t>
  </si>
  <si>
    <t>Home Team Punch</t>
  </si>
  <si>
    <t>1 parts Pinnacle Citrus Vodka or Pinnacle Original Vodka</t>
  </si>
  <si>
    <t>Pinnacle Citrus Vodka|Pinnacle Original Vodka</t>
  </si>
  <si>
    <t>Green Coconut</t>
  </si>
  <si>
    <t>Watermelon Sangria Bowl</t>
  </si>
  <si>
    <t>Watermelon vodka 6 oz</t>
  </si>
  <si>
    <t>Watermelon vodka</t>
  </si>
  <si>
    <t>2 dashes chocolate bitters</t>
  </si>
  <si>
    <t>Black Stripe Cold</t>
  </si>
  <si>
    <t>10ml Sugar (Garnish)</t>
  </si>
  <si>
    <t>1.67 oz Vodka</t>
  </si>
  <si>
    <t>Ruby Drop Cocktail</t>
  </si>
  <si>
    <t>.75 oz Lemon Juice</t>
  </si>
  <si>
    <t>Blowfish</t>
  </si>
  <si>
    <t>Mudslide Pudding Pop</t>
  </si>
  <si>
    <t>Coffee liqueur 2 oz</t>
  </si>
  <si>
    <t>Codys Old Fashioned</t>
  </si>
  <si>
    <t>Angostura bitters 3 dashes</t>
  </si>
  <si>
    <t>1.5 oz blanco tequila</t>
  </si>
  <si>
    <t>Star Daisy</t>
  </si>
  <si>
    <t>0.33 ounce simple syrup (1:1, sugar to water)</t>
  </si>
  <si>
    <t>(1:1, sugar to water)</t>
  </si>
  <si>
    <t>The Blue Jelly Fish</t>
  </si>
  <si>
    <t>2 drops saline solution</t>
  </si>
  <si>
    <t>Sunset Martini</t>
  </si>
  <si>
    <t>1 part DeKuyper Triple Sec Liqueur</t>
  </si>
  <si>
    <t>Abigail Gullos Ramos Gin Fizz</t>
  </si>
  <si>
    <t>2 ounces heavy cream</t>
  </si>
  <si>
    <t>0.75 cup granulated sugar</t>
  </si>
  <si>
    <t>4 parts Ginger Beer</t>
  </si>
  <si>
    <t>Crown Royal Black Manhattan</t>
  </si>
  <si>
    <t>50ml Crown Royal Black Blended Canadian Whisky</t>
  </si>
  <si>
    <t>Crown Royal Black Blended Canadian Whisky</t>
  </si>
  <si>
    <t>Grasshopper</t>
  </si>
  <si>
    <t>30ml Creme de Cacao</t>
  </si>
  <si>
    <t>Grand Blue</t>
  </si>
  <si>
    <t>1.5 cl Peach schnapps</t>
  </si>
  <si>
    <t>THE Blue Hawaii Drink</t>
  </si>
  <si>
    <t>1 ounce  white rum</t>
  </si>
  <si>
    <t>Whiskey Sour Cocktail</t>
  </si>
  <si>
    <t>.75 oz Sugar Syrup</t>
  </si>
  <si>
    <t>Hot Buttered Whiskey</t>
  </si>
  <si>
    <t>10.5 parts Bourbon or Rye whiskey or Blended whiskey</t>
  </si>
  <si>
    <t>Bruncharita</t>
  </si>
  <si>
    <t>1 oz Blanco Tequila</t>
  </si>
  <si>
    <t>David Wondrichs Tom &amp; Jerry</t>
  </si>
  <si>
    <t>2 quarts whole milk</t>
  </si>
  <si>
    <t>quarts</t>
  </si>
  <si>
    <t>Apricot Jack</t>
  </si>
  <si>
    <t>0.75 oz Apricot Nectar</t>
  </si>
  <si>
    <t>Apricot Nectar</t>
  </si>
  <si>
    <t>1 part Walnut liqueur</t>
  </si>
  <si>
    <t>Walnut liqueur</t>
  </si>
  <si>
    <t>Fireside Pumpkin</t>
  </si>
  <si>
    <t>0.25 part Lime juice</t>
  </si>
  <si>
    <t>Maui Wowie Punch</t>
  </si>
  <si>
    <t>Melon liqueur 3 oz</t>
  </si>
  <si>
    <t>Penicillin</t>
  </si>
  <si>
    <t>0.75 ounce honey-ginger syrup</t>
  </si>
  <si>
    <t>honey-ginger syrup</t>
  </si>
  <si>
    <t>Dark As Night From The Dewberry Hotel</t>
  </si>
  <si>
    <t>0.75 oz chinato</t>
  </si>
  <si>
    <t>chinato</t>
  </si>
  <si>
    <t>Brazilian Daiquiri</t>
  </si>
  <si>
    <t>Pineapple Garibaldi</t>
  </si>
  <si>
    <t>6 ounces pineapple juice</t>
  </si>
  <si>
    <t>Orange Whip</t>
  </si>
  <si>
    <t>1 part Light rum or Citrus rum</t>
  </si>
  <si>
    <t>Light rum|Citrus rum</t>
  </si>
  <si>
    <t>Baileys Cinnamon Ice</t>
  </si>
  <si>
    <t>20ml Smirnoff</t>
  </si>
  <si>
    <t>Dirty Banana Cocktail</t>
  </si>
  <si>
    <t>0.75 ounce banana flavored liqueur</t>
  </si>
  <si>
    <t>banana flavored liqueur</t>
  </si>
  <si>
    <t>Classic Manhattan</t>
  </si>
  <si>
    <t>KiKiKolada</t>
  </si>
  <si>
    <t>0.5 part Blue curacao</t>
  </si>
  <si>
    <t>100ml Black Coffee</t>
  </si>
  <si>
    <t>Black Coffee</t>
  </si>
  <si>
    <t>Quill</t>
  </si>
  <si>
    <t>Pink Lemonade Margarita</t>
  </si>
  <si>
    <t>A Dixon Thing</t>
  </si>
  <si>
    <t>Anejo Highball</t>
  </si>
  <si>
    <t>Red Cup Classic</t>
  </si>
  <si>
    <t>Ritz Bar Fizz</t>
  </si>
  <si>
    <t>2 fluid ounces dry champagne</t>
  </si>
  <si>
    <t>dry champagne</t>
  </si>
  <si>
    <t>Yellowbird</t>
  </si>
  <si>
    <t>1.76 oz white rum</t>
  </si>
  <si>
    <t>Blue hawaiian punch 6 oz</t>
  </si>
  <si>
    <t>Blue hawaiian punch</t>
  </si>
  <si>
    <t>Apple Vanilla Chai Hot Toddy</t>
  </si>
  <si>
    <t>4 oz bourbon</t>
  </si>
  <si>
    <t>Presidente Margarita</t>
  </si>
  <si>
    <t>salt for rimming glass</t>
  </si>
  <si>
    <t>for rimming glass</t>
  </si>
  <si>
    <t>New York Lemonade</t>
  </si>
  <si>
    <t>1 oz Grand Marnier</t>
  </si>
  <si>
    <t>2 oz sparkling wine</t>
  </si>
  <si>
    <t>Captain Plah</t>
  </si>
  <si>
    <t>Brain Candy</t>
  </si>
  <si>
    <t>3 oz Creme De Menthe</t>
  </si>
  <si>
    <t>Garnish: pineapple slices</t>
  </si>
  <si>
    <t>Eye of the Storm</t>
  </si>
  <si>
    <t>7 oz Spiced Rum</t>
  </si>
  <si>
    <t>16 fluid ounces chilled rose wine</t>
  </si>
  <si>
    <t>rose wine</t>
  </si>
  <si>
    <t>The Ollie</t>
  </si>
  <si>
    <t>1 oz of tequila blanco</t>
  </si>
  <si>
    <t>tequila blanco</t>
  </si>
  <si>
    <t>Oranje Blossom Honey</t>
  </si>
  <si>
    <t>10ml Navan Vanilla Liqueur</t>
  </si>
  <si>
    <t>Navan Vanilla Liqueur</t>
  </si>
  <si>
    <t>The Pink Man</t>
  </si>
  <si>
    <t>Raspberry vodka 1 oz</t>
  </si>
  <si>
    <t>Raspberry vodka</t>
  </si>
  <si>
    <t>Tequila Mimosa</t>
  </si>
  <si>
    <t>1 oz silver Tequila</t>
  </si>
  <si>
    <t>silver Tequila</t>
  </si>
  <si>
    <t>Pharaoh Cooler</t>
  </si>
  <si>
    <t>10.25 parts Blanco tequila</t>
  </si>
  <si>
    <t>Blanco tequila</t>
  </si>
  <si>
    <t>Blue Marlin</t>
  </si>
  <si>
    <t>John Collins</t>
  </si>
  <si>
    <t>Kermit</t>
  </si>
  <si>
    <t>1 ounce Banana Liqueur</t>
  </si>
  <si>
    <t>Staycation: A Chestnut Whiskey Sour</t>
  </si>
  <si>
    <t>34 oz fresh lemon juice</t>
  </si>
  <si>
    <t>Elephant Shake</t>
  </si>
  <si>
    <t>1 Cup Milk</t>
  </si>
  <si>
    <t>Bohemian Martini</t>
  </si>
  <si>
    <t>Im On Fire</t>
  </si>
  <si>
    <t>2 dashes Hot sauce</t>
  </si>
  <si>
    <t>sauce</t>
  </si>
  <si>
    <t>Large clear ice cube , for serving</t>
  </si>
  <si>
    <t>clear|cube</t>
  </si>
  <si>
    <t>Angry Pirate</t>
  </si>
  <si>
    <t>0.5 ounce simple syrup (1:1, sugar:water)</t>
  </si>
  <si>
    <t>(1:1, sugar:water)</t>
  </si>
  <si>
    <t>10 Caramel (Garnish)</t>
  </si>
  <si>
    <t>Veranda Vernacular: A Sweet Tea Cocktail</t>
  </si>
  <si>
    <t>Top with iced tea</t>
  </si>
  <si>
    <t>1 cup blackberries</t>
  </si>
  <si>
    <t>blackberries</t>
  </si>
  <si>
    <t>Bulleit Old Fashioned</t>
  </si>
  <si>
    <t>4 dashes orange bitters</t>
  </si>
  <si>
    <t>Sumatra Kula</t>
  </si>
  <si>
    <t>Cucumber Collins</t>
  </si>
  <si>
    <t>2 ounces soda water</t>
  </si>
  <si>
    <t>Mint Chip Ice Cream</t>
  </si>
  <si>
    <t>1 oz Dark Creme De Cacao</t>
  </si>
  <si>
    <t>Dark Creme De Cacao</t>
  </si>
  <si>
    <t>50ml Zacapa Ambar</t>
  </si>
  <si>
    <t>Zacapa Ambar</t>
  </si>
  <si>
    <t>Hot Blooded</t>
  </si>
  <si>
    <t>Frozen Aquavit</t>
  </si>
  <si>
    <t>Sexy Ocean Sunset Bomb</t>
  </si>
  <si>
    <t>Blue curacao 0.25 oz</t>
  </si>
  <si>
    <t>Mixed berry powerade 12 oz</t>
  </si>
  <si>
    <t>Mixed berry powerade</t>
  </si>
  <si>
    <t>Cool As Clarence</t>
  </si>
  <si>
    <t>1 ounce fresh honeydew melon juice</t>
  </si>
  <si>
    <t>honeydew melon juice</t>
  </si>
  <si>
    <t>(240ml lemonade 8 oz</t>
  </si>
  <si>
    <t>lemonade</t>
  </si>
  <si>
    <t>(240ml</t>
  </si>
  <si>
    <t>Blue Lemonade</t>
  </si>
  <si>
    <t>1 Splash Apple Juice</t>
  </si>
  <si>
    <t>Smoky Martini</t>
  </si>
  <si>
    <t>Yuzu Ramble</t>
  </si>
  <si>
    <t>0.75 part Yuzu juice</t>
  </si>
  <si>
    <t>Yuzu juice</t>
  </si>
  <si>
    <t>Butt Naked Kiwi</t>
  </si>
  <si>
    <t>2 oz Grain Alcohol</t>
  </si>
  <si>
    <t>The Flamingo</t>
  </si>
  <si>
    <t>Clamato Cocktail</t>
  </si>
  <si>
    <t>3 oz Tomato Juice</t>
  </si>
  <si>
    <t>Behind Enemy Razz</t>
  </si>
  <si>
    <t>1.5 oz Raspberry Rum</t>
  </si>
  <si>
    <t>Raspberry Rum</t>
  </si>
  <si>
    <t>The Bahama Mama</t>
  </si>
  <si>
    <t>Humuhumunukunukuapuaa</t>
  </si>
  <si>
    <t>2 dashes Creole bitters or Aromatic bitters or Tiki bitters</t>
  </si>
  <si>
    <t>Creole bitters or Aromatic bitters or Tiki bitters</t>
  </si>
  <si>
    <t>Broken Spur Cocktail</t>
  </si>
  <si>
    <t>1.5 oz Red Port</t>
  </si>
  <si>
    <t>Red Port</t>
  </si>
  <si>
    <t>Mullens Mai Tai</t>
  </si>
  <si>
    <t>1 tsp Orgeat Syrup</t>
  </si>
  <si>
    <t>Eichardts Bloody Mary</t>
  </si>
  <si>
    <t>Black Hawk</t>
  </si>
  <si>
    <t>10.25 parts Sloe gin</t>
  </si>
  <si>
    <t>Orange vodka 1 oz</t>
  </si>
  <si>
    <t>Cucumber Melon Margarita</t>
  </si>
  <si>
    <t>3 cubes of Fresh Cantaloupe</t>
  </si>
  <si>
    <t>Cantaloupe</t>
  </si>
  <si>
    <t>Bulldog Fishbowl</t>
  </si>
  <si>
    <t>1 Sugar Syrup</t>
  </si>
  <si>
    <t>Absinthe Suissesse</t>
  </si>
  <si>
    <t>1 dash orange flower water</t>
  </si>
  <si>
    <t>Chocolate Colada</t>
  </si>
  <si>
    <t>Chocolate ice cream 4 scoops</t>
  </si>
  <si>
    <t>Chocolate ice cream scoops</t>
  </si>
  <si>
    <t>El Bombin</t>
  </si>
  <si>
    <t>1 part Fresh Grapefruit Juice</t>
  </si>
  <si>
    <t>Australian Gin Fizz</t>
  </si>
  <si>
    <t>45ml Gordon's Gin</t>
  </si>
  <si>
    <t>Gordon's Gin</t>
  </si>
  <si>
    <t>Corpse Reviver</t>
  </si>
  <si>
    <t>0.75 oz Lillet Blanc</t>
  </si>
  <si>
    <t>Chinotto Fizz</t>
  </si>
  <si>
    <t>2 dashes coconut aminos, preferably Coconut Secret</t>
  </si>
  <si>
    <t>coconut aminos</t>
  </si>
  <si>
    <t>, preferably Coconut Secret</t>
  </si>
  <si>
    <t>Winter Milk Punch</t>
  </si>
  <si>
    <t>16 oz ginger peach iced tea</t>
  </si>
  <si>
    <t>ginger peach iced tea</t>
  </si>
  <si>
    <t>Cosmo-Style Pomegranate Martini</t>
  </si>
  <si>
    <t>2 fluid ounces citron vodka</t>
  </si>
  <si>
    <t>1 tbsp Milk</t>
  </si>
  <si>
    <t>Ray-Ray</t>
  </si>
  <si>
    <t>Death From Above</t>
  </si>
  <si>
    <t>0.25 part Black rum</t>
  </si>
  <si>
    <t>Black rum</t>
  </si>
  <si>
    <t>Sidewinders Fang</t>
  </si>
  <si>
    <t>3 parts Sparkling water</t>
  </si>
  <si>
    <t>Sgroppino</t>
  </si>
  <si>
    <t>0.33 part Pineapple juice</t>
  </si>
  <si>
    <t>Skittles Slushies</t>
  </si>
  <si>
    <t>Brandy Alexandra</t>
  </si>
  <si>
    <t>1 Scoop Ice</t>
  </si>
  <si>
    <t>Scoop Ice</t>
  </si>
  <si>
    <t>Red Headed Woodpecker</t>
  </si>
  <si>
    <t>2 oz Apple Juice</t>
  </si>
  <si>
    <t>The Fishbowl</t>
  </si>
  <si>
    <t>Coconut rum 6 oz</t>
  </si>
  <si>
    <t>Cranberry Martini</t>
  </si>
  <si>
    <t>1 tablespoon cranberries</t>
  </si>
  <si>
    <t>cranberries</t>
  </si>
  <si>
    <t>60 ml Premium Gin</t>
  </si>
  <si>
    <t>Premium Gin</t>
  </si>
  <si>
    <t>Mad World</t>
  </si>
  <si>
    <t>Sex on the Beach 3</t>
  </si>
  <si>
    <t>30 ml of Grenadine</t>
  </si>
  <si>
    <t>Wray &amp; Ting</t>
  </si>
  <si>
    <t>4 parts Grapefruit soda</t>
  </si>
  <si>
    <t>Grapefruit soda</t>
  </si>
  <si>
    <t>Roman Espresso Martini</t>
  </si>
  <si>
    <t>5ml Sambuca</t>
  </si>
  <si>
    <t>Bourbon and Water</t>
  </si>
  <si>
    <t>2 ounces bourbon whiskey</t>
  </si>
  <si>
    <t>Hawaii Mai Tai</t>
  </si>
  <si>
    <t>8 oz White Rum</t>
  </si>
  <si>
    <t>Bolo Cocktail</t>
  </si>
  <si>
    <t>Blue Lagoon Margarita</t>
  </si>
  <si>
    <t>1 fluid ounce blue curacao</t>
  </si>
  <si>
    <t>blue curacao</t>
  </si>
  <si>
    <t>Elf Elixir Cocktail</t>
  </si>
  <si>
    <t>Lime Wedges</t>
  </si>
  <si>
    <t>A True Amaretto Sour</t>
  </si>
  <si>
    <t>Coffee-Vodka</t>
  </si>
  <si>
    <t>2 cups Water</t>
  </si>
  <si>
    <t>Javelle Taft's 50/50 Martini</t>
  </si>
  <si>
    <t>1.5 ounces dry vermouth, preferably Dolin</t>
  </si>
  <si>
    <t>Lullaby NYCs Dole Whip Cocktail</t>
  </si>
  <si>
    <t>0.25 oz Jamaican rum</t>
  </si>
  <si>
    <t>Fresh Orange Juice</t>
  </si>
  <si>
    <t>Dog Biscuit</t>
  </si>
  <si>
    <t>Blanco Mojito</t>
  </si>
  <si>
    <t>1 Fresh limes (cut into small pieces)</t>
  </si>
  <si>
    <t xml:space="preserve">limes </t>
  </si>
  <si>
    <t>small pieces</t>
  </si>
  <si>
    <t>(cut into|)</t>
  </si>
  <si>
    <t>Baileys Birthday Cake Shot</t>
  </si>
  <si>
    <t>Spice Adams</t>
  </si>
  <si>
    <t>0.75 ounce lime stock (see Editor's Note)</t>
  </si>
  <si>
    <t>lime stock</t>
  </si>
  <si>
    <t>0.5 oz of Myers Dark rum</t>
  </si>
  <si>
    <t>Myers Dark rum</t>
  </si>
  <si>
    <t>10.5 parts Light rum or Aged rum or Pineapple rum</t>
  </si>
  <si>
    <t>Light rum|Aged rum|Pineapple rum</t>
  </si>
  <si>
    <t>Blushing Love</t>
  </si>
  <si>
    <t>Culiniaria</t>
  </si>
  <si>
    <t>Red Hot Valentines Shot</t>
  </si>
  <si>
    <t>Pearl dust</t>
  </si>
  <si>
    <t>Daiquiri Cocktail 2</t>
  </si>
  <si>
    <t>Bourbon Smash</t>
  </si>
  <si>
    <t>5 large mint leaves</t>
  </si>
  <si>
    <t>Cherry Pie Jello Shots</t>
  </si>
  <si>
    <t>Cinnamon schnapps 2 oz</t>
  </si>
  <si>
    <t>Cajun Martini</t>
  </si>
  <si>
    <t>1 Part White Vermouth</t>
  </si>
  <si>
    <t>Chocolate Maple Moo</t>
  </si>
  <si>
    <t>1 oz Milk</t>
  </si>
  <si>
    <t>Tie Me To The Bedpost 2</t>
  </si>
  <si>
    <t>Viniq Cosmo Cocktail</t>
  </si>
  <si>
    <t>1 Lime Wheel</t>
  </si>
  <si>
    <t>Valentines Day Chocolate Shot Glasses</t>
  </si>
  <si>
    <t>Hot pink candy melts</t>
  </si>
  <si>
    <t>pink candy melts</t>
  </si>
  <si>
    <t>Cranberry Simple Syrup</t>
  </si>
  <si>
    <t>Brandy Toddy</t>
  </si>
  <si>
    <t>Fuzzy Bunny</t>
  </si>
  <si>
    <t>2 oz Water</t>
  </si>
  <si>
    <t>Betty's Famous Eggnog</t>
  </si>
  <si>
    <t>0.5 bottle dark rum</t>
  </si>
  <si>
    <t>Double Chocolate Smores Martini</t>
  </si>
  <si>
    <t>White creme de cacao 0.75 oz</t>
  </si>
  <si>
    <t>White creme de cacao</t>
  </si>
  <si>
    <t>Prophet in Plain Clothes</t>
  </si>
  <si>
    <t>0.5 ounce Amaro Cinpatrazzo</t>
  </si>
  <si>
    <t>Amaro Cinpatrazzo</t>
  </si>
  <si>
    <t>3 oz of club soda</t>
  </si>
  <si>
    <t>Toast and Marmalade</t>
  </si>
  <si>
    <t>2 dashes Mole bitters or Chocolate bitters</t>
  </si>
  <si>
    <t>Mole bitters or Chocolate bitters</t>
  </si>
  <si>
    <t>Vanilla Honey Simple Syrup</t>
  </si>
  <si>
    <t>scant 0.5 ounce quinine simple syrup or cinchona syrup</t>
  </si>
  <si>
    <t>quinine simple syrup|cinchona syrup</t>
  </si>
  <si>
    <t>scant|or</t>
  </si>
  <si>
    <t>Orange Slice for Garnish</t>
  </si>
  <si>
    <t>for Garnish</t>
  </si>
  <si>
    <t>Lush Life: An Equal Parts Cocktail</t>
  </si>
  <si>
    <t>1 oz Dolin Genepy</t>
  </si>
  <si>
    <t>Dolin Genepy</t>
  </si>
  <si>
    <t>Bourbon Jam</t>
  </si>
  <si>
    <t>2 parts Sparkling water or Lemon-lime soda or Lemon soda</t>
  </si>
  <si>
    <t>Sparkling water|Lemon-lime soda|Lemon soda</t>
  </si>
  <si>
    <t>Blue Bohemian</t>
  </si>
  <si>
    <t>3 Part Herbal Liqueur</t>
  </si>
  <si>
    <t>1.5 ounce Campari</t>
  </si>
  <si>
    <t>2 ounces chilled Champagne, to be served on the side</t>
  </si>
  <si>
    <t>, to be served on the side</t>
  </si>
  <si>
    <t>Boiling water 6 oz</t>
  </si>
  <si>
    <t>Boiling water</t>
  </si>
  <si>
    <t>Porch Swing Tea</t>
  </si>
  <si>
    <t>70ml Jeremiah Weed Sweet Tea Country Peach Flavoured Vodka</t>
  </si>
  <si>
    <t>Jeremiah Weed Sweet Tea Country Peach Flavoured Vodka</t>
  </si>
  <si>
    <t>B.O.N.U.S.</t>
  </si>
  <si>
    <t>4 oz Citrus Soda</t>
  </si>
  <si>
    <t>Gin 1 oz</t>
  </si>
  <si>
    <t>Betsy's Old-Fashioned Manhattan</t>
  </si>
  <si>
    <t>1 dash maraschino cherry juice</t>
  </si>
  <si>
    <t>maraschino cherry juice</t>
  </si>
  <si>
    <t>Classy Kamikaze</t>
  </si>
  <si>
    <t>Lime wedge, to garnish</t>
  </si>
  <si>
    <t>Butter Baby</t>
  </si>
  <si>
    <t>1 part Butterscotch schnapps</t>
  </si>
  <si>
    <t>1 slice fresh lemon</t>
  </si>
  <si>
    <t>Cognac Highball</t>
  </si>
  <si>
    <t>1 Lemon</t>
  </si>
  <si>
    <t>Catamaran</t>
  </si>
  <si>
    <t>Miami Nice</t>
  </si>
  <si>
    <t>1.5 ounces aged rum, preferably Santa Teresa 1796</t>
  </si>
  <si>
    <t>, preferably Santa Teresa 1796</t>
  </si>
  <si>
    <t>Sauza Cilantro Jalapeno Margarita</t>
  </si>
  <si>
    <t>1.5 parts Sauza Blue 100% Agave Blanco Tequila</t>
  </si>
  <si>
    <t>Sauza Blue 100% Agave Blanco Tequila</t>
  </si>
  <si>
    <t>The Boulevardier</t>
  </si>
  <si>
    <t>Bourbon 1.5 oz</t>
  </si>
  <si>
    <t>0.75 fluid ounce fresh lemon juice</t>
  </si>
  <si>
    <t>Baileys Hot Chocolate</t>
  </si>
  <si>
    <t>1 Chocolate Dust (Garnish)</t>
  </si>
  <si>
    <t>Chocolate Dust</t>
  </si>
  <si>
    <t>2 cl gin</t>
  </si>
  <si>
    <t>Sweet revenge 2 bottles</t>
  </si>
  <si>
    <t>Sweet revenge</t>
  </si>
  <si>
    <t>0.25 cup agave nectar</t>
  </si>
  <si>
    <t>The Tribute Cocktail</t>
  </si>
  <si>
    <t>.75 oz Jamaican Rum</t>
  </si>
  <si>
    <t>Pina Colada Refresher</t>
  </si>
  <si>
    <t>3 parts coconut water</t>
  </si>
  <si>
    <t>2 limes</t>
  </si>
  <si>
    <t>3cl Triple Sec</t>
  </si>
  <si>
    <t>Classic Whiskey Manhattan Recipe with Variations</t>
  </si>
  <si>
    <t>2 ounces rye whiskey or bourbon or Canadian whiskey</t>
  </si>
  <si>
    <t>rye whiskey|bourbon|Canadian whiskey</t>
  </si>
  <si>
    <t>2 and a half slices of lavender syrup infused fresh lemon</t>
  </si>
  <si>
    <t>lavender syrup infused lemon</t>
  </si>
  <si>
    <t>and a half|of</t>
  </si>
  <si>
    <t>Calypso Cooler</t>
  </si>
  <si>
    <t>La Florida</t>
  </si>
  <si>
    <t>1 cl dry vermouth</t>
  </si>
  <si>
    <t>Rum Bongo</t>
  </si>
  <si>
    <t>50 ml Orange Juice</t>
  </si>
  <si>
    <t>Toro Rojo</t>
  </si>
  <si>
    <t>1 Lime</t>
  </si>
  <si>
    <t>Sleepy Hollow Sour</t>
  </si>
  <si>
    <t>Skittles Martini</t>
  </si>
  <si>
    <t>Skittles infused vodka 2 oz</t>
  </si>
  <si>
    <t>Skittles infused vodka</t>
  </si>
  <si>
    <t>2 Apples</t>
  </si>
  <si>
    <t>Apples</t>
  </si>
  <si>
    <t>Small Bomb 2</t>
  </si>
  <si>
    <t>Classic Gin Sour</t>
  </si>
  <si>
    <t>Calvados Daiquiri From Bar Chinois</t>
  </si>
  <si>
    <t>2 oz Calvados</t>
  </si>
  <si>
    <t>Calvados</t>
  </si>
  <si>
    <t>Strawberries and Cream</t>
  </si>
  <si>
    <t>20ml Strawberry Syrup</t>
  </si>
  <si>
    <t>Strawberry Syrup</t>
  </si>
  <si>
    <t>Lazy Bird's Hemingway Daiquiri</t>
  </si>
  <si>
    <t>Extra Dry Martini</t>
  </si>
  <si>
    <t>Lemon twist for garnish</t>
  </si>
  <si>
    <t>50 Baileys</t>
  </si>
  <si>
    <t>Scotch Sour</t>
  </si>
  <si>
    <t>0.5 slice Lemon</t>
  </si>
  <si>
    <t>Sotol Cocktail: Beatriz</t>
  </si>
  <si>
    <t>Woo Woo</t>
  </si>
  <si>
    <t>Apple Gin Fizz</t>
  </si>
  <si>
    <t>Watermelon Pucker</t>
  </si>
  <si>
    <t>0.33 part DeKuyper Pucker Sour Apple Schnapps</t>
  </si>
  <si>
    <t>Le Grand Sunset</t>
  </si>
  <si>
    <t>Michael Madrusans Death &amp; Taxes Cocktail</t>
  </si>
  <si>
    <t>Three Wise Men 2</t>
  </si>
  <si>
    <t>1 part Herbal Liqueur</t>
  </si>
  <si>
    <t>Bulldog Cooler</t>
  </si>
  <si>
    <t>2 oz Orange Liqueur</t>
  </si>
  <si>
    <t>Campfire Cola</t>
  </si>
  <si>
    <t>Golden Colada</t>
  </si>
  <si>
    <t>Bourbon Derby</t>
  </si>
  <si>
    <t>0.5 oz Sweet Vermouth</t>
  </si>
  <si>
    <t>Club soda , to top</t>
  </si>
  <si>
    <t>Surfer on Acid Shot</t>
  </si>
  <si>
    <t>2 ounces orange vodka, preferably Grey Goose LOrange</t>
  </si>
  <si>
    <t>orange vodka</t>
  </si>
  <si>
    <t>, preferably Grey Goose LOrange</t>
  </si>
  <si>
    <t>Door 74</t>
  </si>
  <si>
    <t>1 dash Creole bitters</t>
  </si>
  <si>
    <t>Deer Hunter</t>
  </si>
  <si>
    <t>Nekokaburi</t>
  </si>
  <si>
    <t>1.75 ounces kinako-infused mezcal, preferably Del Maguey Vida (see Editor's Note)</t>
  </si>
  <si>
    <t>kinako-infused mezcal</t>
  </si>
  <si>
    <t>preferably Del Maguey Vida (see Editor's Note)</t>
  </si>
  <si>
    <t>Leaky Coconut</t>
  </si>
  <si>
    <t>1 oz Jamaican Rum - I used Appelton V/X</t>
  </si>
  <si>
    <t>Jolly Rancher Edible Straw</t>
  </si>
  <si>
    <t>Non stick spray</t>
  </si>
  <si>
    <t>Goldie</t>
  </si>
  <si>
    <t>Melon Sour</t>
  </si>
  <si>
    <t>2 oz Bols Melon</t>
  </si>
  <si>
    <t>Bols Melon</t>
  </si>
  <si>
    <t>Apocalypse Now</t>
  </si>
  <si>
    <t>10 ml Dry Vermouth</t>
  </si>
  <si>
    <t>Ocean Side</t>
  </si>
  <si>
    <t>1 pinch Salt or Celery salt</t>
  </si>
  <si>
    <t>Salt|Celery salt</t>
  </si>
  <si>
    <t>Spiced Cocoa</t>
  </si>
  <si>
    <t>Pinch of Salt</t>
  </si>
  <si>
    <t>The Skull Eyeball Cocktail</t>
  </si>
  <si>
    <t>Tonic water 1 oz</t>
  </si>
  <si>
    <t>Classic Spanish Red Wine Sangria</t>
  </si>
  <si>
    <t>2 bottles red wine</t>
  </si>
  <si>
    <t>red wine</t>
  </si>
  <si>
    <t>Angelo Azzurro</t>
  </si>
  <si>
    <t>10 ml Rum</t>
  </si>
  <si>
    <t>Klingon Battlejuice</t>
  </si>
  <si>
    <t>1 Dashes Vitamin C</t>
  </si>
  <si>
    <t>Vitamin C</t>
  </si>
  <si>
    <t>Remember the Maine</t>
  </si>
  <si>
    <t>2 parts Bourbon or Rye whiskey</t>
  </si>
  <si>
    <t>4 Bing Cherries</t>
  </si>
  <si>
    <t>Bing Cherries</t>
  </si>
  <si>
    <t>1 fluid ounce coconut-flavored rum</t>
  </si>
  <si>
    <t>coconut-flavored rum</t>
  </si>
  <si>
    <t>Dr Jack</t>
  </si>
  <si>
    <t>fill with Pepper Soda</t>
  </si>
  <si>
    <t>Bruja Mexicana</t>
  </si>
  <si>
    <t>fill with Soda Water</t>
  </si>
  <si>
    <t>Sleeping Lotus</t>
  </si>
  <si>
    <t>2 ounces dry gin</t>
  </si>
  <si>
    <t>Calvados Cream</t>
  </si>
  <si>
    <t>1 tsp Pineapple Syrup</t>
  </si>
  <si>
    <t>Pineapple Syrup</t>
  </si>
  <si>
    <t>Cardinal</t>
  </si>
  <si>
    <t>1 tsp Triple Sec</t>
  </si>
  <si>
    <t>Apple Sour Bourbon Cocktail</t>
  </si>
  <si>
    <t>Cognac Queen</t>
  </si>
  <si>
    <t>0.75 ounce strawberry lavender syrup (see Editor's Note)</t>
  </si>
  <si>
    <t>strawberry lavender syrup</t>
  </si>
  <si>
    <t>3 parts Soda Water</t>
  </si>
  <si>
    <t>Rock Candy Stick</t>
  </si>
  <si>
    <t>1 Pinch Superfine Sugar</t>
  </si>
  <si>
    <t>Angostura Colada 3.0</t>
  </si>
  <si>
    <t>1.5 ounces coconut mix</t>
  </si>
  <si>
    <t>coconut mix</t>
  </si>
  <si>
    <t>Classic Pina Colada Recipe</t>
  </si>
  <si>
    <t>Sipsmith London Dry Gin</t>
  </si>
  <si>
    <t>0.75 oz Orange Juice</t>
  </si>
  <si>
    <t>2 cups gin</t>
  </si>
  <si>
    <t>Raspberry Tonic</t>
  </si>
  <si>
    <t>Kagano</t>
  </si>
  <si>
    <t>0.25 ounce banana liqueur</t>
  </si>
  <si>
    <t>10.5 oz Cognac</t>
  </si>
  <si>
    <t>Tequila Sunrise</t>
  </si>
  <si>
    <t>Red Velvet Cake Martini</t>
  </si>
  <si>
    <t>2 dashes tabasco sauce</t>
  </si>
  <si>
    <t>tabasco sauce</t>
  </si>
  <si>
    <t>Nite Kappa</t>
  </si>
  <si>
    <t>Milk &amp; Cookies Shot</t>
  </si>
  <si>
    <t>1 Tonic water top up</t>
  </si>
  <si>
    <t>top up</t>
  </si>
  <si>
    <t>Sparkling Fall Sangria</t>
  </si>
  <si>
    <t>Pears</t>
  </si>
  <si>
    <t>Orange Starburst Margarita</t>
  </si>
  <si>
    <t>Starburst infused tequila 2 oz</t>
  </si>
  <si>
    <t>Starburst infused tequila</t>
  </si>
  <si>
    <t>Viering</t>
  </si>
  <si>
    <t>0.75 ounce cinnamon syrup, preferably BG Reynolds</t>
  </si>
  <si>
    <t>, preferably BG Reynolds</t>
  </si>
  <si>
    <t>0.67 cup packed brown sugar</t>
  </si>
  <si>
    <t>Blue Ball</t>
  </si>
  <si>
    <t>Peach Cosmos</t>
  </si>
  <si>
    <t>0.5 fluid ounce orange liqueur, such as Triple Sec</t>
  </si>
  <si>
    <t>, such as Triple Sec</t>
  </si>
  <si>
    <t>Skittles Margarita</t>
  </si>
  <si>
    <t>Skittles infused tequila 2 oz</t>
  </si>
  <si>
    <t>Skittles infused tequila</t>
  </si>
  <si>
    <t>Hot Dick</t>
  </si>
  <si>
    <t>4 oz Hot Coffee</t>
  </si>
  <si>
    <t>Orange Juice Ice Cubes</t>
  </si>
  <si>
    <t>375 milliliters rum, preferably Real McCoy 5 Year Barbados Rum</t>
  </si>
  <si>
    <t>, preferably Real McCoy 5 Year Barbados Rum</t>
  </si>
  <si>
    <t>Dash of angostura bitters</t>
  </si>
  <si>
    <t>angostura bitters</t>
  </si>
  <si>
    <t>Green Ghoul</t>
  </si>
  <si>
    <t>5 Black Liquorice Strands</t>
  </si>
  <si>
    <t>Black Liquorice Strands</t>
  </si>
  <si>
    <t>Frozen Cappuccino</t>
  </si>
  <si>
    <t>Colonial Ties</t>
  </si>
  <si>
    <t>Pe de Cabra</t>
  </si>
  <si>
    <t>Milk 8 oz</t>
  </si>
  <si>
    <t>The Big Jamo Cocktail</t>
  </si>
  <si>
    <t>High Kick</t>
  </si>
  <si>
    <t>1 dash Absinthe</t>
  </si>
  <si>
    <t>Coffee Cream</t>
  </si>
  <si>
    <t>1 oz of coconut rum</t>
  </si>
  <si>
    <t>1 oz of Orange Juice</t>
  </si>
  <si>
    <t>1 part Moscato</t>
  </si>
  <si>
    <t>3  4 oz Ginger Ale</t>
  </si>
  <si>
    <t>Strawberry vodka 1 oz</t>
  </si>
  <si>
    <t>Dubonnet Cocktail</t>
  </si>
  <si>
    <t>0.75 oz Gin</t>
  </si>
  <si>
    <t>3 Strawberries</t>
  </si>
  <si>
    <t>Hateful 8</t>
  </si>
  <si>
    <t>0.25 ounce Cynar</t>
  </si>
  <si>
    <t>Bitter Spritz</t>
  </si>
  <si>
    <t>Pineapple Mojito Recipe</t>
  </si>
  <si>
    <t>0.5 cup pineapple juice</t>
  </si>
  <si>
    <t>Tipperary</t>
  </si>
  <si>
    <t>1.5 ounces Irish whiskey</t>
  </si>
  <si>
    <t>Blue Bird</t>
  </si>
  <si>
    <t>1.3 oz Bols Blue 1575</t>
  </si>
  <si>
    <t>Laurie's Favorite</t>
  </si>
  <si>
    <t>The Brandy Cocktail</t>
  </si>
  <si>
    <t>Lemon peel, for garnish</t>
  </si>
  <si>
    <t>Breakfast in Hell</t>
  </si>
  <si>
    <t>Whiskey Sling</t>
  </si>
  <si>
    <t>2 oz Blended Whiskey</t>
  </si>
  <si>
    <t>Blended Whiskey</t>
  </si>
  <si>
    <t>Bob Marley</t>
  </si>
  <si>
    <t>0.5 oz Midori melon liqueur</t>
  </si>
  <si>
    <t>Angel`s Kiss 2</t>
  </si>
  <si>
    <t>4 oz Hazelnut Liqueur</t>
  </si>
  <si>
    <t>Angle Park</t>
  </si>
  <si>
    <t>6 dash of bitters</t>
  </si>
  <si>
    <t>Apple Blossom</t>
  </si>
  <si>
    <t>2 oz of apple juice</t>
  </si>
  <si>
    <t>Absolut Stress #2</t>
  </si>
  <si>
    <t>0.5 oz Coconut liqueur</t>
  </si>
  <si>
    <t>Coconut liqueur</t>
  </si>
  <si>
    <t>Traditional Red Sangria</t>
  </si>
  <si>
    <t>Leprechauns Delight</t>
  </si>
  <si>
    <t>1 Cherry for garnish</t>
  </si>
  <si>
    <t>10ml Pineapple juice</t>
  </si>
  <si>
    <t>Strawberry Dream 2</t>
  </si>
  <si>
    <t>Bright Lights</t>
  </si>
  <si>
    <t>0.5 ounce sotol (such as Sotol Por Siempre)</t>
  </si>
  <si>
    <t>(such as Sotol Por Siempre)</t>
  </si>
  <si>
    <t>fresh pineapple weges and fronds, for garnish</t>
  </si>
  <si>
    <t>pineapple weges|fronds</t>
  </si>
  <si>
    <t>and|, for garnish</t>
  </si>
  <si>
    <t>Floridita Oranje</t>
  </si>
  <si>
    <t>Fuzzy Nipple</t>
  </si>
  <si>
    <t>1 Dash Triple Sec</t>
  </si>
  <si>
    <t>Baby Fingers Cocktail</t>
  </si>
  <si>
    <t>House of Balloons: A Vodka Cocktail</t>
  </si>
  <si>
    <t>Coffee liqueur 1 oz</t>
  </si>
  <si>
    <t>Milkwashing: Scotch and Soda</t>
  </si>
  <si>
    <t>90ml fresh lemon juice</t>
  </si>
  <si>
    <t>Raspberry Rum Sorbet</t>
  </si>
  <si>
    <t>Ice 2 cups</t>
  </si>
  <si>
    <t>Aqua Fodie</t>
  </si>
  <si>
    <t>Country Peach &amp; Ginger Tea Smash</t>
  </si>
  <si>
    <t>Country Life</t>
  </si>
  <si>
    <t>0.75 ounce tawny port, preferably Porto Kopke Fine Tawny</t>
  </si>
  <si>
    <t>tawny port</t>
  </si>
  <si>
    <t>, preferably Porto Kopke Fine Tawny</t>
  </si>
  <si>
    <t>Ripley's Bloody Mary Mix for Canning</t>
  </si>
  <si>
    <t>4 green bell peppers, chopped</t>
  </si>
  <si>
    <t>green bell peppers</t>
  </si>
  <si>
    <t>chopped</t>
  </si>
  <si>
    <t>Caribe Cocktail</t>
  </si>
  <si>
    <t>0.25 oz Dark Rum</t>
  </si>
  <si>
    <t>Washington Apple</t>
  </si>
  <si>
    <t>2 oz of Dekuyper Sour Apple Pucker</t>
  </si>
  <si>
    <t>Dekuyper Sour Apple Pucker</t>
  </si>
  <si>
    <t>Boulevardier</t>
  </si>
  <si>
    <t>Brooklyn</t>
  </si>
  <si>
    <t>Garnish: Luxardo maraschino cherry</t>
  </si>
  <si>
    <t>Luxardo maraschino cherry</t>
  </si>
  <si>
    <t>The Pan-Asian G &amp; T</t>
  </si>
  <si>
    <t>1 Stick of Lemongrass (Garnish)</t>
  </si>
  <si>
    <t>Stick</t>
  </si>
  <si>
    <t>Lemongrass</t>
  </si>
  <si>
    <t>Screwed Banana</t>
  </si>
  <si>
    <t>Patels Special</t>
  </si>
  <si>
    <t>1 Part Pineapple Juice</t>
  </si>
  <si>
    <t>Amaretto Mule</t>
  </si>
  <si>
    <t>1 oz Bols Amaretto</t>
  </si>
  <si>
    <t>Bols Amaretto</t>
  </si>
  <si>
    <t>Blackberry Cocktail: Daddy Dont Make Dinner</t>
  </si>
  <si>
    <t>Act a Fool</t>
  </si>
  <si>
    <t>0.25 ounce Spanish moscatel</t>
  </si>
  <si>
    <t>Spanish moscatel</t>
  </si>
  <si>
    <t>Basque Bamboo</t>
  </si>
  <si>
    <t>1 ounce fino-style sherry, preferably Gomez Nevado Palido Sierra Morena Seco</t>
  </si>
  <si>
    <t>fino-style sherry</t>
  </si>
  <si>
    <t>, preferably Gomez Nevado Palido Sierra Morena Seco</t>
  </si>
  <si>
    <t>LyAnna Sanabria's Coquito</t>
  </si>
  <si>
    <t>2 14-ounce cans coconut milk</t>
  </si>
  <si>
    <t>2|14</t>
  </si>
  <si>
    <t>cans coconut milk</t>
  </si>
  <si>
    <t>Tropical Rum Party Punch</t>
  </si>
  <si>
    <t>Yoghurt Cooler</t>
  </si>
  <si>
    <t>1 dashes Orange Bitters</t>
  </si>
  <si>
    <t>Monkey Brain Shot</t>
  </si>
  <si>
    <t>Irish cream 0.67 oz</t>
  </si>
  <si>
    <t>2 pinches cardamom</t>
  </si>
  <si>
    <t>pinches cardamom</t>
  </si>
  <si>
    <t>2 dashes Chocolate Bitters</t>
  </si>
  <si>
    <t>Chocolate Bitters</t>
  </si>
  <si>
    <t>Brave Bull</t>
  </si>
  <si>
    <t>1.25 oz of Sauza Hornitos tequila</t>
  </si>
  <si>
    <t>Sauza Hornitos tequila</t>
  </si>
  <si>
    <t>3 lime wedges, divided</t>
  </si>
  <si>
    <t>37.5 ml Lime Juice</t>
  </si>
  <si>
    <t>Banoffee</t>
  </si>
  <si>
    <t>0.25 whole Banana</t>
  </si>
  <si>
    <t>Bermuda Triangle</t>
  </si>
  <si>
    <t>1.25 quarts whole milk</t>
  </si>
  <si>
    <t>Bywater</t>
  </si>
  <si>
    <t>0.5 ounce green Chartreuse</t>
  </si>
  <si>
    <t>Muppet Juice: A Chamomile Cocktail</t>
  </si>
  <si>
    <t>Fuzzy Asshole</t>
  </si>
  <si>
    <t>0.5 Peach schnapps</t>
  </si>
  <si>
    <t>Betsy Ross Cocktail</t>
  </si>
  <si>
    <t>Cafe Amore</t>
  </si>
  <si>
    <t>Shaved Almonds</t>
  </si>
  <si>
    <t>Legent Sea 'New' Fashioned</t>
  </si>
  <si>
    <t>3 dashes Orange Bitters</t>
  </si>
  <si>
    <t>Garnish: cilantro</t>
  </si>
  <si>
    <t>cilantro</t>
  </si>
  <si>
    <t>Chi Chi Drink</t>
  </si>
  <si>
    <t>2 ounces cream of coconut</t>
  </si>
  <si>
    <t>cream coconut</t>
  </si>
  <si>
    <t>Orange Sherbet Mimosa</t>
  </si>
  <si>
    <t>Albysjon</t>
  </si>
  <si>
    <t>Smirnoff ice 1 part</t>
  </si>
  <si>
    <t>Smirnoff ice</t>
  </si>
  <si>
    <t>Baileys Chocolat Luxe Mocha Mint Martini</t>
  </si>
  <si>
    <t>25ml Smirnoff Vodka</t>
  </si>
  <si>
    <t>Smirnoff Vodka</t>
  </si>
  <si>
    <t>Sea Fizz</t>
  </si>
  <si>
    <t>1 tbsp Lemon Juice</t>
  </si>
  <si>
    <t>Last-Minute Mulled Wine</t>
  </si>
  <si>
    <t>Garnish: 6 cinnamon sticks</t>
  </si>
  <si>
    <t>Martini Italiano</t>
  </si>
  <si>
    <t>15ml Aperol</t>
  </si>
  <si>
    <t>0.5 ounce rich cane syrup (2:1, turbinado sugar to water)</t>
  </si>
  <si>
    <t>rich cane syrup</t>
  </si>
  <si>
    <t>(2:1, turbinado sugar to water)</t>
  </si>
  <si>
    <t>Zivah Cocktail From Bavel</t>
  </si>
  <si>
    <t>Mango Margarita Popsicles</t>
  </si>
  <si>
    <t>Mango nectar 3 oz</t>
  </si>
  <si>
    <t>Smirnoff Green Apple and Lemonade</t>
  </si>
  <si>
    <t>50ml Smirnoff Green Apple Vodka</t>
  </si>
  <si>
    <t>Smirnoff Green Apple Vodka</t>
  </si>
  <si>
    <t>Basil-ica</t>
  </si>
  <si>
    <t>4 large Basil leaves</t>
  </si>
  <si>
    <t>Basil leaves</t>
  </si>
  <si>
    <t>Rum 1 oz</t>
  </si>
  <si>
    <t>Satans Whiskers</t>
  </si>
  <si>
    <t>0.5 parts Sweet vermouth</t>
  </si>
  <si>
    <t>Charro Negro</t>
  </si>
  <si>
    <t>4 Ice Cubes</t>
  </si>
  <si>
    <t>Peak's Peach</t>
  </si>
  <si>
    <t>Nuclear Reactor Shot</t>
  </si>
  <si>
    <t>El Quijotes Red Sangria</t>
  </si>
  <si>
    <t>3 ounces Bonanto Aperitivo</t>
  </si>
  <si>
    <t>Bonanto Aperitivo</t>
  </si>
  <si>
    <t>2 to 3 ounces club soda, to taste</t>
  </si>
  <si>
    <t>Apple Rum Cooler</t>
  </si>
  <si>
    <t>1.5 oz Aged Rum</t>
  </si>
  <si>
    <t>Aged Rum</t>
  </si>
  <si>
    <t>Irish Blackthorn</t>
  </si>
  <si>
    <t>1.5 oz Sweet Vermouth</t>
  </si>
  <si>
    <t>Blue Ricardo</t>
  </si>
  <si>
    <t>Mortlach 18 and Dark Chocolate</t>
  </si>
  <si>
    <t>50ml Mortlach 18</t>
  </si>
  <si>
    <t>Mortlach 18</t>
  </si>
  <si>
    <t>0.25 oz Sugar Syrup</t>
  </si>
  <si>
    <t>2 Apple Slices (Garnish)</t>
  </si>
  <si>
    <t>Red Wine Brownie Cookies</t>
  </si>
  <si>
    <t>0.5 cup natural, unsweetened cocoa powder, sifted</t>
  </si>
  <si>
    <t>natural, unsweetened cocoa powder, sifted</t>
  </si>
  <si>
    <t>Zero Proof Tropical Punch</t>
  </si>
  <si>
    <t>1 oz Langer's Mongo Mango Juice</t>
  </si>
  <si>
    <t>Langer's Mongo Mango Juice</t>
  </si>
  <si>
    <t>Raspberry kiss</t>
  </si>
  <si>
    <t>750 ml Sparkling White Wine</t>
  </si>
  <si>
    <t>Sparkling White Wine</t>
  </si>
  <si>
    <t>1 oz Fresh Lime Juice</t>
  </si>
  <si>
    <t>Southside</t>
  </si>
  <si>
    <t>2 dashes Grapefruit Bitters</t>
  </si>
  <si>
    <t>Wild Berry Spritz</t>
  </si>
  <si>
    <t>Garnish with a blackberry and a raspberry (optional).</t>
  </si>
  <si>
    <t>blackberry|raspberry</t>
  </si>
  <si>
    <t>Garnish with a|and a|(optional).</t>
  </si>
  <si>
    <t>Chucks Irish Bomb</t>
  </si>
  <si>
    <t>4 oz Energy Soda</t>
  </si>
  <si>
    <t>Poncha Regional</t>
  </si>
  <si>
    <t>0.5 teaspoon white sugar</t>
  </si>
  <si>
    <t>La Concha, A Tropical Cocktail</t>
  </si>
  <si>
    <t>1 oz coconut water</t>
  </si>
  <si>
    <t>White Camel's Milk</t>
  </si>
  <si>
    <t>5ml Sugar syrup</t>
  </si>
  <si>
    <t>Frozen Margarita Slushie</t>
  </si>
  <si>
    <t>Skinny Margarita</t>
  </si>
  <si>
    <t>Lime juice 2 tbsp</t>
  </si>
  <si>
    <t>Nudge</t>
  </si>
  <si>
    <t>Cheese Sandwich</t>
  </si>
  <si>
    <t>White Wine Peach Sangria</t>
  </si>
  <si>
    <t>2 fluid ounces club soda</t>
  </si>
  <si>
    <t>Jolteon Pokemon Cocktail</t>
  </si>
  <si>
    <t>2 oz white or Red wine</t>
  </si>
  <si>
    <t>white|Red wine</t>
  </si>
  <si>
    <t>2 ounces ginger syrup, preferably Monin</t>
  </si>
  <si>
    <t>, preferably Monin</t>
  </si>
  <si>
    <t>Crimean Cocktail</t>
  </si>
  <si>
    <t>2 oz Dry White Wine</t>
  </si>
  <si>
    <t>Dry White Wine</t>
  </si>
  <si>
    <t>Peach raspberry grand marnier 0.5 oz</t>
  </si>
  <si>
    <t>Peach raspberry grand marnier</t>
  </si>
  <si>
    <t>Tanqueray No. Ten Grapefruit Collins</t>
  </si>
  <si>
    <t>35ml Pink Grapefruit Juice</t>
  </si>
  <si>
    <t>Watermelon juice 2 oz</t>
  </si>
  <si>
    <t>Blackberry Bourbon Smash</t>
  </si>
  <si>
    <t>Orange Splash</t>
  </si>
  <si>
    <t>1.5 oz of Burnett's orange vodka</t>
  </si>
  <si>
    <t>Burnett's orange vodka</t>
  </si>
  <si>
    <t>Black Stuff</t>
  </si>
  <si>
    <t>.5  2 oz Tea</t>
  </si>
  <si>
    <t>.5|2</t>
  </si>
  <si>
    <t>Rustaveli</t>
  </si>
  <si>
    <t>1 ounce sweet Italian vermouth</t>
  </si>
  <si>
    <t>sweet Italian vermouth</t>
  </si>
  <si>
    <t>Spiced Maple Margarita</t>
  </si>
  <si>
    <t>1 Lime Wedge (to garnish)</t>
  </si>
  <si>
    <t>(to garnish)</t>
  </si>
  <si>
    <t>Alaine Cocktail</t>
  </si>
  <si>
    <t>The Sun</t>
  </si>
  <si>
    <t>Amalfi Frappe</t>
  </si>
  <si>
    <t>0.75 oz Strega</t>
  </si>
  <si>
    <t>Whiskey Highball</t>
  </si>
  <si>
    <t>2 ounces whiskey</t>
  </si>
  <si>
    <t>Cicatrizs Carajillo</t>
  </si>
  <si>
    <t>0.75 ounce Licor 43</t>
  </si>
  <si>
    <t>Licor 43</t>
  </si>
  <si>
    <t>Bramble Spritz</t>
  </si>
  <si>
    <t>25ml Tanqueray London Dry Gin</t>
  </si>
  <si>
    <t>Mezcal Bobby Burns</t>
  </si>
  <si>
    <t>Greentini</t>
  </si>
  <si>
    <t>37.5 ml Melon Liqueur</t>
  </si>
  <si>
    <t>Thousand-year Highball</t>
  </si>
  <si>
    <t>40ml Gordons London Dry Gin</t>
  </si>
  <si>
    <t>Gordons London Dry Gin</t>
  </si>
  <si>
    <t>1 750mL bottle VS cognac or other brandy</t>
  </si>
  <si>
    <t>VS cognac</t>
  </si>
  <si>
    <t>1|bottle|or other brandy</t>
  </si>
  <si>
    <t>Sparkling Bees Knees</t>
  </si>
  <si>
    <t>Polish Kogel Mogel</t>
  </si>
  <si>
    <t>Coarsely chopped nuts, optional, to taste</t>
  </si>
  <si>
    <t xml:space="preserve"> nuts</t>
  </si>
  <si>
    <t>Coarsely|chopped</t>
  </si>
  <si>
    <t>, optional, to taste</t>
  </si>
  <si>
    <t>Miami Vice Milk Punch</t>
  </si>
  <si>
    <t>3 oz aged barbados rum</t>
  </si>
  <si>
    <t>aged barbados rum</t>
  </si>
  <si>
    <t>dash of Champagne</t>
  </si>
  <si>
    <t>Black Barrel Old Fashioned</t>
  </si>
  <si>
    <t>Green Carnation</t>
  </si>
  <si>
    <t>splash of Benedictine</t>
  </si>
  <si>
    <t>Dirty Russian</t>
  </si>
  <si>
    <t>4.5 oz Eggnog</t>
  </si>
  <si>
    <t>Eggnog</t>
  </si>
  <si>
    <t>Beer Margarita</t>
  </si>
  <si>
    <t>8 fluid ounces vodka</t>
  </si>
  <si>
    <t>Queens Park Swizzle</t>
  </si>
  <si>
    <t>2 ounces demerara rum</t>
  </si>
  <si>
    <t>Blue Moon Mango Margarita</t>
  </si>
  <si>
    <t>2 cl sweet vermouth - I used Dolin Rouge</t>
  </si>
  <si>
    <t>Canadian Blackberry</t>
  </si>
  <si>
    <t>2 oz Whiskey</t>
  </si>
  <si>
    <t>Berry Fusion Martini</t>
  </si>
  <si>
    <t>1 oz Blackcurrant Vodka</t>
  </si>
  <si>
    <t>Blackcurrant Vodka</t>
  </si>
  <si>
    <t>Orang-A-Tang</t>
  </si>
  <si>
    <t>Chocolate Snow Bear</t>
  </si>
  <si>
    <t>Midnight Cowboys Lindseys Lament</t>
  </si>
  <si>
    <t>1 oz Becherovka</t>
  </si>
  <si>
    <t>Becherovka</t>
  </si>
  <si>
    <t>Non-Alcoholic Spiced Sparkling Cider</t>
  </si>
  <si>
    <t>apple slices for garnish (optional)</t>
  </si>
  <si>
    <t>for garnish, (optional)</t>
  </si>
  <si>
    <t>Call Me Old Fashioned</t>
  </si>
  <si>
    <t>0.25 oz Demerara syrup</t>
  </si>
  <si>
    <t>U-Boat</t>
  </si>
  <si>
    <t>Jagermeister 1.5 oz</t>
  </si>
  <si>
    <t>Pineapple Hurricane</t>
  </si>
  <si>
    <t>1 fluid ounce dark rum</t>
  </si>
  <si>
    <t>Half and half milk 2 oz</t>
  </si>
  <si>
    <t>Half and half milk</t>
  </si>
  <si>
    <t>Widows Kiss Cocktail</t>
  </si>
  <si>
    <t>2 oz apple brandy</t>
  </si>
  <si>
    <t>DIY Caramel Vodka</t>
  </si>
  <si>
    <t>Butterscotch schnapps 1 oz</t>
  </si>
  <si>
    <t>0.75 ounce gold rum</t>
  </si>
  <si>
    <t>gold rum</t>
  </si>
  <si>
    <t>Blood &amp; Sand</t>
  </si>
  <si>
    <t>0.75 ounce orange juice , freshly squeezed</t>
  </si>
  <si>
    <t>Auburn Headbanger</t>
  </si>
  <si>
    <t>1 oz Goldschlager</t>
  </si>
  <si>
    <t>Baltra Cocktail: Malus</t>
  </si>
  <si>
    <t>0.25 oz spiced syrup</t>
  </si>
  <si>
    <t>spiced syrup</t>
  </si>
  <si>
    <t>Yacht Club Daiquiri</t>
  </si>
  <si>
    <t>0.25 oz velvet falernum</t>
  </si>
  <si>
    <t>750 ml. of vodka</t>
  </si>
  <si>
    <t>ml.</t>
  </si>
  <si>
    <t>Arkansas Razorback</t>
  </si>
  <si>
    <t>The Summer Friday</t>
  </si>
  <si>
    <t>Blood Orange, Slice</t>
  </si>
  <si>
    <t>25ml Club Soda</t>
  </si>
  <si>
    <t>Candy Cane Hot Chocolate</t>
  </si>
  <si>
    <t>Dirty Shirley Drink Recipe</t>
  </si>
  <si>
    <t>0.5 ounce maraschino cherry syrup from the jar, optional</t>
  </si>
  <si>
    <t>maraschino cherry syrup from the jar</t>
  </si>
  <si>
    <t>Strong Island</t>
  </si>
  <si>
    <t>Gin 0.5 oz</t>
  </si>
  <si>
    <t>Radioactive Long Island Iced Tea</t>
  </si>
  <si>
    <t>April`s Apple</t>
  </si>
  <si>
    <t>1 oz Sour Apple Schnapps</t>
  </si>
  <si>
    <t>Victorias Secret Raspberry Bombshell Cocktail</t>
  </si>
  <si>
    <t>Lemonade 1.5 oz</t>
  </si>
  <si>
    <t>0.5 part Cinnamon syrup</t>
  </si>
  <si>
    <t>Crazy Caribbean Gentleman</t>
  </si>
  <si>
    <t>4 oz Sours</t>
  </si>
  <si>
    <t>1 Corona Hard Seltzer Cherry</t>
  </si>
  <si>
    <t>Corona Hard Seltzer Cherry</t>
  </si>
  <si>
    <t>Strawberry Peach Margarita</t>
  </si>
  <si>
    <t>Agave syrup 0.25 oz</t>
  </si>
  <si>
    <t>2 tsp Honey syrup</t>
  </si>
  <si>
    <t>Strawberry Jalapeno Margarita</t>
  </si>
  <si>
    <t>2 fluid ounces silver tequila</t>
  </si>
  <si>
    <t>Caipirinha</t>
  </si>
  <si>
    <t>2 ounces cachaca</t>
  </si>
  <si>
    <t>cachaca</t>
  </si>
  <si>
    <t>Flander`s Flake-Out</t>
  </si>
  <si>
    <t>.25 Glass Sambuca</t>
  </si>
  <si>
    <t>Glass Sambuca</t>
  </si>
  <si>
    <t>I Pulled it Out of My Ass Margarita</t>
  </si>
  <si>
    <t>Green apple vodka 1 oz</t>
  </si>
  <si>
    <t>Green apple vodka</t>
  </si>
  <si>
    <t>Black Devil</t>
  </si>
  <si>
    <t>black olive</t>
  </si>
  <si>
    <t>Homemade Apple and Quince Liqueur</t>
  </si>
  <si>
    <t>3 ripe apples</t>
  </si>
  <si>
    <t>ripe apples</t>
  </si>
  <si>
    <t>30 mL White Creme De Menthe</t>
  </si>
  <si>
    <t>Pumpkin Spice Old Fashioned</t>
  </si>
  <si>
    <t>1 orange wedge</t>
  </si>
  <si>
    <t>Frozen Irish Cream Hot Chocolate</t>
  </si>
  <si>
    <t>Champagne Martini</t>
  </si>
  <si>
    <t>2 Part Champagne</t>
  </si>
  <si>
    <t>0.25 oz rich Demerara syrup</t>
  </si>
  <si>
    <t>Wine Punch</t>
  </si>
  <si>
    <t>2 Lemon</t>
  </si>
  <si>
    <t>Muertito Vivo</t>
  </si>
  <si>
    <t>10.5 part Aged rum</t>
  </si>
  <si>
    <t>Singapura</t>
  </si>
  <si>
    <t>Garnish: pandan leaf</t>
  </si>
  <si>
    <t>pandan leaf</t>
  </si>
  <si>
    <t>20 ml Cinnamon Schnapps</t>
  </si>
  <si>
    <t>2 to 4 oz soda water</t>
  </si>
  <si>
    <t>to 4 soda water</t>
  </si>
  <si>
    <t>Perfect Manhattan Cocktail</t>
  </si>
  <si>
    <t>0.5 ounce sweet vermouth</t>
  </si>
  <si>
    <t>Coffee &amp; Cigarettes</t>
  </si>
  <si>
    <t>5 oz Tonic Water</t>
  </si>
  <si>
    <t>Cucumber &amp; Rose Collins</t>
  </si>
  <si>
    <t>1.5 oz Cucumber Juice</t>
  </si>
  <si>
    <t>Cucumber Juice</t>
  </si>
  <si>
    <t>1 teaspoon minced ginger</t>
  </si>
  <si>
    <t>minced ginger</t>
  </si>
  <si>
    <t>1 part Coffee liqueur</t>
  </si>
  <si>
    <t>Burning Bud</t>
  </si>
  <si>
    <t>Death Drop</t>
  </si>
  <si>
    <t>1 can frozen orange juice concentrate</t>
  </si>
  <si>
    <t>Pickleback Beer Bomb</t>
  </si>
  <si>
    <t>Jamesons irish whiskey 1 oz</t>
  </si>
  <si>
    <t>Jamesons irish whiskey</t>
  </si>
  <si>
    <t>Delia Deetzs Artsy Spritz</t>
  </si>
  <si>
    <t>Almost Foxy</t>
  </si>
  <si>
    <t>heaping 0.25 ounce creme de cacao, preferably Tempus Fugit</t>
  </si>
  <si>
    <t>heaping|, preferably Tempus Fugit</t>
  </si>
  <si>
    <t>Margarita Cocktail</t>
  </si>
  <si>
    <t>1 fluid ounce orange flavored liqueur</t>
  </si>
  <si>
    <t>orange flavored liqueur</t>
  </si>
  <si>
    <t>The John Collins Cocktail</t>
  </si>
  <si>
    <t>Sherry Cobbler</t>
  </si>
  <si>
    <t>0.5 tbsp Simple syrup or Granulated sugar</t>
  </si>
  <si>
    <t>Simple syrup|Granulated sugar</t>
  </si>
  <si>
    <t>Belvoir Boulevard</t>
  </si>
  <si>
    <t>Bubbly Berry</t>
  </si>
  <si>
    <t>Fresh raspberries to garnish</t>
  </si>
  <si>
    <t>The Gummy Bear Margarita</t>
  </si>
  <si>
    <t>Asbury Park</t>
  </si>
  <si>
    <t>.5 oz Apple Brandy</t>
  </si>
  <si>
    <t>2 oz Raspberry Rum</t>
  </si>
  <si>
    <t>Shiny and Bright Mimosa</t>
  </si>
  <si>
    <t>Sanding sugar 1 tbsp</t>
  </si>
  <si>
    <t>Sanding sugar</t>
  </si>
  <si>
    <t>Amer Picon Cocktail</t>
  </si>
  <si>
    <t>1.5 oz Orange Bitters</t>
  </si>
  <si>
    <t>Short Island Iced Tea</t>
  </si>
  <si>
    <t>Nutty Irishman #2</t>
  </si>
  <si>
    <t>1.5 cup of milk</t>
  </si>
  <si>
    <t>Apple River</t>
  </si>
  <si>
    <t>1 cups Crushed Ice</t>
  </si>
  <si>
    <t>Hear Me Roar Cocktail</t>
  </si>
  <si>
    <t>Big Titty Ho on a Motorcycle</t>
  </si>
  <si>
    <t>Sunflower</t>
  </si>
  <si>
    <t>0.75 part Gin or Aged gin or Botanical gin or Old Tom gin</t>
  </si>
  <si>
    <t>Gin|Aged gin|Botanical gin|Old Tom gin</t>
  </si>
  <si>
    <t>La Paloma Peda</t>
  </si>
  <si>
    <t>1 oz Pear Liqueur</t>
  </si>
  <si>
    <t>Pear Liqueur</t>
  </si>
  <si>
    <t>Brandy Lift</t>
  </si>
  <si>
    <t>10.5 parts Brandy or Cognac</t>
  </si>
  <si>
    <t>4 oz of bloody mary mix</t>
  </si>
  <si>
    <t>bloody mary mix</t>
  </si>
  <si>
    <t>Paris Escape</t>
  </si>
  <si>
    <t>Coffee Martini</t>
  </si>
  <si>
    <t>For the rim: equal parts finely ground coffee beans and granulated sugar, for the garnish</t>
  </si>
  <si>
    <t>equal parts finely coffee beans and granulated sugar, for the</t>
  </si>
  <si>
    <t>garnish</t>
  </si>
  <si>
    <t>Blue Raspberry Spiked Slush</t>
  </si>
  <si>
    <t>Seagrams escapes blue raspberry italian ice 2 bottles</t>
  </si>
  <si>
    <t>Seagrams escapes blue raspberry italian ice</t>
  </si>
  <si>
    <t>0.75 part Dry vermouth</t>
  </si>
  <si>
    <t>35ml Smirnoff No. 21 Vodka</t>
  </si>
  <si>
    <t>Smirnoff No. 21 Vodka</t>
  </si>
  <si>
    <t>Queens Park Hotel Super Cocktail</t>
  </si>
  <si>
    <t>Watermelon Jello Shots</t>
  </si>
  <si>
    <t>Vodka 1 cup</t>
  </si>
  <si>
    <t>Montenegro for Two</t>
  </si>
  <si>
    <t>0.75 oz Demerara syrup</t>
  </si>
  <si>
    <t>Windjammer</t>
  </si>
  <si>
    <t>Bullshot 4</t>
  </si>
  <si>
    <t>6 ice cubes, or more if desired</t>
  </si>
  <si>
    <t>, or more if desired</t>
  </si>
  <si>
    <t>Ponche de Creme</t>
  </si>
  <si>
    <t>Peg Leg</t>
  </si>
  <si>
    <t>1 tsp Simple syrup</t>
  </si>
  <si>
    <t>Casa Santo Domingo</t>
  </si>
  <si>
    <t>Fruit Salad Mimosa</t>
  </si>
  <si>
    <t>1 oz spiced rum</t>
  </si>
  <si>
    <t>Vampire Cocktail</t>
  </si>
  <si>
    <t>Chocolate vodka 1 oz</t>
  </si>
  <si>
    <t>Brooklyn Eagle</t>
  </si>
  <si>
    <t>0.5 oz of sweet vermouth</t>
  </si>
  <si>
    <t>Cosmopolitan Cocktail 4</t>
  </si>
  <si>
    <t>1.5 oz Citrus Vodka</t>
  </si>
  <si>
    <t>Citrus Vodka</t>
  </si>
  <si>
    <t>Bermuda Mai Tai</t>
  </si>
  <si>
    <t>1 oz of peach schnapps</t>
  </si>
  <si>
    <t>Blue Midnight</t>
  </si>
  <si>
    <t>2 oz of captain morgan parrot bay coconut rum</t>
  </si>
  <si>
    <t>captain morgan parrot bay coconut rum</t>
  </si>
  <si>
    <t>Thrivemind</t>
  </si>
  <si>
    <t>1.25 ounces cachaca, preferably Abelha Prata Cachaca</t>
  </si>
  <si>
    <t>, preferably Abelha Prata Cachaca</t>
  </si>
  <si>
    <t>3 bottles Vodka</t>
  </si>
  <si>
    <t>Giving Basil From The Jones Assembly</t>
  </si>
  <si>
    <t>Eggnog White Russian</t>
  </si>
  <si>
    <t>0.25 Cup Orange Juice</t>
  </si>
  <si>
    <t>Love in the Afternoon</t>
  </si>
  <si>
    <t>.5 oz Strawberry Liqueur</t>
  </si>
  <si>
    <t>Strawberry Liqueur</t>
  </si>
  <si>
    <t>Glenkinchie 12 Old-Fashioned</t>
  </si>
  <si>
    <t>50ml Glenkinchie 12</t>
  </si>
  <si>
    <t>Glenkinchie 12</t>
  </si>
  <si>
    <t>The Dukes Of Hazzard Tonic</t>
  </si>
  <si>
    <t>4.5 oz Peach Schnapps</t>
  </si>
  <si>
    <t>Electric Shark</t>
  </si>
  <si>
    <t>Black Thorn Highball</t>
  </si>
  <si>
    <t>Yayo</t>
  </si>
  <si>
    <t>1.5 ounces gaseosa (or Sprite or 7UP)</t>
  </si>
  <si>
    <t>gaseosa|Sprite|7UP</t>
  </si>
  <si>
    <t>(or|or|)</t>
  </si>
  <si>
    <t>2 ounces Benedictine</t>
  </si>
  <si>
    <t>Soda water 1 part</t>
  </si>
  <si>
    <t>Angostura bitters 2 dashes</t>
  </si>
  <si>
    <t>Fireball Whiskey Cheesecake Shots</t>
  </si>
  <si>
    <t>Graham crackers 0.75 cups</t>
  </si>
  <si>
    <t>Graham crackers</t>
  </si>
  <si>
    <t>Wild Turkey Whiskey Sour 101</t>
  </si>
  <si>
    <t>1 fresh cherry, for garnish</t>
  </si>
  <si>
    <t>Alhambra Royale</t>
  </si>
  <si>
    <t>.5 oz Whipped Cream</t>
  </si>
  <si>
    <t>Bogomip</t>
  </si>
  <si>
    <t>1 Part Coconut Milk</t>
  </si>
  <si>
    <t>Haku Highball (Haku-Hi)</t>
  </si>
  <si>
    <t>1 part Suntory Haku Vodka</t>
  </si>
  <si>
    <t>Suntory Haku Vodka</t>
  </si>
  <si>
    <t>Isla de Pina</t>
  </si>
  <si>
    <t>2 parts Light rum</t>
  </si>
  <si>
    <t>The Land Mine Cocktail</t>
  </si>
  <si>
    <t>Creme de banana 0.5 oz</t>
  </si>
  <si>
    <t>Tanqueray Perfect TEN</t>
  </si>
  <si>
    <t>60ml Tanqueray No. Ten</t>
  </si>
  <si>
    <t>Tanqueray No. Ten</t>
  </si>
  <si>
    <t>Corleone</t>
  </si>
  <si>
    <t>GoldenEye</t>
  </si>
  <si>
    <t>25 ml Amaretto</t>
  </si>
  <si>
    <t>Dry Martini</t>
  </si>
  <si>
    <t>Lemon twist or olives for garnish</t>
  </si>
  <si>
    <t>Lemon|olives</t>
  </si>
  <si>
    <t>Three Wise Men Go Hunting</t>
  </si>
  <si>
    <t>Jack daniel's tennessee whiskey 0.5 oz</t>
  </si>
  <si>
    <t>Jack daniel's tennessee whiskey</t>
  </si>
  <si>
    <t>Brandy 0.75 oz</t>
  </si>
  <si>
    <t>Don Julio Anejo Shot</t>
  </si>
  <si>
    <t>1 Orange Wedge</t>
  </si>
  <si>
    <t>Ruby Hearts</t>
  </si>
  <si>
    <t>0.75 ounce cinnamon-demerara syrup</t>
  </si>
  <si>
    <t>cinnamon-demerara syrup</t>
  </si>
  <si>
    <t>Coastal Mimosa: A Passion Fruit Mimosa</t>
  </si>
  <si>
    <t>2 cups chilled orange juice</t>
  </si>
  <si>
    <t>Classic Gin Martini</t>
  </si>
  <si>
    <t>0.25 tsp Anise</t>
  </si>
  <si>
    <t>Anise</t>
  </si>
  <si>
    <t>Rum Breeze</t>
  </si>
  <si>
    <t>1 part Cruzan Black Cherry Rum</t>
  </si>
  <si>
    <t>Cruzan Black Cherry Rum</t>
  </si>
  <si>
    <t>4 oz nut butter of choice</t>
  </si>
  <si>
    <t>nut butter choice</t>
  </si>
  <si>
    <t>Hilgert Cocktail</t>
  </si>
  <si>
    <t>0.75 Shot Gin</t>
  </si>
  <si>
    <t>T Stagg Slide</t>
  </si>
  <si>
    <t>0.5 ounce Buffalo Trace Bourbon Cream</t>
  </si>
  <si>
    <t>Buffalo Trace Bourbon Cream</t>
  </si>
  <si>
    <t>Mandarin Mojito</t>
  </si>
  <si>
    <t>Spiced rum 1.5 oz</t>
  </si>
  <si>
    <t>Apollo 1</t>
  </si>
  <si>
    <t>1.33 oz Apple Brandy</t>
  </si>
  <si>
    <t>Moira's Manhattan</t>
  </si>
  <si>
    <t>2 oz Canadian Whiskey</t>
  </si>
  <si>
    <t>Canadian Whiskey</t>
  </si>
  <si>
    <t>3 ounces MARTINI &amp; ROSSI Asti Italian Sparkling Wine</t>
  </si>
  <si>
    <t>MARTINI &amp; ROSSI Asti Italian Sparkling Wine</t>
  </si>
  <si>
    <t>Jet Fuel &amp; Afterburner</t>
  </si>
  <si>
    <t>Rumple minze 0.25 oz</t>
  </si>
  <si>
    <t>Rumple minze</t>
  </si>
  <si>
    <t>Crucian Banana Squash</t>
  </si>
  <si>
    <t>1 whole Banana</t>
  </si>
  <si>
    <t>Root Beer Float Jello Shots</t>
  </si>
  <si>
    <t>Whipped cream vodka 4 oz</t>
  </si>
  <si>
    <t>209 East Cocktail</t>
  </si>
  <si>
    <t>Pina Colada Snow Cone</t>
  </si>
  <si>
    <t>Shredded coconut 0.25 cup</t>
  </si>
  <si>
    <t>Shredded coconut</t>
  </si>
  <si>
    <t>Garden Sour</t>
  </si>
  <si>
    <t>Rye Tai</t>
  </si>
  <si>
    <t>0.5 oz Aperitif</t>
  </si>
  <si>
    <t>Nuked Hot Chocolate</t>
  </si>
  <si>
    <t>Bible Belt</t>
  </si>
  <si>
    <t>Cape Codder</t>
  </si>
  <si>
    <t>McKinleys Delight</t>
  </si>
  <si>
    <t>1 dash absinthe</t>
  </si>
  <si>
    <t>2 teaspoons rich Demerara syrup (2:1, Demerara sugar to water)</t>
  </si>
  <si>
    <t>(2:1, Demerara sugar to water)</t>
  </si>
  <si>
    <t>Fright Night in the Grove Cocktail</t>
  </si>
  <si>
    <t>2 ounces Jagermeister liqueur</t>
  </si>
  <si>
    <t>Jagermeister liqueur</t>
  </si>
  <si>
    <t>Fairbanks Loan No. 2</t>
  </si>
  <si>
    <t>0.75 ounce gin, preferably Beefeater</t>
  </si>
  <si>
    <t>, preferably Beefeater</t>
  </si>
  <si>
    <t>1 oz London dry gin</t>
  </si>
  <si>
    <t>Thai Iced Coffee</t>
  </si>
  <si>
    <t>pods Cream</t>
  </si>
  <si>
    <t>Southern Spritz</t>
  </si>
  <si>
    <t>2 Dashes of Orange Bitters</t>
  </si>
  <si>
    <t>Dunkin' Delight</t>
  </si>
  <si>
    <t>Reposado Spritz</t>
  </si>
  <si>
    <t>1.25 oz Reposado tequila</t>
  </si>
  <si>
    <t>Reposado tequila</t>
  </si>
  <si>
    <t>Italian Amaretto Margaritas</t>
  </si>
  <si>
    <t>Grated Nutmeg</t>
  </si>
  <si>
    <t>Cunningham</t>
  </si>
  <si>
    <t>Shark</t>
  </si>
  <si>
    <t>0.75 cl heavy cream</t>
  </si>
  <si>
    <t>Rum Swizzle</t>
  </si>
  <si>
    <t>0.5 oz orange juice</t>
  </si>
  <si>
    <t>White Noise Aperitif From Portland Hunt + Alpine Club</t>
  </si>
  <si>
    <t>1 oz elderflower liqueur</t>
  </si>
  <si>
    <t>Chris Hannahs Hot Buttered Rum</t>
  </si>
  <si>
    <t>1.75 ounces aged rum</t>
  </si>
  <si>
    <t>1.25 oz Cognac</t>
  </si>
  <si>
    <t>Johnnie Walker Red Mojito</t>
  </si>
  <si>
    <t>0.75 part Apple brandy</t>
  </si>
  <si>
    <t>Cosmopolitan - Calorie Conscious</t>
  </si>
  <si>
    <t>Blackberry Citrus Sangria</t>
  </si>
  <si>
    <t>Pineapple chunks in juice 20 oz</t>
  </si>
  <si>
    <t>juice</t>
  </si>
  <si>
    <t>in</t>
  </si>
  <si>
    <t>Pineapple Jalapeno Margarita</t>
  </si>
  <si>
    <t>Volunteer Park Swizzle</t>
  </si>
  <si>
    <t>0.5 ounce ginger syrup (see Editor's Note)</t>
  </si>
  <si>
    <t>Sandia</t>
  </si>
  <si>
    <t>1 part Blanco tequila or Aged tequila</t>
  </si>
  <si>
    <t>A Snowballs Chance</t>
  </si>
  <si>
    <t>2 dashes Aromatic bitters or Tiki bitters or Creole bitters or Walnut bitters</t>
  </si>
  <si>
    <t>Aromatic bitters|Tiki bitters|Creole bitters|Walnut bitters</t>
  </si>
  <si>
    <t>AMF Jello Shots</t>
  </si>
  <si>
    <t>Lifesaver Punch</t>
  </si>
  <si>
    <t>Calypso kiwi lemonade 3 oz</t>
  </si>
  <si>
    <t>Calypso kiwi lemonade</t>
  </si>
  <si>
    <t>White chocolate liqueur 0.75 oz</t>
  </si>
  <si>
    <t>Chamborlada</t>
  </si>
  <si>
    <t>2 oz Raspberry Liqueur</t>
  </si>
  <si>
    <t>4 ounces lemon juice</t>
  </si>
  <si>
    <t>White Noise</t>
  </si>
  <si>
    <t>10.5 parts White wine aperitif</t>
  </si>
  <si>
    <t>PB&amp;B</t>
  </si>
  <si>
    <t>Banana rum 1.5 oz</t>
  </si>
  <si>
    <t>Banana rum</t>
  </si>
  <si>
    <t>Easy Non Alcoholic Mimosa</t>
  </si>
  <si>
    <t>2 ounces fresh orange juice, chilled</t>
  </si>
  <si>
    <t>Pumpkin Spice White Russian</t>
  </si>
  <si>
    <t>2 parts Milk</t>
  </si>
  <si>
    <t>Boardwalk Flyer</t>
  </si>
  <si>
    <t>0.75 part Blanc vermouth</t>
  </si>
  <si>
    <t>Blanc vermouth</t>
  </si>
  <si>
    <t>2 cl OP Rum</t>
  </si>
  <si>
    <t>Kentucky Wildcat</t>
  </si>
  <si>
    <t>Crown &amp; Soda</t>
  </si>
  <si>
    <t>Crown Royal Blended Canadian Whisky</t>
  </si>
  <si>
    <t>Sweet Sangria</t>
  </si>
  <si>
    <t>wedges Lime</t>
  </si>
  <si>
    <t>Four Horsemen Go Hunting</t>
  </si>
  <si>
    <t>Float Bacardi 151 proof rum</t>
  </si>
  <si>
    <t>Float Bacardi proof rum</t>
  </si>
  <si>
    <t>Polar Bear Shot</t>
  </si>
  <si>
    <t>Swamp Frog</t>
  </si>
  <si>
    <t>Everclear 750 ml</t>
  </si>
  <si>
    <t>White Lady Cocktail</t>
  </si>
  <si>
    <t>Capn Crunch Shots</t>
  </si>
  <si>
    <t>Coffee liqueur 1 part</t>
  </si>
  <si>
    <t>0.25 tsp Grenadine</t>
  </si>
  <si>
    <t>Frozen Watermelon Daiquiri</t>
  </si>
  <si>
    <t>Reveillon</t>
  </si>
  <si>
    <t>0.5 part Allspice dram</t>
  </si>
  <si>
    <t>Allspice dram</t>
  </si>
  <si>
    <t>1 Piece of Dark Chocolate (Garnish)</t>
  </si>
  <si>
    <t>Piece Dark Chocolate</t>
  </si>
  <si>
    <t>20.5 parts Vodka</t>
  </si>
  <si>
    <t>Oaxaca Sour</t>
  </si>
  <si>
    <t>0.75 cl orgeat - I used Giffard's but one of these days I will make it myself</t>
  </si>
  <si>
    <t>- I used Giffard's but one of these days I will make it myself</t>
  </si>
  <si>
    <t>Canadian Killer Kool-Aid</t>
  </si>
  <si>
    <t>Savory Beef Broth and Vodka Bull Shot</t>
  </si>
  <si>
    <t>2 dashes Tabasco Sauce</t>
  </si>
  <si>
    <t>Mason Jar Summer Sangria</t>
  </si>
  <si>
    <t>0.12 cups orange juice</t>
  </si>
  <si>
    <t>25ml Whipped Cream (Garnish)</t>
  </si>
  <si>
    <t>The Ultimate Margarita</t>
  </si>
  <si>
    <t>1 fluid ounce fresh lime juice</t>
  </si>
  <si>
    <t>Cinderella</t>
  </si>
  <si>
    <t xml:space="preserve">ml </t>
  </si>
  <si>
    <t>Black Haus Chimney</t>
  </si>
  <si>
    <t xml:space="preserve">oz </t>
  </si>
  <si>
    <t>1 oz Cocchi Aperitivo Americano</t>
  </si>
  <si>
    <t xml:space="preserve"> Cocchi Aperitivo Americano</t>
  </si>
  <si>
    <t>Bitter Sweet</t>
  </si>
  <si>
    <t>2 3 Dash Orange Bitters</t>
  </si>
  <si>
    <t xml:space="preserve">Dash </t>
  </si>
  <si>
    <t>Great Attitude</t>
  </si>
  <si>
    <t xml:space="preserve"> Triple Sec</t>
  </si>
  <si>
    <t>Bees Knees Cocktail</t>
  </si>
  <si>
    <t>For the garnish: lemon twist or lemon peel</t>
  </si>
  <si>
    <t>lemon twist|lemon peel</t>
  </si>
  <si>
    <t>Cotton Candy</t>
  </si>
  <si>
    <t xml:space="preserve">Ice </t>
  </si>
  <si>
    <t>Smirnoff Dirty Martini</t>
  </si>
  <si>
    <t>2 Dashes of olive brine</t>
  </si>
  <si>
    <t xml:space="preserve"> Dashes</t>
  </si>
  <si>
    <t>Strawberry Pineapple Mojito</t>
  </si>
  <si>
    <t>Simple syrup 0.5 oz</t>
  </si>
  <si>
    <t>Oxford Punch</t>
  </si>
  <si>
    <t>2 Seville oranges</t>
  </si>
  <si>
    <t>Seville oranges</t>
  </si>
  <si>
    <t>2 Lime Wedges (Garnish)</t>
  </si>
  <si>
    <t>Backyard Dawg</t>
  </si>
  <si>
    <t>Cape Snow</t>
  </si>
  <si>
    <t>Banana Colada</t>
  </si>
  <si>
    <t>The Whiskey Drink</t>
  </si>
  <si>
    <t>1 heaping bar spoon mascarpone</t>
  </si>
  <si>
    <t>mascarpone</t>
  </si>
  <si>
    <t>Boat Drank</t>
  </si>
  <si>
    <t>2.5 oz pineapple juice</t>
  </si>
  <si>
    <t>Jameson Margarita</t>
  </si>
  <si>
    <t>6 rasberries</t>
  </si>
  <si>
    <t>rasberries</t>
  </si>
  <si>
    <t>Monteverdes Apple Kickin Cocktail</t>
  </si>
  <si>
    <t>0.25 oz demerara syrup</t>
  </si>
  <si>
    <t>12 wedges fresh pineapple</t>
  </si>
  <si>
    <t>GORDONS GRAPEFRUIT FIZZ (PINK PALOMA FOR GB)</t>
  </si>
  <si>
    <t>50ml Gordon's Premium Pink Distilled Gin</t>
  </si>
  <si>
    <t>Gordon's Premium Pink Distilled Gin</t>
  </si>
  <si>
    <t>1 Dehydrated orange wheel, for garnish</t>
  </si>
  <si>
    <t>,|for garnish</t>
  </si>
  <si>
    <t>1 oz of Absolut vodka</t>
  </si>
  <si>
    <t>Absolut vodka</t>
  </si>
  <si>
    <t>Paloma Italiano</t>
  </si>
  <si>
    <t>0.25 oz Coffee Liqueur</t>
  </si>
  <si>
    <t>Jamaican Hurricane</t>
  </si>
  <si>
    <t>Schofferhofer grapefruit beer 1 bottle</t>
  </si>
  <si>
    <t>Schofferhofer grapefruit beer</t>
  </si>
  <si>
    <t>Rose Royale</t>
  </si>
  <si>
    <t>3 drops Rose water</t>
  </si>
  <si>
    <t>Rose water</t>
  </si>
  <si>
    <t>187 Cocktail</t>
  </si>
  <si>
    <t>Sweet Jesus Lord They Killing Me</t>
  </si>
  <si>
    <t>Spiced rum 1 bottle</t>
  </si>
  <si>
    <t>Southern Comfort Sour</t>
  </si>
  <si>
    <t>Alaskan Polar Bear</t>
  </si>
  <si>
    <t>1 oz Hazelnut Liqueur</t>
  </si>
  <si>
    <t>Fuzzy Peach</t>
  </si>
  <si>
    <t>1 oz of Stolichnaya vodka</t>
  </si>
  <si>
    <t>Stolichnaya vodka</t>
  </si>
  <si>
    <t>Coffee Bean</t>
  </si>
  <si>
    <t>5ml Monin ginger syrup</t>
  </si>
  <si>
    <t>Monin ginger syrup</t>
  </si>
  <si>
    <t>Hot Buttered Rum Single Serving</t>
  </si>
  <si>
    <t>1 cup boiling water, or as needed</t>
  </si>
  <si>
    <t>,|or as needed</t>
  </si>
  <si>
    <t>Mr Howard</t>
  </si>
  <si>
    <t>1 Star Anise (Garnish)</t>
  </si>
  <si>
    <t>Star Anise</t>
  </si>
  <si>
    <t>Classic Hemingway Daiquiri</t>
  </si>
  <si>
    <t>0.5 ounce Maraschino liqueur</t>
  </si>
  <si>
    <t>2 ounces light rum</t>
  </si>
  <si>
    <t>Dixie Smooth</t>
  </si>
  <si>
    <t>7 oz pear brandy or eau de vie</t>
  </si>
  <si>
    <t>pear brandy|eau de vie</t>
  </si>
  <si>
    <t>Green Apple Jolly Rancher Cocktail</t>
  </si>
  <si>
    <t>Melon liqueur 1.5 oz</t>
  </si>
  <si>
    <t>GORDON'S PASSIONFRUIT MARTINI</t>
  </si>
  <si>
    <t>50ml Gordons Tropical Passionfruit</t>
  </si>
  <si>
    <t>Gordons Tropical Passionfruit</t>
  </si>
  <si>
    <t>Tower of Death Shot</t>
  </si>
  <si>
    <t>Lemon/lime soda 3 oz</t>
  </si>
  <si>
    <t>Lemon|lime soda</t>
  </si>
  <si>
    <t>/</t>
  </si>
  <si>
    <t>Pop Rocks Shot</t>
  </si>
  <si>
    <t>Pusser`s Pain Killer</t>
  </si>
  <si>
    <t>4 oz Dark Rum</t>
  </si>
  <si>
    <t>Have Fun with Your Dildo</t>
  </si>
  <si>
    <t>4 oz of cola</t>
  </si>
  <si>
    <t>Negroni Zimbabwe Style</t>
  </si>
  <si>
    <t>10 ml Sweet Vermouth</t>
  </si>
  <si>
    <t>Sazerac and Cider</t>
  </si>
  <si>
    <t>1 whole Sugar cube or Simple syrup</t>
  </si>
  <si>
    <t>whole Sugar|Simple syrup</t>
  </si>
  <si>
    <t>Bloody Vodka Syringe</t>
  </si>
  <si>
    <t>Syringes</t>
  </si>
  <si>
    <t>,|as needed</t>
  </si>
  <si>
    <t>Firefly</t>
  </si>
  <si>
    <t>Bergenline</t>
  </si>
  <si>
    <t>50 ml Honey</t>
  </si>
  <si>
    <t>Rouge Spritz</t>
  </si>
  <si>
    <t>75ml Lemonade</t>
  </si>
  <si>
    <t>Banana liqueur 0.75 oz</t>
  </si>
  <si>
    <t>EL DIABLO</t>
  </si>
  <si>
    <t>15 ml Lime Juice</t>
  </si>
  <si>
    <t>Frozen Irish Banana</t>
  </si>
  <si>
    <t>Irish cream 2 oz</t>
  </si>
  <si>
    <t>Fall Sangria Recipe</t>
  </si>
  <si>
    <t>dry red wine|Rioja</t>
  </si>
  <si>
    <t xml:space="preserve">bottle|, such as </t>
  </si>
  <si>
    <t>Juice Lime</t>
  </si>
  <si>
    <t xml:space="preserve">of </t>
  </si>
  <si>
    <t>0.5 cups orange liqueur</t>
  </si>
  <si>
    <t>PEZ</t>
  </si>
  <si>
    <t>1 Part Spiced Rum</t>
  </si>
  <si>
    <t>Bloody Jim</t>
  </si>
  <si>
    <t>Fireside: A Tropical Pumpkin Spice Cocktail</t>
  </si>
  <si>
    <t>0.75 oz overproof rum</t>
  </si>
  <si>
    <t>El Duderino</t>
  </si>
  <si>
    <t>Jelly Bean Shots</t>
  </si>
  <si>
    <t>Strawberry Blowjob Shot</t>
  </si>
  <si>
    <t>Especial</t>
  </si>
  <si>
    <t>20 ml Triple Sec</t>
  </si>
  <si>
    <t>Johnnie &amp; Lemon Highball</t>
  </si>
  <si>
    <t>30ml Lemon Barley Cordial</t>
  </si>
  <si>
    <t>Lemon Barley Cordial</t>
  </si>
  <si>
    <t>Pacific Gin &amp; Tonic</t>
  </si>
  <si>
    <t>oz Elderflower Tonic Water</t>
  </si>
  <si>
    <t>Elderflower Tonic Water</t>
  </si>
  <si>
    <t>Charanda Cocktail: Killer on Ice</t>
  </si>
  <si>
    <t>Popsicle Sangria</t>
  </si>
  <si>
    <t>Fuquay Friday Night</t>
  </si>
  <si>
    <t>1 oz Cherry Cola</t>
  </si>
  <si>
    <t>0.25 oz allspice liqueur</t>
  </si>
  <si>
    <t>allspice liqueur</t>
  </si>
  <si>
    <t>Sex on the Beach #7</t>
  </si>
  <si>
    <t>Cosmo</t>
  </si>
  <si>
    <t>0.75 oz Triple Sec</t>
  </si>
  <si>
    <t>Blackberries 1 cup</t>
  </si>
  <si>
    <t>Parsons Negroni Slushy</t>
  </si>
  <si>
    <t>Grapefruit Jalapeno Martini</t>
  </si>
  <si>
    <t>10.5 parts Aged tequila</t>
  </si>
  <si>
    <t>Mango Mojito</t>
  </si>
  <si>
    <t>1 Lime cut into wedges</t>
  </si>
  <si>
    <t xml:space="preserve">cut into </t>
  </si>
  <si>
    <t>Hot water 4 oz</t>
  </si>
  <si>
    <t xml:space="preserve">Water </t>
  </si>
  <si>
    <t>Tuxedo Cocktail</t>
  </si>
  <si>
    <t>Rosetta</t>
  </si>
  <si>
    <t>20 ml Creme de Banana</t>
  </si>
  <si>
    <t>Creme de Banana</t>
  </si>
  <si>
    <t>Shark Attack Shot</t>
  </si>
  <si>
    <t>1 bottles ginger ale (1L)</t>
  </si>
  <si>
    <t>1 bottles|(|)</t>
  </si>
  <si>
    <t>Cayman Sunset</t>
  </si>
  <si>
    <t>Warm Spring</t>
  </si>
  <si>
    <t>2 parts warm or room-temperature Sake</t>
  </si>
  <si>
    <t>Sake</t>
  </si>
  <si>
    <t>warm|room-temperature</t>
  </si>
  <si>
    <t>Lodge Negroni</t>
  </si>
  <si>
    <t>0.5 oz Lucano Cafe coffee liqueur</t>
  </si>
  <si>
    <t>Lucano Cafe coffee liqueur</t>
  </si>
  <si>
    <t>Monkey Man</t>
  </si>
  <si>
    <t>40ml DON JULIO BLANCO</t>
  </si>
  <si>
    <t>DON JULIO BLANCO</t>
  </si>
  <si>
    <t>Southern Raspberry Tart 2</t>
  </si>
  <si>
    <t>.75 oz Bourbon Whiskey</t>
  </si>
  <si>
    <t>Ostend Fizz Royale</t>
  </si>
  <si>
    <t>1 part Creme de cassis</t>
  </si>
  <si>
    <t>El Ganso</t>
  </si>
  <si>
    <t>juice of half a lemon</t>
  </si>
  <si>
    <t>half</t>
  </si>
  <si>
    <t>of|a</t>
  </si>
  <si>
    <t>Campfire Sling Cocktail</t>
  </si>
  <si>
    <t>0.25 oz pure maple syrup</t>
  </si>
  <si>
    <t>pure maple syrup</t>
  </si>
  <si>
    <t>Surf City Lifesaver</t>
  </si>
  <si>
    <t>Pepper, Black</t>
  </si>
  <si>
    <t>Pepper Black</t>
  </si>
  <si>
    <t>Pineapple juice 1.5 oz</t>
  </si>
  <si>
    <t>Campari Cocktail</t>
  </si>
  <si>
    <t>The Martinez</t>
  </si>
  <si>
    <t>50ml Gordons London Dry</t>
  </si>
  <si>
    <t>Gordons London Dry</t>
  </si>
  <si>
    <t>King Cake Shooters</t>
  </si>
  <si>
    <t>Goldschlager 1 part</t>
  </si>
  <si>
    <t>0.3 oz Galliano l Aperitivo</t>
  </si>
  <si>
    <t>Galliano|Aperitivo</t>
  </si>
  <si>
    <t>Irish Dream</t>
  </si>
  <si>
    <t>2 3-inch strips of orange zest</t>
  </si>
  <si>
    <t>orange zest</t>
  </si>
  <si>
    <t>0.5 cup Iced Tea cubes (see Editor's Note)</t>
  </si>
  <si>
    <t>Iced Tea</t>
  </si>
  <si>
    <t>Bloody Mary Popsicles</t>
  </si>
  <si>
    <t>Fresh lemon juice 1 tbsp</t>
  </si>
  <si>
    <t>2 oz OP Rum</t>
  </si>
  <si>
    <t>Maradona</t>
  </si>
  <si>
    <t>0.75 oz Passion-Fruit Puree</t>
  </si>
  <si>
    <t>Choco Banana Smash</t>
  </si>
  <si>
    <t>3 oz Brandy or Rye</t>
  </si>
  <si>
    <t>Brandy|Rye</t>
  </si>
  <si>
    <t xml:space="preserve"> or</t>
  </si>
  <si>
    <t>Kiwi Zest Martini</t>
  </si>
  <si>
    <t>0.5 part Lemon Juice</t>
  </si>
  <si>
    <t>Bijou Riff: Teatro</t>
  </si>
  <si>
    <t>0.5 oz green Chartreuse</t>
  </si>
  <si>
    <t>Malibu Woo Woo</t>
  </si>
  <si>
    <t>Pams Punch</t>
  </si>
  <si>
    <t>2 cups cranberry juice</t>
  </si>
  <si>
    <t>Neville Longbottom</t>
  </si>
  <si>
    <t>1 cl fresh lemon juice</t>
  </si>
  <si>
    <t>Pineapple Tea</t>
  </si>
  <si>
    <t>Hive Five</t>
  </si>
  <si>
    <t>250ml Johnnie Walker Black Label</t>
  </si>
  <si>
    <t>0.5 ounce Dons Mix</t>
  </si>
  <si>
    <t>Dons Mix</t>
  </si>
  <si>
    <t>Mojito Perfecto</t>
  </si>
  <si>
    <t>4 teaspoons white sugar</t>
  </si>
  <si>
    <t>Peaches and Cream Shots</t>
  </si>
  <si>
    <t>Rose Mojito</t>
  </si>
  <si>
    <t>Passion Fruit Margarita</t>
  </si>
  <si>
    <t>Lime  juice</t>
  </si>
  <si>
    <t>Bahia Cooler</t>
  </si>
  <si>
    <t>Sterling Cucumber</t>
  </si>
  <si>
    <t>3 Slices Cucumber</t>
  </si>
  <si>
    <t>0.5 oz Agave Nectar or</t>
  </si>
  <si>
    <t>Kamikaze Jello Shots</t>
  </si>
  <si>
    <t xml:space="preserve">water </t>
  </si>
  <si>
    <t xml:space="preserve">Hot </t>
  </si>
  <si>
    <t>Crowning of the Bull</t>
  </si>
  <si>
    <t>1 oz Energy Soda</t>
  </si>
  <si>
    <t>Gil`s Revenge</t>
  </si>
  <si>
    <t>3.5 ounces Fever-Tree Refreshingly Light Cucumber Tonic Water</t>
  </si>
  <si>
    <t>Fever-Tree Refreshingly Light Cucumber Tonic Water</t>
  </si>
  <si>
    <t>Bourbonella</t>
  </si>
  <si>
    <t>Captain Morgan Rum Punch</t>
  </si>
  <si>
    <t>40ml Orange Juice</t>
  </si>
  <si>
    <t>Surf School Swizzle From Rumba</t>
  </si>
  <si>
    <t>1 oz Barbados rum</t>
  </si>
  <si>
    <t>Barbados rum</t>
  </si>
  <si>
    <t>0.5 fluid ounce lime juice</t>
  </si>
  <si>
    <t>4 cl Campari</t>
  </si>
  <si>
    <t>The Siesta Cocktail</t>
  </si>
  <si>
    <t>Tropical Coconut Mojito Recipe</t>
  </si>
  <si>
    <t>1 oz coconut liqueur</t>
  </si>
  <si>
    <t>coconut liqueur</t>
  </si>
  <si>
    <t>Key Lime Pie Martini</t>
  </si>
  <si>
    <t>25 ml Lemonade</t>
  </si>
  <si>
    <t>Winter Paloma</t>
  </si>
  <si>
    <t>Juice of 1 Lime Juice</t>
  </si>
  <si>
    <t>Brain Fart</t>
  </si>
  <si>
    <t>1 small bottle Lemon juice</t>
  </si>
  <si>
    <t>small bottle</t>
  </si>
  <si>
    <t>Haig Clubman</t>
  </si>
  <si>
    <t>6 Dashes of Ginger bitters</t>
  </si>
  <si>
    <t>Ginger bitters</t>
  </si>
  <si>
    <t>Pimms Coupe</t>
  </si>
  <si>
    <t>1.5 ounces lemon juice, freshly squeezed</t>
  </si>
  <si>
    <t>Johnnie Walker Red Label Festive Serve</t>
  </si>
  <si>
    <t>75ml Ginger Ale</t>
  </si>
  <si>
    <t>Mrs. Baxton's Long Island Iced Tea</t>
  </si>
  <si>
    <t>2 fluid ounces cola</t>
  </si>
  <si>
    <t>Army Special</t>
  </si>
  <si>
    <t>30 mL Gin</t>
  </si>
  <si>
    <t>Best Amaretto Coffee</t>
  </si>
  <si>
    <t>For serving: Homemade whipped cream (or vegan whipped cream )</t>
  </si>
  <si>
    <t>Homemade whipped cream|vegan whipped cream</t>
  </si>
  <si>
    <t>For serving:|(or|)</t>
  </si>
  <si>
    <t>Gilda</t>
  </si>
  <si>
    <t>Springbokkie Shot</t>
  </si>
  <si>
    <t>1.5 oz Water</t>
  </si>
  <si>
    <t>15ml Chamomile Syrup</t>
  </si>
  <si>
    <t>Chamomile Syrup</t>
  </si>
  <si>
    <t>20 mint leaves</t>
  </si>
  <si>
    <t>Creme de Menthe</t>
  </si>
  <si>
    <t>1 oz pure Peppermint extract</t>
  </si>
  <si>
    <t>pure Peppermint extract</t>
  </si>
  <si>
    <t>Milk of Amnesia</t>
  </si>
  <si>
    <t>1 2 oz Raspberry Liqueur</t>
  </si>
  <si>
    <t>1 part Sweet vermouth</t>
  </si>
  <si>
    <t>Australian Penicillin</t>
  </si>
  <si>
    <t>3 Slices of Ginger</t>
  </si>
  <si>
    <t>Diamond Fizz</t>
  </si>
  <si>
    <t>Cassidy Mist</t>
  </si>
  <si>
    <t>1.5 ounces Plymouth gin</t>
  </si>
  <si>
    <t>Celeste Sunrise</t>
  </si>
  <si>
    <t>1 oz Strawberry Liqueur</t>
  </si>
  <si>
    <t>Calypso: A Tropical Port Cocktail</t>
  </si>
  <si>
    <t>0.75 oz tawny Port</t>
  </si>
  <si>
    <t>tawny Port</t>
  </si>
  <si>
    <t>In Spite of Ourselves From the National Bar</t>
  </si>
  <si>
    <t>0.25 oz egg white</t>
  </si>
  <si>
    <t>0.25 cup honey</t>
  </si>
  <si>
    <t>White Negroni Fizz</t>
  </si>
  <si>
    <t>0.75 ounce Salers aperitif</t>
  </si>
  <si>
    <t>Salers aperitif</t>
  </si>
  <si>
    <t>Jingle Juice</t>
  </si>
  <si>
    <t>Pomegranate juice 16 oz</t>
  </si>
  <si>
    <t>Banana Rum Colada</t>
  </si>
  <si>
    <t>How to Make the Best Scotch and Soda</t>
  </si>
  <si>
    <t>2 ounces Scotch whisky</t>
  </si>
  <si>
    <t>Scotch whisky</t>
  </si>
  <si>
    <t>Earl Gray Marteani</t>
  </si>
  <si>
    <t>2 cl fresh squeezed lemon juice</t>
  </si>
  <si>
    <t>Jam Donut Shots</t>
  </si>
  <si>
    <t>Strawberry liqueur 1 part</t>
  </si>
  <si>
    <t>Strawberry liqueur</t>
  </si>
  <si>
    <t>Irish Hot Chocolate</t>
  </si>
  <si>
    <t>fill with Hot Chocolate</t>
  </si>
  <si>
    <t>Blue Bird #1</t>
  </si>
  <si>
    <t>Spic</t>
  </si>
  <si>
    <t>Leap Year Cocktail</t>
  </si>
  <si>
    <t>0.5 tsp of fresh lemon juice</t>
  </si>
  <si>
    <t>Zero Proof Paloma</t>
  </si>
  <si>
    <t>1 splashes Lime Juice</t>
  </si>
  <si>
    <t>splashes</t>
  </si>
  <si>
    <t>Cinnamon, to garnish</t>
  </si>
  <si>
    <t>Frostbite</t>
  </si>
  <si>
    <t>The Singleton Rob Roy</t>
  </si>
  <si>
    <t>Absolut Stress 2</t>
  </si>
  <si>
    <t>Dea Lea</t>
  </si>
  <si>
    <t>2 parts Rye whiskey</t>
  </si>
  <si>
    <t>Zombie Brain Shots</t>
  </si>
  <si>
    <t>Peach schnapps 2 parts</t>
  </si>
  <si>
    <t xml:space="preserve">Peach schnapps </t>
  </si>
  <si>
    <t>Orange Creamsicle Martini</t>
  </si>
  <si>
    <t>Angels Delight</t>
  </si>
  <si>
    <t>0.75 Shot Triple Sec</t>
  </si>
  <si>
    <t>Pouring Ribbons Lust for Life</t>
  </si>
  <si>
    <t>Buttery Finger</t>
  </si>
  <si>
    <t>Buttershots 1 oz</t>
  </si>
  <si>
    <t>Buttershots</t>
  </si>
  <si>
    <t>1 parts Orange Liqueur</t>
  </si>
  <si>
    <t>Liquid Big Red</t>
  </si>
  <si>
    <t>12 oz Pepper Soda</t>
  </si>
  <si>
    <t>Kavorkien</t>
  </si>
  <si>
    <t>.5 oz Spiced Rum</t>
  </si>
  <si>
    <t>Ultimate Frozen Margarita Recipe</t>
  </si>
  <si>
    <t>Ron Zacapa Flip</t>
  </si>
  <si>
    <t>15ml Vanilla Syrup</t>
  </si>
  <si>
    <t>Vanilla Syrup</t>
  </si>
  <si>
    <t>Creamy Coconut Lime Margarita</t>
  </si>
  <si>
    <t>Akva Vodka Spritz</t>
  </si>
  <si>
    <t>2 oz Vodka (Akva)</t>
  </si>
  <si>
    <t>Vodka|Akva</t>
  </si>
  <si>
    <t>Cherry Amaretto</t>
  </si>
  <si>
    <t>Peach Fresca Margarita</t>
  </si>
  <si>
    <t>1 Lime Wheel and Mint Sprig (Garnish)</t>
  </si>
  <si>
    <t>Lime|Mint</t>
  </si>
  <si>
    <t>Lynchburg Honey</t>
  </si>
  <si>
    <t>Cointreau 1 oz</t>
  </si>
  <si>
    <t xml:space="preserve">Cointreau </t>
  </si>
  <si>
    <t>Violet Fizz</t>
  </si>
  <si>
    <t xml:space="preserve"> Egg white|Aquafaba</t>
  </si>
  <si>
    <t>TTO + T</t>
  </si>
  <si>
    <t>0.25 ounce Drambuie</t>
  </si>
  <si>
    <t>Drambuie</t>
  </si>
  <si>
    <t>Pink Gin Cocktail</t>
  </si>
  <si>
    <t>Adios Amigos Cocktail</t>
  </si>
  <si>
    <t>0.5 shot Water</t>
  </si>
  <si>
    <t>Jesus Juice</t>
  </si>
  <si>
    <t>4 oz Vodka</t>
  </si>
  <si>
    <t>Godiva Polar Freeze</t>
  </si>
  <si>
    <t>25ml Peppermint Schnapps</t>
  </si>
  <si>
    <t>Poison Apple Shot</t>
  </si>
  <si>
    <t>Jagermeister 0.75 oz</t>
  </si>
  <si>
    <t>Lime Drop Shots</t>
  </si>
  <si>
    <t xml:space="preserve">Triple sec </t>
  </si>
  <si>
    <t>Three Wise Men on Acid</t>
  </si>
  <si>
    <t>Emerald Martini</t>
  </si>
  <si>
    <t>Sex on My Birthday</t>
  </si>
  <si>
    <t>Cake vodka 1 oz</t>
  </si>
  <si>
    <t>Cake vodka</t>
  </si>
  <si>
    <t>Glaciermeister</t>
  </si>
  <si>
    <t>2 Scoop Ice Cream</t>
  </si>
  <si>
    <t>0.5 oz Bols Vodka</t>
  </si>
  <si>
    <t>Bols Vodka</t>
  </si>
  <si>
    <t>Coco Batida</t>
  </si>
  <si>
    <t>Garnish: toasted coconut</t>
  </si>
  <si>
    <t>coconut</t>
  </si>
  <si>
    <t xml:space="preserve">toasted </t>
  </si>
  <si>
    <t>Agave Kiss</t>
  </si>
  <si>
    <t>0.25 tsp Lemon juice</t>
  </si>
  <si>
    <t>0.37 cl each Golden and Velvel Falernum</t>
  </si>
  <si>
    <t>Golden|Velvel Falernum</t>
  </si>
  <si>
    <t xml:space="preserve"> each|and</t>
  </si>
  <si>
    <t>Sparkling Apple Cider Mimosa</t>
  </si>
  <si>
    <t>Ginger Stinger</t>
  </si>
  <si>
    <t>Lime wheel and grapefruit zest for garnish</t>
  </si>
  <si>
    <t>Lime|grapefruit</t>
  </si>
  <si>
    <t>Ultra Violet</t>
  </si>
  <si>
    <t>5 ml Elderflower Cordial</t>
  </si>
  <si>
    <t>0.75 oz Reposado Tequila</t>
  </si>
  <si>
    <t>Southern Raspberry Tart</t>
  </si>
  <si>
    <t>The Ultimate Ketel One Key Lime Pie Martini</t>
  </si>
  <si>
    <t>0.5 ounce black raspberry liqueur</t>
  </si>
  <si>
    <t>black raspberry liqueur</t>
  </si>
  <si>
    <t>Edible Funfetti Shot Glasses</t>
  </si>
  <si>
    <t>Brain Hemmorhage</t>
  </si>
  <si>
    <t>Bitter End</t>
  </si>
  <si>
    <t>0.5 part Falernum liqueur</t>
  </si>
  <si>
    <t>Falernum liqueur</t>
  </si>
  <si>
    <t>Flaming Dr.</t>
  </si>
  <si>
    <t>1.5 oz Cinnamon Schnapps</t>
  </si>
  <si>
    <t>Twister</t>
  </si>
  <si>
    <t>Gin Strawberry Crush</t>
  </si>
  <si>
    <t>Southern Harmony</t>
  </si>
  <si>
    <t>0.75 oz Peach Liqueur</t>
  </si>
  <si>
    <t>Midnight Kiss</t>
  </si>
  <si>
    <t>5 6 oz Champagne</t>
  </si>
  <si>
    <t>Trinidad Cobbler</t>
  </si>
  <si>
    <t>1 Part Orange Juice</t>
  </si>
  <si>
    <t>Pancho Villa</t>
  </si>
  <si>
    <t>Birth Control</t>
  </si>
  <si>
    <t>Boilermaker Cocktail</t>
  </si>
  <si>
    <t>10 oz Larger Beer</t>
  </si>
  <si>
    <t>Chocolate Covered Strawberry Daiquiri</t>
  </si>
  <si>
    <t>3 oz Chocolate Vodka</t>
  </si>
  <si>
    <t>Chocolate Vodka</t>
  </si>
  <si>
    <t>Paloma Riff: Tasteful Nudes</t>
  </si>
  <si>
    <t>2 dashes Bittermens Hopped Grapefruit Bitters</t>
  </si>
  <si>
    <t>Bittermens Hopped Grapefruit Bitters</t>
  </si>
  <si>
    <t>Black Velvet</t>
  </si>
  <si>
    <t>St. Patricks Day Jungle Juice</t>
  </si>
  <si>
    <t>Tequila 1 bottle</t>
  </si>
  <si>
    <t>0.75 oz Sweet Vermouth</t>
  </si>
  <si>
    <t>0.75 part Simple syrup or Lemon syrup or Oleo saccharum or Vanilla syrup or Brown sugar syrup</t>
  </si>
  <si>
    <t>Simple syrup|Lemon syrup|Oleo saccharum|Vanilla syrup|Brown sugar syrup</t>
  </si>
  <si>
    <t>Spring Highball</t>
  </si>
  <si>
    <t>1 Dill Vinegar</t>
  </si>
  <si>
    <t>Dill Vinegar</t>
  </si>
  <si>
    <t>Dirty Gin Martini</t>
  </si>
  <si>
    <t>Dry vermouth 0.25 oz</t>
  </si>
  <si>
    <t>Dry</t>
  </si>
  <si>
    <t>4 oz Strawberry Daiquiri mix</t>
  </si>
  <si>
    <t>Strawberry Daiquiri mix</t>
  </si>
  <si>
    <t>Rainbow Watermelon Vodka Jello Shots</t>
  </si>
  <si>
    <t>Yellow jello</t>
  </si>
  <si>
    <t>Caribbean Bulldog</t>
  </si>
  <si>
    <t>4 cups water</t>
  </si>
  <si>
    <t>Crown Royal Black Old Fashioned</t>
  </si>
  <si>
    <t xml:space="preserve">Dashes </t>
  </si>
  <si>
    <t>Churchs Mass Appeal: An Old Fashioned Riff</t>
  </si>
  <si>
    <t>2.5 oz rye whiskey</t>
  </si>
  <si>
    <t>Portuguese Gin and Tonic</t>
  </si>
  <si>
    <t>Improved Grasshopper Cocktail Recipe</t>
  </si>
  <si>
    <t>0.5 oz white creme de menthe</t>
  </si>
  <si>
    <t>Ketel One Sea Breeze</t>
  </si>
  <si>
    <t>40ml Cranberry Juice</t>
  </si>
  <si>
    <t>Rebujito</t>
  </si>
  <si>
    <t>Johnnie Walker Black Label Seven</t>
  </si>
  <si>
    <t>Suicide Squad- Harley Quinn Shot</t>
  </si>
  <si>
    <t>Blue curacao syrup 0.5 oz</t>
  </si>
  <si>
    <t>Blue curacao syrup</t>
  </si>
  <si>
    <t>Cali-Fornication on the Beach</t>
  </si>
  <si>
    <t>2 dashes Miracle Mile Sour Cherry Bitters</t>
  </si>
  <si>
    <t>Miracle Mile Sour Cherry Bitters</t>
  </si>
  <si>
    <t>Prison Bitch</t>
  </si>
  <si>
    <t>Sex with the Captain</t>
  </si>
  <si>
    <t>Frose Snow Cone</t>
  </si>
  <si>
    <t>Maker's Mark Paper Plane</t>
  </si>
  <si>
    <t>0.75 part Lemon Juice</t>
  </si>
  <si>
    <t>Stormy Morning</t>
  </si>
  <si>
    <t>4 parts Sparkling white wine or Sparkling sake</t>
  </si>
  <si>
    <t>Sparkling white wine|Sparkling sake</t>
  </si>
  <si>
    <t>The Dead Rabbit Coffee Cocktail</t>
  </si>
  <si>
    <t>1 egg</t>
  </si>
  <si>
    <t>egg</t>
  </si>
  <si>
    <t>Neutered Purple Squirrel</t>
  </si>
  <si>
    <t>0.75 ounce sweet vermouth</t>
  </si>
  <si>
    <t>Love Potion #69</t>
  </si>
  <si>
    <t>1 splash of rum</t>
  </si>
  <si>
    <t>1 lime, cut into wedges, plus more for garnish</t>
  </si>
  <si>
    <t>,|cut into|, plus more for garnish|</t>
  </si>
  <si>
    <t>3 parts Aged rum</t>
  </si>
  <si>
    <t>Whiskey Smash</t>
  </si>
  <si>
    <t>ToniCoffee Punch</t>
  </si>
  <si>
    <t>1.5 cl snaps - I used an amazing golden oak cask finished dill aquavit called D Aurum from local Den Nye Spritfabrik</t>
  </si>
  <si>
    <t>snaps</t>
  </si>
  <si>
    <t>Agent Orange</t>
  </si>
  <si>
    <t>Vodka 1.5 oz</t>
  </si>
  <si>
    <t>1 parts Whipped Cream Vodka</t>
  </si>
  <si>
    <t>Whipped Cream Vodka</t>
  </si>
  <si>
    <t>Banana Bird</t>
  </si>
  <si>
    <t>1 oz Double Cream</t>
  </si>
  <si>
    <t>Double Cream</t>
  </si>
  <si>
    <t>Vanilla Simple Syrup Recipe for Cocktails and Other Drinks</t>
  </si>
  <si>
    <t>1 vanilla bean</t>
  </si>
  <si>
    <t>vanilla bean</t>
  </si>
  <si>
    <t>Raspberry Lemonade Martini</t>
  </si>
  <si>
    <t>1 splash raspberry-flavored liqueur</t>
  </si>
  <si>
    <t>raspberry-flavored liqueur</t>
  </si>
  <si>
    <t>Pink Summer Beer</t>
  </si>
  <si>
    <t>12 fluid ounces vodka</t>
  </si>
  <si>
    <t>Resting Spritz Face</t>
  </si>
  <si>
    <t>Rainbow Jello Shooter</t>
  </si>
  <si>
    <t>Superfine</t>
  </si>
  <si>
    <t>Lemon Drop Shot</t>
  </si>
  <si>
    <t>Vodka 2 parts</t>
  </si>
  <si>
    <t>Night Tripper from Jewel of the South</t>
  </si>
  <si>
    <t>2 dashes Peychaud's bitters</t>
  </si>
  <si>
    <t>Wilderness Sour Cocktail</t>
  </si>
  <si>
    <t>15 ml Maple syrup</t>
  </si>
  <si>
    <t>Mardi Gras Rita</t>
  </si>
  <si>
    <t>0.5 part Triple sec or Orange curacao</t>
  </si>
  <si>
    <t>Smashing Leaves Kumquat Cocktail</t>
  </si>
  <si>
    <t>Blind Bat</t>
  </si>
  <si>
    <t>4 oz of Coca-Cola</t>
  </si>
  <si>
    <t>Gin Cocktail: Saint Rosalie</t>
  </si>
  <si>
    <t>2 drops grapefruit bitters</t>
  </si>
  <si>
    <t>grapefruit bitters</t>
  </si>
  <si>
    <t>B-52</t>
  </si>
  <si>
    <t>0.33 oz of Kahlua coffee liqueur</t>
  </si>
  <si>
    <t>Kahlua coffee liqueur</t>
  </si>
  <si>
    <t>Red Oolong Negroni</t>
  </si>
  <si>
    <t>0.75 oz blanc vermouth</t>
  </si>
  <si>
    <t>0.75 ounce bay leaf simple syrup (see Editor's Note)</t>
  </si>
  <si>
    <t>bay leaf simple syrup</t>
  </si>
  <si>
    <t>Adios Sugar Goblet</t>
  </si>
  <si>
    <t>6 fluid ounces orange juice</t>
  </si>
  <si>
    <t>Lady's Gentleman</t>
  </si>
  <si>
    <t>1.5 oz of Gentleman Jack Rare Tennessee Whiskey</t>
  </si>
  <si>
    <t>Gentleman Jack Rare Tennessee Whiskey</t>
  </si>
  <si>
    <t>Red Volcano</t>
  </si>
  <si>
    <t>3 cl lemon juice</t>
  </si>
  <si>
    <t>6 cl gin</t>
  </si>
  <si>
    <t xml:space="preserve">cl </t>
  </si>
  <si>
    <t>Brandied cherry and lemon twist for garnish</t>
  </si>
  <si>
    <t>Brandied cherry|lemon</t>
  </si>
  <si>
    <t>Whisky Apple</t>
  </si>
  <si>
    <t>1To top Apple Juice</t>
  </si>
  <si>
    <t>To top</t>
  </si>
  <si>
    <t>Gold Standard</t>
  </si>
  <si>
    <t>1 Dash Orange Juice</t>
  </si>
  <si>
    <t>Blizzard</t>
  </si>
  <si>
    <t>1 tbsp of bar sugar</t>
  </si>
  <si>
    <t>bar sugar</t>
  </si>
  <si>
    <t>Kentucky Maid</t>
  </si>
  <si>
    <t>2 thin cucumber slices</t>
  </si>
  <si>
    <t>thin</t>
  </si>
  <si>
    <t>David Beams 1838 Cocktail</t>
  </si>
  <si>
    <t>0.5 part Yellow Chartreuse Liqueur</t>
  </si>
  <si>
    <t>Yellow Chartreuse Liqueur</t>
  </si>
  <si>
    <t>Rainbow Sangria</t>
  </si>
  <si>
    <t>Honeydew</t>
  </si>
  <si>
    <t>Baileys White Russian</t>
  </si>
  <si>
    <t>The Devil &amp; Miss Mary</t>
  </si>
  <si>
    <t>4-6 dashes Worcestershire sauce</t>
  </si>
  <si>
    <t>Worcestershire sauce</t>
  </si>
  <si>
    <t>Peach &amp; Ginger Mojito</t>
  </si>
  <si>
    <t>0.75 oz Rye Whiskey</t>
  </si>
  <si>
    <t>3 tablespoons cinnamon syrup</t>
  </si>
  <si>
    <t>Chocolate Kiss</t>
  </si>
  <si>
    <t>37.5 ml Peppermint Schnapps</t>
  </si>
  <si>
    <t>Egg 1 undefined</t>
  </si>
  <si>
    <t>Tropical Whiskey Punch</t>
  </si>
  <si>
    <t>1 oz Water</t>
  </si>
  <si>
    <t>Courvoisier Sidecar</t>
  </si>
  <si>
    <t>0.2 part Simple Syrup</t>
  </si>
  <si>
    <t>Candida</t>
  </si>
  <si>
    <t>Meet Me at the Clock: A French 75 Riff</t>
  </si>
  <si>
    <t>5 dashes Peychaud's bitters</t>
  </si>
  <si>
    <t>0.75 oz soda water</t>
  </si>
  <si>
    <t>Corpse Reviver No. 1</t>
  </si>
  <si>
    <t>0.75 parts Brandy or Cognac</t>
  </si>
  <si>
    <t>Topo Chico, chilled, to top (about 6 ounces)</t>
  </si>
  <si>
    <t>Topo Chico</t>
  </si>
  <si>
    <t>,|, to top (about|)</t>
  </si>
  <si>
    <t>Talisker Storm Highball</t>
  </si>
  <si>
    <t>50ml Talisker Storm</t>
  </si>
  <si>
    <t>Talisker Storm</t>
  </si>
  <si>
    <t>Garnish: 1 maraschino cherry (optional)</t>
  </si>
  <si>
    <t>Max Overstrom-Coleman's Eggnog</t>
  </si>
  <si>
    <t>1 cup Cognac, preferably Pierre Ferrand 1840</t>
  </si>
  <si>
    <t>, preferably Pierre Ferrand 1840</t>
  </si>
  <si>
    <t>Spicy Pineapple Margarita</t>
  </si>
  <si>
    <t>2 cups ice, or as needed</t>
  </si>
  <si>
    <t>J&amp;B Ginger Ale Twist and Bitters</t>
  </si>
  <si>
    <t>4 Dashes of Angustora Bitters</t>
  </si>
  <si>
    <t>Angustora Bitters</t>
  </si>
  <si>
    <t>1 fluid ounce cream or milk</t>
  </si>
  <si>
    <t>fuild ounce</t>
  </si>
  <si>
    <t>2 cups Cupcake Vineyards Sauvignon Blanc</t>
  </si>
  <si>
    <t>Cupcake Vineyards Sauvignon Blanc</t>
  </si>
  <si>
    <t>Classic Daiquiri</t>
  </si>
  <si>
    <t>2 tablespoons white sugar, or as needed</t>
  </si>
  <si>
    <t>Flor de Jalisco</t>
  </si>
  <si>
    <t>1 tsp Marmalade</t>
  </si>
  <si>
    <t>Pisco Sour Riff: Carina Carina</t>
  </si>
  <si>
    <t>10.5 oz pisco</t>
  </si>
  <si>
    <t>8 ounces milk chocolate, chopped</t>
  </si>
  <si>
    <t>milk chocolate</t>
  </si>
  <si>
    <t>Creme de violet 1 oz</t>
  </si>
  <si>
    <t>Creme de violet</t>
  </si>
  <si>
    <t>Scotch and Coconut Cocktail</t>
  </si>
  <si>
    <t>2 dashes mole bitters</t>
  </si>
  <si>
    <t>mole bitters</t>
  </si>
  <si>
    <t>Kool Aid Vodka Slush</t>
  </si>
  <si>
    <t>Vodka 3 oz</t>
  </si>
  <si>
    <t>Smirnoff Moscow Mule</t>
  </si>
  <si>
    <t>12 grams MSG</t>
  </si>
  <si>
    <t>grams</t>
  </si>
  <si>
    <t>MSG</t>
  </si>
  <si>
    <t>Nut Job</t>
  </si>
  <si>
    <t>10.5 parts Cranberry juice</t>
  </si>
  <si>
    <t xml:space="preserve">Granulated </t>
  </si>
  <si>
    <t>Blueberry Spritz</t>
  </si>
  <si>
    <t>0.5 oz Strawberry schnapps</t>
  </si>
  <si>
    <t>Strawberry schnapps</t>
  </si>
  <si>
    <t>Not a Snowball's Chance Punch</t>
  </si>
  <si>
    <t>175ml Lime juice</t>
  </si>
  <si>
    <t>Strawberry Basil Bourbon Smash</t>
  </si>
  <si>
    <t>0.5 cup ice, or as needed</t>
  </si>
  <si>
    <t>Caramel Coconut White Russian</t>
  </si>
  <si>
    <t>Orange juice 2 oz</t>
  </si>
  <si>
    <t>DIY Raspberry Infused Gin</t>
  </si>
  <si>
    <t>Sugar 150 g</t>
  </si>
  <si>
    <t>1 teaspoon ground nutmeg</t>
  </si>
  <si>
    <t xml:space="preserve">teaspoon </t>
  </si>
  <si>
    <t>ground nutmeg</t>
  </si>
  <si>
    <t>Mezcal Cocktail: Smokin Berries</t>
  </si>
  <si>
    <t>1 oz blackberry puree</t>
  </si>
  <si>
    <t xml:space="preserve">blackberry </t>
  </si>
  <si>
    <t>puree</t>
  </si>
  <si>
    <t>Americum</t>
  </si>
  <si>
    <t>Bossa Nova</t>
  </si>
  <si>
    <t>Oaxaca Old Fashioned (with Mezcal)</t>
  </si>
  <si>
    <t>15ml Godiva Mocha Liqueur</t>
  </si>
  <si>
    <t>Godiva Mocha Liqueur</t>
  </si>
  <si>
    <t>Stargazer: A Chile Vodka Cocktail</t>
  </si>
  <si>
    <t>0.75 oz cucumber syrup</t>
  </si>
  <si>
    <t>cucumber syrup</t>
  </si>
  <si>
    <t>Bloody Mary 3</t>
  </si>
  <si>
    <t>4 oz Vegetable Juice</t>
  </si>
  <si>
    <t>Vegetable Juice</t>
  </si>
  <si>
    <t>Cuban Mojito</t>
  </si>
  <si>
    <t>2 oz of Lime Juice</t>
  </si>
  <si>
    <t>Sex with the Bartender</t>
  </si>
  <si>
    <t>Black Velveteen</t>
  </si>
  <si>
    <t>12 oz Stout Beer</t>
  </si>
  <si>
    <t>Stout Beer</t>
  </si>
  <si>
    <t>Division Bell Cocktail</t>
  </si>
  <si>
    <t>1 ounce mezcal</t>
  </si>
  <si>
    <t>Ciroc Grape Martini</t>
  </si>
  <si>
    <t>10ml White Grapes</t>
  </si>
  <si>
    <t>White Grapes</t>
  </si>
  <si>
    <t>Honeydew Jalapeno Frozen Margarita</t>
  </si>
  <si>
    <t>Honeydew 1 frozen</t>
  </si>
  <si>
    <t>0.5 oz Cinzano Rosso vermouth</t>
  </si>
  <si>
    <t>Cinzano Rosso vermouth</t>
  </si>
  <si>
    <t>Japanese Cocktail</t>
  </si>
  <si>
    <t>1 dash aromatic bitters</t>
  </si>
  <si>
    <t>Absolut Santo</t>
  </si>
  <si>
    <t>Grand Dukes Nectar From Becketts Kopf Berlin</t>
  </si>
  <si>
    <t>0.75 oz aged rum</t>
  </si>
  <si>
    <t>Bushwacker 2</t>
  </si>
  <si>
    <t>5 ounce Irish Cream</t>
  </si>
  <si>
    <t>NoSay</t>
  </si>
  <si>
    <t>12 oz Bitter Beer</t>
  </si>
  <si>
    <t>Laura Maddox's Tequila Daisy</t>
  </si>
  <si>
    <t>0.75 ounce orange liqueur</t>
  </si>
  <si>
    <t>Violet Hour</t>
  </si>
  <si>
    <t>1 ounce Dionystic Chios Piquette of Syrah 2020 (a light red may be substituted)</t>
  </si>
  <si>
    <t>Dionystic Chios Piquette of Syrah 2020</t>
  </si>
  <si>
    <t>(a light red may be substituted)</t>
  </si>
  <si>
    <t>1 ounce reposado tequila</t>
  </si>
  <si>
    <t>Harry Potters Butter Beer</t>
  </si>
  <si>
    <t>Bourbon Rosemary Punch</t>
  </si>
  <si>
    <t>Garnish: 16 grapefruit wheels</t>
  </si>
  <si>
    <t>grapefruit</t>
  </si>
  <si>
    <t>Mixed Berry Daiquiri</t>
  </si>
  <si>
    <t>Light rum 2 oz</t>
  </si>
  <si>
    <t>Blue Hawaiian Shot</t>
  </si>
  <si>
    <t>Pumpkin Toddy</t>
  </si>
  <si>
    <t>1 tsp Libby's pumpkin puree</t>
  </si>
  <si>
    <t xml:space="preserve">Libby's pumpkin </t>
  </si>
  <si>
    <t>Creamy Frozen Mudslide</t>
  </si>
  <si>
    <t>Margarita (Classic Recipe)</t>
  </si>
  <si>
    <t>Lime wedge, for the garnish</t>
  </si>
  <si>
    <t>, for the garnish</t>
  </si>
  <si>
    <t>Stinger</t>
  </si>
  <si>
    <t>Simple Mint Julep</t>
  </si>
  <si>
    <t>1 jigger bourbon, or more to taste</t>
  </si>
  <si>
    <t>, or more to taste</t>
  </si>
  <si>
    <t>1 cup water</t>
  </si>
  <si>
    <t>Windex</t>
  </si>
  <si>
    <t>6 oz Lemon-Lime Soda</t>
  </si>
  <si>
    <t>Brazilian Wax</t>
  </si>
  <si>
    <t>10.5 parts Sparkling water</t>
  </si>
  <si>
    <t>A Hole in One</t>
  </si>
  <si>
    <t>Johnnie Walker Red Label Blended Scotch Whisky</t>
  </si>
  <si>
    <t>Classic Rum Punch</t>
  </si>
  <si>
    <t>2 part Cruzan Aged Light Rum</t>
  </si>
  <si>
    <t>Strawberry Daiquiri by Request</t>
  </si>
  <si>
    <t>0.5 package frozen strawberries</t>
  </si>
  <si>
    <t>package</t>
  </si>
  <si>
    <t>50ml natural syrup</t>
  </si>
  <si>
    <t>natural syrup</t>
  </si>
  <si>
    <t>Anjeo Manhattan</t>
  </si>
  <si>
    <t>1dash Cocktail Bitters</t>
  </si>
  <si>
    <t>Cocktail Bitters</t>
  </si>
  <si>
    <t>2 whole Blackberry</t>
  </si>
  <si>
    <t>Blackberry</t>
  </si>
  <si>
    <t xml:space="preserve">whole </t>
  </si>
  <si>
    <t>The Spice Is Right</t>
  </si>
  <si>
    <t>0.25 ounce Ancho Reyes ancho chile liqueur</t>
  </si>
  <si>
    <t>Ancho Reyes ancho chile liqueur</t>
  </si>
  <si>
    <t>Vodka Beast</t>
  </si>
  <si>
    <t>1.5 parts EFFEN Black Cherry Vodka</t>
  </si>
  <si>
    <t>EFFEN Black Cherry Vodka</t>
  </si>
  <si>
    <t>WHITE LADY</t>
  </si>
  <si>
    <t>Bloody Geisha</t>
  </si>
  <si>
    <t>1 splash club soda</t>
  </si>
  <si>
    <t>Irish Cream Float</t>
  </si>
  <si>
    <t>1.5 parts Irish Whiskey</t>
  </si>
  <si>
    <t>Breakfast Martini Recipe</t>
  </si>
  <si>
    <t>0.5 oz Cointreau</t>
  </si>
  <si>
    <t>Passion Fruit Frose</t>
  </si>
  <si>
    <t>0.75 fluid ounce fresh lime juice</t>
  </si>
  <si>
    <t>Espresso Negroni</t>
  </si>
  <si>
    <t>0.75 parts Coffee Liqueur</t>
  </si>
  <si>
    <t>0.25 ounce Herbsaint, for rinsing the glass</t>
  </si>
  <si>
    <t>Herbsaint</t>
  </si>
  <si>
    <t>, for rinsing the glass</t>
  </si>
  <si>
    <t>Sticky Toffee Pudding with Bourbon Sauce</t>
  </si>
  <si>
    <t>4.5 tsp. baking soda</t>
  </si>
  <si>
    <t>.</t>
  </si>
  <si>
    <t>Alien Orgasm</t>
  </si>
  <si>
    <t>Irish Cream. Home Made</t>
  </si>
  <si>
    <t>3 Egg</t>
  </si>
  <si>
    <t>Citrus Basil Manhattan</t>
  </si>
  <si>
    <t>Garnish Lemon Twist</t>
  </si>
  <si>
    <t>0.25 oz of simple syrup</t>
  </si>
  <si>
    <t>A Lions Tale Remix: All Spice and Everything Nice</t>
  </si>
  <si>
    <t>Vanilla Sour</t>
  </si>
  <si>
    <t>2 parts Vanilla vodka</t>
  </si>
  <si>
    <t>Fall Spice Cordial</t>
  </si>
  <si>
    <t>.5 Cup Sugar</t>
  </si>
  <si>
    <t>2 fluid ounces fresh pineapple juice</t>
  </si>
  <si>
    <t>Banana Daiquiri Jelly Shot</t>
  </si>
  <si>
    <t>25 ml Lime Juice</t>
  </si>
  <si>
    <t>Blue Long Island</t>
  </si>
  <si>
    <t>1 oz Gold Tequila</t>
  </si>
  <si>
    <t>The Finnely</t>
  </si>
  <si>
    <t>1 oz Grapefruit Juice</t>
  </si>
  <si>
    <t>Classic Bramble Cocktail</t>
  </si>
  <si>
    <t>Crushed ice , for serving</t>
  </si>
  <si>
    <t xml:space="preserve"> , for serving</t>
  </si>
  <si>
    <t>Aperol Cosmopolitan</t>
  </si>
  <si>
    <t>Zippy's Revenge</t>
  </si>
  <si>
    <t>Virgin Mojito Mocktail Recipe</t>
  </si>
  <si>
    <t>6 mint leaves, plus additional for garnish</t>
  </si>
  <si>
    <t>, plus additional for garnish</t>
  </si>
  <si>
    <t>Festive Flip</t>
  </si>
  <si>
    <t>1 Nutmeg Powder (garnish)</t>
  </si>
  <si>
    <t>Nutmeg Powder</t>
  </si>
  <si>
    <t>Mango Habanero Margarita</t>
  </si>
  <si>
    <t>Tajin</t>
  </si>
  <si>
    <t>Chewbacca</t>
  </si>
  <si>
    <t>1 Splash Orange Juice</t>
  </si>
  <si>
    <t>Holy Smokes</t>
  </si>
  <si>
    <t>2 dashes The Bitter Truth chocolate bitters</t>
  </si>
  <si>
    <t>The Bitter Truth chocolate bitters</t>
  </si>
  <si>
    <t>White Christmas Mojito</t>
  </si>
  <si>
    <t>0.25 cup Mint Leaves plus extra for garnish</t>
  </si>
  <si>
    <t xml:space="preserve">Mint Leaves </t>
  </si>
  <si>
    <t>plus extra for garnish</t>
  </si>
  <si>
    <t>Porch Punch</t>
  </si>
  <si>
    <t>Fresh lime juice, as needed</t>
  </si>
  <si>
    <t>1 ounce London dry gin</t>
  </si>
  <si>
    <t>London gin</t>
  </si>
  <si>
    <t xml:space="preserve"> dry</t>
  </si>
  <si>
    <t>The Aftershock</t>
  </si>
  <si>
    <t>Coconut tequila 1 oz</t>
  </si>
  <si>
    <t>Coconut tequila</t>
  </si>
  <si>
    <t>Comfort Tiger</t>
  </si>
  <si>
    <t>1.5 fluid ounces white rum</t>
  </si>
  <si>
    <t>0.25 oz honey</t>
  </si>
  <si>
    <t>Garnish: flamed orange peel</t>
  </si>
  <si>
    <t>orange peel</t>
  </si>
  <si>
    <t>The Jalisco Julep</t>
  </si>
  <si>
    <t>25ml Sweet &amp; Sour Mix</t>
  </si>
  <si>
    <t>Sweet &amp; Sour Mix</t>
  </si>
  <si>
    <t>13 oz Bitter Beer</t>
  </si>
  <si>
    <t>Bhoomi</t>
  </si>
  <si>
    <t>0.5 ounce Luxardo Bitter Bianco (See Editors Note)</t>
  </si>
  <si>
    <t>Luxardo Bitter Bianco</t>
  </si>
  <si>
    <t>MARTINI &amp; ROSSI Americano</t>
  </si>
  <si>
    <t>1 ounce MARTINI &amp; ROSSI Riserva Speciale Bitter Liqueur</t>
  </si>
  <si>
    <t>MARTINI &amp; ROSSI Riserva Speciale Bitter Liqueur</t>
  </si>
  <si>
    <t>Blindside</t>
  </si>
  <si>
    <t>Cafe Royals Matador</t>
  </si>
  <si>
    <t>0.67 ounce tequila</t>
  </si>
  <si>
    <t>Maple Leaf, A Whiskey Sour Riff</t>
  </si>
  <si>
    <t>0.75 oz thinned maple syrup</t>
  </si>
  <si>
    <t>thinned</t>
  </si>
  <si>
    <t>Coconut rum 1.5 cups</t>
  </si>
  <si>
    <t xml:space="preserve">Coconut rum </t>
  </si>
  <si>
    <t>Strawberries 6 cups</t>
  </si>
  <si>
    <t xml:space="preserve">Strawberries </t>
  </si>
  <si>
    <t>Bellini Martini</t>
  </si>
  <si>
    <t>Raspberries 3 undefined</t>
  </si>
  <si>
    <t>1.5 oz fine bourbon</t>
  </si>
  <si>
    <t>fine bourbon</t>
  </si>
  <si>
    <t>Pina Punch</t>
  </si>
  <si>
    <t>1 part Sauza Blue 100% Agave Blanco Tequila</t>
  </si>
  <si>
    <t>25ml Pineapple Juice</t>
  </si>
  <si>
    <t>Red Death Cocktail</t>
  </si>
  <si>
    <t>Pinnacle Raspberry Lemonade</t>
  </si>
  <si>
    <t>Bad Attitude</t>
  </si>
  <si>
    <t>4th July Edible Shot Glasses</t>
  </si>
  <si>
    <t>2 drops vanilla extract</t>
  </si>
  <si>
    <t>vanilla extract</t>
  </si>
  <si>
    <t>0.75 oz toasted pepita orgeat</t>
  </si>
  <si>
    <t>pepita orgeat</t>
  </si>
  <si>
    <t>1 oz Coconut Liqueur</t>
  </si>
  <si>
    <t>2 oz Tequila or</t>
  </si>
  <si>
    <t>2 oz Half-and-half</t>
  </si>
  <si>
    <t>Spanish Armada</t>
  </si>
  <si>
    <t>1 ounce El Dorado 12-year-old rum</t>
  </si>
  <si>
    <t>El Dorado 12-year-old rum</t>
  </si>
  <si>
    <t>0.25 oz dry curacao</t>
  </si>
  <si>
    <t>dry curacao</t>
  </si>
  <si>
    <t>2 fluid ounces coffee flavored liqueur</t>
  </si>
  <si>
    <t>coffee flavored liqueur</t>
  </si>
  <si>
    <t>Pine Sudachi Spritz</t>
  </si>
  <si>
    <t>4 ounces sparkling water</t>
  </si>
  <si>
    <t>Chocolate Mountain</t>
  </si>
  <si>
    <t>Mango Margarita</t>
  </si>
  <si>
    <t>2 ounces mezcal, preferably Del Maguey Vida</t>
  </si>
  <si>
    <t>Petals for Armor</t>
  </si>
  <si>
    <t>0.5 ounce peach schnapps, preferably Faber</t>
  </si>
  <si>
    <t>, preferably Faber</t>
  </si>
  <si>
    <t>Floradora</t>
  </si>
  <si>
    <t>Ambijaxtrious</t>
  </si>
  <si>
    <t>2 oz of milk</t>
  </si>
  <si>
    <t>Hanamizake Martini</t>
  </si>
  <si>
    <t>2 dashes Suze red bitters</t>
  </si>
  <si>
    <t>Suze red bitters</t>
  </si>
  <si>
    <t>Hot Sex</t>
  </si>
  <si>
    <t>Irish Cream 2</t>
  </si>
  <si>
    <t>Bucket of Blood Martini</t>
  </si>
  <si>
    <t>12.5ml Grenadine</t>
  </si>
  <si>
    <t>Pink Starburst Cocktail</t>
  </si>
  <si>
    <t>Mai Tai II</t>
  </si>
  <si>
    <t>3 fluid ounces pineapple juice</t>
  </si>
  <si>
    <t>Tesla Collins</t>
  </si>
  <si>
    <t>0.25 part Oleo saccharum</t>
  </si>
  <si>
    <t>Oleo saccharum</t>
  </si>
  <si>
    <t>Chocolate Blitzen</t>
  </si>
  <si>
    <t>Twist of Lime peel</t>
  </si>
  <si>
    <t>Lime peel</t>
  </si>
  <si>
    <t>Hot Gin Toddy</t>
  </si>
  <si>
    <t>The Vodka Margarita</t>
  </si>
  <si>
    <t>Ruby Peach Bomb</t>
  </si>
  <si>
    <t>0.25 oz lime juice</t>
  </si>
  <si>
    <t>Banana Pina Colada</t>
  </si>
  <si>
    <t>Bloodfeast</t>
  </si>
  <si>
    <t>Blessed Thistle Negroni</t>
  </si>
  <si>
    <t>Whitecap Margarita</t>
  </si>
  <si>
    <t>Elderflower Tonic</t>
  </si>
  <si>
    <t>1.5 oz Bols Elderflower</t>
  </si>
  <si>
    <t>Bols Elderflower</t>
  </si>
  <si>
    <t>Black Forest</t>
  </si>
  <si>
    <t>Seagram's 7 Crown Stone Cherry Whisky</t>
  </si>
  <si>
    <t>Precursory</t>
  </si>
  <si>
    <t>2 Dash orange bitters</t>
  </si>
  <si>
    <t>Royal Stretch</t>
  </si>
  <si>
    <t>10ml Grenadine</t>
  </si>
  <si>
    <t>The Rose Sangria</t>
  </si>
  <si>
    <t>Rose 1 bottle</t>
  </si>
  <si>
    <t>Bloody Mary Beans</t>
  </si>
  <si>
    <t>0.67 cup white wine, or apple cider vinegar</t>
  </si>
  <si>
    <t>white wine|apple cider vinegar</t>
  </si>
  <si>
    <t xml:space="preserve">, or </t>
  </si>
  <si>
    <t>1 tsp Cinnamon syrup</t>
  </si>
  <si>
    <t xml:space="preserve">fill with </t>
  </si>
  <si>
    <t>5 oz of milk</t>
  </si>
  <si>
    <t>Triple sec 0.75 oz</t>
  </si>
  <si>
    <t>Ranch Mizu</t>
  </si>
  <si>
    <t>0.5 ounce Kurokame sweet potato shochu</t>
  </si>
  <si>
    <t>Kurokame sweet potato shochu</t>
  </si>
  <si>
    <t>Thai Cosmo</t>
  </si>
  <si>
    <t>1 Small Piece of Fresh Ginger</t>
  </si>
  <si>
    <t>Piece</t>
  </si>
  <si>
    <t>0.25 parts red shiso falernum</t>
  </si>
  <si>
    <t>red shiso falernum</t>
  </si>
  <si>
    <t>Forbidden Sour</t>
  </si>
  <si>
    <t>Garnish: cherry</t>
  </si>
  <si>
    <t>Salted Caramel Pretzel</t>
  </si>
  <si>
    <t>0.75 oz Chocolate liqueur</t>
  </si>
  <si>
    <t>12 oz Club Soda</t>
  </si>
  <si>
    <t>12 oz Apple Juice</t>
  </si>
  <si>
    <t>Tequila 2.5 oz</t>
  </si>
  <si>
    <t>Absolut Summertime</t>
  </si>
  <si>
    <t>3 oz Soda Water</t>
  </si>
  <si>
    <t>Vanilla Mist</t>
  </si>
  <si>
    <t>150ml Lemon-Lime soda</t>
  </si>
  <si>
    <t>Green and Gold Bloody</t>
  </si>
  <si>
    <t>10 Dash Tabasco sauce</t>
  </si>
  <si>
    <t>7 strawberries, quartered</t>
  </si>
  <si>
    <t>Crazy Erika</t>
  </si>
  <si>
    <t>3 oz Pomegranate Juice</t>
  </si>
  <si>
    <t>The Godmother</t>
  </si>
  <si>
    <t>1 bar spoon Sugar</t>
  </si>
  <si>
    <t xml:space="preserve">bar spoon </t>
  </si>
  <si>
    <t>0.5 ounce cognac, preferably Pierre Ferrand 1840</t>
  </si>
  <si>
    <t>Fall Margarita</t>
  </si>
  <si>
    <t>Bourbon Flip</t>
  </si>
  <si>
    <t>Caramilk Eggnog</t>
  </si>
  <si>
    <t>Nutmeg for garnish</t>
  </si>
  <si>
    <t>Sunday Bloody</t>
  </si>
  <si>
    <t>DEAD POOL VASECTOMY COCKTAIL</t>
  </si>
  <si>
    <t>1 dash Lemon Juice</t>
  </si>
  <si>
    <t>Last Word Riff: Tongue Twister</t>
  </si>
  <si>
    <t>0.75 oz genepy</t>
  </si>
  <si>
    <t>0.75 fluid ounce honey syrup</t>
  </si>
  <si>
    <t>Red Velvet Gimlet</t>
  </si>
  <si>
    <t>40ml Johnnie Walker Red Label</t>
  </si>
  <si>
    <t>10ml Benedictine Liqueur</t>
  </si>
  <si>
    <t>SideCar</t>
  </si>
  <si>
    <t>12.5 ml Triple Sec</t>
  </si>
  <si>
    <t>30 mL Creme De Cacao</t>
  </si>
  <si>
    <t>Passion Fruit Passport</t>
  </si>
  <si>
    <t>Garnish with Maraschino Cherries</t>
  </si>
  <si>
    <t>Maraschino Cherries</t>
  </si>
  <si>
    <t>Le Provocateur</t>
  </si>
  <si>
    <t>0.5 part fresh Lime Juice</t>
  </si>
  <si>
    <t>Cruzan Spiced Apple Cider</t>
  </si>
  <si>
    <t>4 parts Apple Cider</t>
  </si>
  <si>
    <t>1 tablespoon steak sauce</t>
  </si>
  <si>
    <t>steak sauce</t>
  </si>
  <si>
    <t>Blanco Banana-Black Raspberry Martini</t>
  </si>
  <si>
    <t>The Adios Motherfucker Shot</t>
  </si>
  <si>
    <t>Smirnoff Jamaican Sunrise</t>
  </si>
  <si>
    <t>1 teaspoon maple honey</t>
  </si>
  <si>
    <t>maple honey</t>
  </si>
  <si>
    <t>Captain Morgan White Mojito</t>
  </si>
  <si>
    <t>1 Half a lime (squeezed)</t>
  </si>
  <si>
    <t xml:space="preserve">lime </t>
  </si>
  <si>
    <t>Half|squeezed</t>
  </si>
  <si>
    <t>a|()</t>
  </si>
  <si>
    <t>Baduizm</t>
  </si>
  <si>
    <t>.5 oz Condensed Milk</t>
  </si>
  <si>
    <t>Garnish: lime wedge</t>
  </si>
  <si>
    <t>Adams Apple</t>
  </si>
  <si>
    <t>0.3 oz Bols Grenadine Syrup</t>
  </si>
  <si>
    <t>Bols Grenadine Syrup</t>
  </si>
  <si>
    <t>Classic Bramble Recipe</t>
  </si>
  <si>
    <t>You need to take the pouch off - if you dont go for t he naked Swig flask - in order for it to stand securely while you fill it.</t>
  </si>
  <si>
    <t>Dutch Bomb</t>
  </si>
  <si>
    <t>1 oz White Tequila</t>
  </si>
  <si>
    <t>White Tequila</t>
  </si>
  <si>
    <t>Sour Peach Negroni From Jewel of the South</t>
  </si>
  <si>
    <t>0.75 oz Dolin Blanc</t>
  </si>
  <si>
    <t>Dolin Blanc</t>
  </si>
  <si>
    <t>Jim Kroener</t>
  </si>
  <si>
    <t>1 Part Lime Juice</t>
  </si>
  <si>
    <t>kosher salt as needed</t>
  </si>
  <si>
    <t>kosher salt</t>
  </si>
  <si>
    <t>0.5 ounce vodka</t>
  </si>
  <si>
    <t>Supernova Gin Sour</t>
  </si>
  <si>
    <t>Choklad Prins Bertil</t>
  </si>
  <si>
    <t>1.5 oz Orange Liqueur</t>
  </si>
  <si>
    <t>Watermelon Vodka</t>
  </si>
  <si>
    <t>1 small watermelon, cubed</t>
  </si>
  <si>
    <t>watermelon</t>
  </si>
  <si>
    <t>cubed</t>
  </si>
  <si>
    <t>Smirnoff Kissed Caramel Appletini</t>
  </si>
  <si>
    <t>50ml Smirnoff Kissed Caramel flavoured Vodka</t>
  </si>
  <si>
    <t>Smirnoff Kissed Caramel flavoured Vodka</t>
  </si>
  <si>
    <t>Cold Green Slime</t>
  </si>
  <si>
    <t>12 oz Citrus Soda</t>
  </si>
  <si>
    <t>The Raspberry Lemonade Spritzer</t>
  </si>
  <si>
    <t>Double Standard</t>
  </si>
  <si>
    <t>Pretty in Pink</t>
  </si>
  <si>
    <t>Simple syrup 0.75 oz</t>
  </si>
  <si>
    <t>Amaretto Seduction</t>
  </si>
  <si>
    <t>1 Cup Ice</t>
  </si>
  <si>
    <t xml:space="preserve">Cup </t>
  </si>
  <si>
    <t>Tito's Espresso Martini</t>
  </si>
  <si>
    <t>2 ounces Tito's Handmade Vodka</t>
  </si>
  <si>
    <t>Tito's Handmade Vodka</t>
  </si>
  <si>
    <t>Virgin Island Kula</t>
  </si>
  <si>
    <t>Frisky Steve</t>
  </si>
  <si>
    <t>3 oz Champagne</t>
  </si>
  <si>
    <t>Blackberry Fizz</t>
  </si>
  <si>
    <t>50ml Blackberry puree</t>
  </si>
  <si>
    <t>Blackberry puree</t>
  </si>
  <si>
    <t>Anatole Coffee</t>
  </si>
  <si>
    <t>Black Death</t>
  </si>
  <si>
    <t>Creme de Cafe</t>
  </si>
  <si>
    <t>1 oz Coffee Brandy</t>
  </si>
  <si>
    <t>Coffee Brandy</t>
  </si>
  <si>
    <t>Orange Mojito</t>
  </si>
  <si>
    <t>.5 Whipped Cream</t>
  </si>
  <si>
    <t>Ciroc Lola</t>
  </si>
  <si>
    <t>Midori Sour</t>
  </si>
  <si>
    <t>50 ml Lemon and Lime Soda</t>
  </si>
  <si>
    <t>Lemon and Lime Soda</t>
  </si>
  <si>
    <t>Shogun</t>
  </si>
  <si>
    <t>5 oz Cranberry Juice</t>
  </si>
  <si>
    <t>Koffie &amp; Tonic</t>
  </si>
  <si>
    <t>3 dashes orange flower water</t>
  </si>
  <si>
    <t>Sienna</t>
  </si>
  <si>
    <t>3 oz chilled soda water</t>
  </si>
  <si>
    <t xml:space="preserve">chilled </t>
  </si>
  <si>
    <t>Maine 75</t>
  </si>
  <si>
    <t>Seagram's Cherry Julep</t>
  </si>
  <si>
    <t>7 Mint Leaves</t>
  </si>
  <si>
    <t>1 oz Velvet Falernum</t>
  </si>
  <si>
    <t>Velvet Falernum</t>
  </si>
  <si>
    <t>3 parts Cranberry juice</t>
  </si>
  <si>
    <t>Blood Orange Garibaldi</t>
  </si>
  <si>
    <t>6 ounces blood orange juice</t>
  </si>
  <si>
    <t>blood orange juice</t>
  </si>
  <si>
    <t>Gimlet Cocktail</t>
  </si>
  <si>
    <t>1.5 fluid ounces gin</t>
  </si>
  <si>
    <t xml:space="preserve">fluid ounces </t>
  </si>
  <si>
    <t>Stiletto</t>
  </si>
  <si>
    <t>0.5 oz of Amaretto</t>
  </si>
  <si>
    <t>Boozy Pumpkin Milkshake</t>
  </si>
  <si>
    <t>1.5 parts DeKuyper Amaretto Liqueur</t>
  </si>
  <si>
    <t>DeKuyper Amaretto Liqueur</t>
  </si>
  <si>
    <t>Eggnog (Spiked with Rum)</t>
  </si>
  <si>
    <t>1 quart half-and-half</t>
  </si>
  <si>
    <t>J&amp;B Honey Pop</t>
  </si>
  <si>
    <t>50ml J&amp;B Honey Blended Scotch Whisky</t>
  </si>
  <si>
    <t>J&amp;B Honey Blended Scotch Whisky</t>
  </si>
  <si>
    <t>2 oz Soda Water</t>
  </si>
  <si>
    <t>Strawberry Kamikaze Shot</t>
  </si>
  <si>
    <t>Green River</t>
  </si>
  <si>
    <t>2 parts Hornitos Plata Tequila</t>
  </si>
  <si>
    <t>Hornitos Plata Tequila</t>
  </si>
  <si>
    <t>Dark 'n' Stormy Cocktail</t>
  </si>
  <si>
    <t>0.5 cup ice</t>
  </si>
  <si>
    <t xml:space="preserve">cup </t>
  </si>
  <si>
    <t>12.5 ml Yellow Chartreuse</t>
  </si>
  <si>
    <t>Yellow Chartreuse</t>
  </si>
  <si>
    <t>Bitter Margarita</t>
  </si>
  <si>
    <t>0.5 ounce mezcal, such as Rosaluna</t>
  </si>
  <si>
    <t>mezcal|Rosaluna</t>
  </si>
  <si>
    <t xml:space="preserve">, such as </t>
  </si>
  <si>
    <t>Fourth Regiment Cocktail</t>
  </si>
  <si>
    <t>2 dashes celery bitters</t>
  </si>
  <si>
    <t>celery bitters</t>
  </si>
  <si>
    <t>Irish Car Bomb Shot</t>
  </si>
  <si>
    <t>.5 oz Irish Whiskey</t>
  </si>
  <si>
    <t>Sazerac Classic</t>
  </si>
  <si>
    <t>0.5 tsp of Pernod</t>
  </si>
  <si>
    <t>Pernod</t>
  </si>
  <si>
    <t>Pumpkin Spice</t>
  </si>
  <si>
    <t>1 Grapefruit peel</t>
  </si>
  <si>
    <t>Grapefruit peel</t>
  </si>
  <si>
    <t>Beachbum</t>
  </si>
  <si>
    <t>0.5 part Apricot liqueur</t>
  </si>
  <si>
    <t>Cheap Sunglasses</t>
  </si>
  <si>
    <t>2.5 oz Lemonade</t>
  </si>
  <si>
    <t>3 parts Tonic water</t>
  </si>
  <si>
    <t>Monterey Park Lychee Martini</t>
  </si>
  <si>
    <t>2 tablespoons almond jello</t>
  </si>
  <si>
    <t>almond jello</t>
  </si>
  <si>
    <t>French 75 Riff: Decis Roommate</t>
  </si>
  <si>
    <t>0.5 oz rich simple syrup</t>
  </si>
  <si>
    <t>White rum 1.5 oz</t>
  </si>
  <si>
    <t>Blue Angel</t>
  </si>
  <si>
    <t>Big Batch Freezer Lemon Drop Martinis</t>
  </si>
  <si>
    <t>1.75 cups vodka</t>
  </si>
  <si>
    <t>Real Watermelon Jello Shots</t>
  </si>
  <si>
    <t>Hot water 1 cups</t>
  </si>
  <si>
    <t>14 ounces sweetened condensed milk</t>
  </si>
  <si>
    <t>The Chee Chee</t>
  </si>
  <si>
    <t>0.25 part Averna Amaro</t>
  </si>
  <si>
    <t>Guinness Jello Shots</t>
  </si>
  <si>
    <t>Gowanus</t>
  </si>
  <si>
    <t>6 cl rye whisky - I used Rittenhouse 100 proof</t>
  </si>
  <si>
    <t>rye whisky</t>
  </si>
  <si>
    <t>- I used Rittenhouse 100 proof</t>
  </si>
  <si>
    <t>Pearl of Krishna</t>
  </si>
  <si>
    <t>0.75 ounce Lustau Red Vermut</t>
  </si>
  <si>
    <t>Lustau Red Vermut</t>
  </si>
  <si>
    <t>4 Godfathers</t>
  </si>
  <si>
    <t>1 oz Bourbon Whiskey Jim Beam</t>
  </si>
  <si>
    <t>Bourbon Whiskey Jim Beam</t>
  </si>
  <si>
    <t>0.12 part fresh ginger juice</t>
  </si>
  <si>
    <t>Christmas Elf`s Revenge</t>
  </si>
  <si>
    <t>1 oz of Grenadine</t>
  </si>
  <si>
    <t>The Dickensian Villain: A Winter Cocktail</t>
  </si>
  <si>
    <t>orange twist</t>
  </si>
  <si>
    <t>New Fashioned</t>
  </si>
  <si>
    <t>1 Orange Peel (Garnish)</t>
  </si>
  <si>
    <t>Green Apple Fuzz</t>
  </si>
  <si>
    <t>Motor Oil Shot</t>
  </si>
  <si>
    <t>Jagermeister 1 oz</t>
  </si>
  <si>
    <t>Lorettas Punch</t>
  </si>
  <si>
    <t>Mule</t>
  </si>
  <si>
    <t>Evil Jake</t>
  </si>
  <si>
    <t>4 oz Bourbon Whiskey</t>
  </si>
  <si>
    <t>2 parts Apple brandy</t>
  </si>
  <si>
    <t>Dill Pickle Martini</t>
  </si>
  <si>
    <t>2 dill pickle spears</t>
  </si>
  <si>
    <t>dill</t>
  </si>
  <si>
    <t>pickle spears</t>
  </si>
  <si>
    <t>Flaming Armageddon</t>
  </si>
  <si>
    <t>.5 oz Tequila</t>
  </si>
  <si>
    <t>Americano</t>
  </si>
  <si>
    <t>1pinch Salt</t>
  </si>
  <si>
    <t>1.5 cups fresh mint leaves, unpacked</t>
  </si>
  <si>
    <t>, unpacked</t>
  </si>
  <si>
    <t>1 Cinnamon Stick Garnish</t>
  </si>
  <si>
    <t>Umbreon Pokemon Cocktail</t>
  </si>
  <si>
    <t>Candy Corn Shot</t>
  </si>
  <si>
    <t>0.33 ounce orange curacao liqueur</t>
  </si>
  <si>
    <t>orange curacao liqueur</t>
  </si>
  <si>
    <t>Christopher Walken</t>
  </si>
  <si>
    <t>Liquid Cocaine</t>
  </si>
  <si>
    <t>0.5 ounce cinnamon schnapps (such as Goldschlager) or peppermint schnapps (such as Rumplemintz)</t>
  </si>
  <si>
    <t>cinnamon schnapps|peppermint schnapps</t>
  </si>
  <si>
    <t>(such as Goldschlager)| or|(such as Rumplemintz)</t>
  </si>
  <si>
    <t>The Jedi Cocktail</t>
  </si>
  <si>
    <t>Bird Of Paradise</t>
  </si>
  <si>
    <t>0.75 oz of Tequila</t>
  </si>
  <si>
    <t>Chocolate Negroni</t>
  </si>
  <si>
    <t>Gran classico bitter liqueur 1.5 oz</t>
  </si>
  <si>
    <t>Gran classico bitter liqueur</t>
  </si>
  <si>
    <t>Silk Stocking</t>
  </si>
  <si>
    <t>25ml White Creme de Cacao</t>
  </si>
  <si>
    <t>0.25 teaspoon smoked paprika</t>
  </si>
  <si>
    <t>smoked paprika</t>
  </si>
  <si>
    <t>Kentucky Derby Bourbon Punch</t>
  </si>
  <si>
    <t>1 can frozen lemonade concentrate, thawed</t>
  </si>
  <si>
    <t>lemonade concentrate</t>
  </si>
  <si>
    <t>frozen|thawed</t>
  </si>
  <si>
    <t>Low Key</t>
  </si>
  <si>
    <t>2 ounces bonded bourbon, preferably Early Times</t>
  </si>
  <si>
    <t>bonded bourbon</t>
  </si>
  <si>
    <t>, preferably Early Times</t>
  </si>
  <si>
    <t>Ciclonic Hurricane</t>
  </si>
  <si>
    <t>2 oz Gold Rum</t>
  </si>
  <si>
    <t>Blackberry-Mint Julep Margarita</t>
  </si>
  <si>
    <t>1 ounce bourbon whiskey</t>
  </si>
  <si>
    <t>Russian Qualude 2</t>
  </si>
  <si>
    <t>Chupacabra</t>
  </si>
  <si>
    <t>Peach Cobbler Martini</t>
  </si>
  <si>
    <t>Wet Pussy Cocktail</t>
  </si>
  <si>
    <t>6 oz Milk</t>
  </si>
  <si>
    <t>A Little Dick`ll Do</t>
  </si>
  <si>
    <t>2 oz Tennessee Whiskey</t>
  </si>
  <si>
    <t>Tennessee Whiskey</t>
  </si>
  <si>
    <t>1 bottle rye whiskey</t>
  </si>
  <si>
    <t xml:space="preserve">Tequila </t>
  </si>
  <si>
    <t>0.38 ounce strained lime juice (if 0.38 ounce breaks your brain, think of it as a light 0.5 ounce)</t>
  </si>
  <si>
    <t>strained lime juice</t>
  </si>
  <si>
    <t>(if 0.38 ounce breaks your brain, think of it as a light 0.5 ounce)</t>
  </si>
  <si>
    <t>Life of Peach</t>
  </si>
  <si>
    <t>1.5 ounces Calabrian chile-infused tequila (see Editor's Note)</t>
  </si>
  <si>
    <t>Calabrian chile-infused tequila</t>
  </si>
  <si>
    <t>Cheesecake Martini</t>
  </si>
  <si>
    <t>10ml Cranberry Juice</t>
  </si>
  <si>
    <t>Anniversary Punch</t>
  </si>
  <si>
    <t>1 pt Strawberries</t>
  </si>
  <si>
    <t>pt</t>
  </si>
  <si>
    <t>Football Smash</t>
  </si>
  <si>
    <t>0.5 oz Agave Syrup</t>
  </si>
  <si>
    <t>Tia Mia</t>
  </si>
  <si>
    <t>1 ounce mezcal espadin</t>
  </si>
  <si>
    <t>mezcal espadin</t>
  </si>
  <si>
    <t>Dirty Silk Panties</t>
  </si>
  <si>
    <t>Silver Fizz</t>
  </si>
  <si>
    <t>1 to 2 ounces club soda , chilled, to top</t>
  </si>
  <si>
    <t xml:space="preserve">club soda </t>
  </si>
  <si>
    <t>Sour Apple</t>
  </si>
  <si>
    <t>(V)eggnog: A Vegan Eggnog</t>
  </si>
  <si>
    <t>1 tsp. Chinese five spice powder</t>
  </si>
  <si>
    <t>Chinese five spice powder</t>
  </si>
  <si>
    <t>1.75 cups vanilla syrup (see Editor's Note)</t>
  </si>
  <si>
    <t>2 tsp Coconut rum</t>
  </si>
  <si>
    <t>Blue Heaven</t>
  </si>
  <si>
    <t>20 ml Almond Liqueur</t>
  </si>
  <si>
    <t>The Mind Eraser</t>
  </si>
  <si>
    <t>The Big Robowski</t>
  </si>
  <si>
    <t>Algae</t>
  </si>
  <si>
    <t>0.75 ounce lemon juice , freshly squeezed</t>
  </si>
  <si>
    <t>Alien Shooter</t>
  </si>
  <si>
    <t>El Ayudacal</t>
  </si>
  <si>
    <t>Army &amp; Navy</t>
  </si>
  <si>
    <t>1 dash Aromatic bitters or Peach bitters or Lemon bitters or Chocolate bitters or Cherry bitters or Orange bitters</t>
  </si>
  <si>
    <t>Aromatic bitters|Peach bitters|Lemon bitters|Chocolate bitters|Cherry bitters|Orange bitters</t>
  </si>
  <si>
    <t xml:space="preserve">or|or|or|or|or   </t>
  </si>
  <si>
    <t>Atlanta</t>
  </si>
  <si>
    <t>1 oz of Bianco Vermouth</t>
  </si>
  <si>
    <t>Bianco Vermouth</t>
  </si>
  <si>
    <t>Best G&amp;T You Can Muster If You Cant Muster Much</t>
  </si>
  <si>
    <t>3.25 ounces tonic water, preferably in a glass bottle</t>
  </si>
  <si>
    <t>, preferably in a glass bottle</t>
  </si>
  <si>
    <t>French XO</t>
  </si>
  <si>
    <t>1 part DeKuyper Amaretto Liqueur</t>
  </si>
  <si>
    <t>0.9 oz Fresh Lime Juice</t>
  </si>
  <si>
    <t>Watermelon Hennyrita</t>
  </si>
  <si>
    <t>Alberto</t>
  </si>
  <si>
    <t>1 ounce fino or manzanilla sherry</t>
  </si>
  <si>
    <t>fino|manzanilla sherry</t>
  </si>
  <si>
    <t>Tropical Titty Twister</t>
  </si>
  <si>
    <t>Cranberry juice 0.75 oz</t>
  </si>
  <si>
    <t xml:space="preserve">Cranberry juice </t>
  </si>
  <si>
    <t>Grasshopper Shot</t>
  </si>
  <si>
    <t>0.5 ounce white creme de cacao liqueur</t>
  </si>
  <si>
    <t>white creme de cacao liqueur</t>
  </si>
  <si>
    <t>Sex In The Water</t>
  </si>
  <si>
    <t>1.5 oz of Blue Curacao</t>
  </si>
  <si>
    <t>Rock and Rye Whiskey</t>
  </si>
  <si>
    <t>B.F.D.</t>
  </si>
  <si>
    <t>fill with Grapefruit Juice</t>
  </si>
  <si>
    <t>0.25 ounce orgeat syrup</t>
  </si>
  <si>
    <t>Snowbird: A Mezcal Painkiller</t>
  </si>
  <si>
    <t>1 barspoon Cointreau</t>
  </si>
  <si>
    <t>Pedro Collins</t>
  </si>
  <si>
    <t>Hideaway Honey, An Aquavit Cocktail</t>
  </si>
  <si>
    <t>0.75 oz soda water, to top</t>
  </si>
  <si>
    <t>1 ounce Basque cider, preferably Isastegi or Ordago Iberiko</t>
  </si>
  <si>
    <t>Basque cider</t>
  </si>
  <si>
    <t>, preferably Isastegi or Ordago Iberiko</t>
  </si>
  <si>
    <t>3 cans Water</t>
  </si>
  <si>
    <t xml:space="preserve">can </t>
  </si>
  <si>
    <t>Mister Christian</t>
  </si>
  <si>
    <t>Strawberry &amp; Cream Daiquiri</t>
  </si>
  <si>
    <t>Powdered sugar 0.25 cup</t>
  </si>
  <si>
    <t xml:space="preserve">Powdered </t>
  </si>
  <si>
    <t>Pysch Vitamin Light</t>
  </si>
  <si>
    <t>Tropical Orange Fishbowl</t>
  </si>
  <si>
    <t>5ml Creme de cacao</t>
  </si>
  <si>
    <t>Blood Orange-Almond Sparkler</t>
  </si>
  <si>
    <t>Naked and Famous Cocktail</t>
  </si>
  <si>
    <t>1 ounce fresh lime juice</t>
  </si>
  <si>
    <t>2 Dashes Angostura Bitters</t>
  </si>
  <si>
    <t>Turbo Shandy</t>
  </si>
  <si>
    <t>.5 Pint Vodka Premix</t>
  </si>
  <si>
    <t>Vodka Premix</t>
  </si>
  <si>
    <t>Vodka Marshmallow Pops</t>
  </si>
  <si>
    <t>1 teaspoon chili-lime seasoning</t>
  </si>
  <si>
    <t>chili-lime seasoning</t>
  </si>
  <si>
    <t>Beverley Hills Iced Tea</t>
  </si>
  <si>
    <t>15 ml White Rum</t>
  </si>
  <si>
    <t>Irish Rickey</t>
  </si>
  <si>
    <t>0.25 cup Cream of coconut</t>
  </si>
  <si>
    <t>1 ounce coconut milk</t>
  </si>
  <si>
    <t>coconut milk</t>
  </si>
  <si>
    <t>Orange Pineapple Smoothie</t>
  </si>
  <si>
    <t>1 tablespoon lime juice</t>
  </si>
  <si>
    <t>Blue Ice Kool-Aid</t>
  </si>
  <si>
    <t>0.25 part Grapefruit juice</t>
  </si>
  <si>
    <t>Canary Nest</t>
  </si>
  <si>
    <t>0.75 part Cinnamon syrup</t>
  </si>
  <si>
    <t>Baileys Dulce de Leche</t>
  </si>
  <si>
    <t>10ml Caramel Syrup to a rim of a Shot Glass</t>
  </si>
  <si>
    <t>Caramel Syrup</t>
  </si>
  <si>
    <t>to a rim of a Shot Glass</t>
  </si>
  <si>
    <t>Bunny Bonzana</t>
  </si>
  <si>
    <t>River Styx from Kindred San Diego</t>
  </si>
  <si>
    <t>0.25 oz creme de cacao</t>
  </si>
  <si>
    <t>How To Make An Ice Shot Glass</t>
  </si>
  <si>
    <t>The 5 Star General Shot</t>
  </si>
  <si>
    <t>Rumple minze 1 part</t>
  </si>
  <si>
    <t>Blood Orange Gin and Tonic</t>
  </si>
  <si>
    <t>Dont Be Naive: A Cucumber Gin Cocktail</t>
  </si>
  <si>
    <t>1.5 oz cucumber-infused dry gin</t>
  </si>
  <si>
    <t>cucumber-infused dry gin</t>
  </si>
  <si>
    <t>Fender Bender</t>
  </si>
  <si>
    <t>0.5 part Sweet vermouth</t>
  </si>
  <si>
    <t>0.5 part Raspberry liqueur</t>
  </si>
  <si>
    <t>Brandy Puff</t>
  </si>
  <si>
    <t>Daiquiri Liqueur</t>
  </si>
  <si>
    <t>4 Lime</t>
  </si>
  <si>
    <t>Instant Death 2</t>
  </si>
  <si>
    <t>4 oz OP Rum</t>
  </si>
  <si>
    <t>Pilots Highball (Flyversjus)</t>
  </si>
  <si>
    <t>3 cl fresh bergamot juice (they are in season right now in Europe)</t>
  </si>
  <si>
    <t>bergamot juice</t>
  </si>
  <si>
    <t xml:space="preserve"> (they are in season right now in Europe)</t>
  </si>
  <si>
    <t>Minty Mango Mojito</t>
  </si>
  <si>
    <t>club soda, or as needed</t>
  </si>
  <si>
    <t>Veteran</t>
  </si>
  <si>
    <t>0.5 oz Cherry brandy</t>
  </si>
  <si>
    <t>Bulletin Place Cocktail: Dantes Peak</t>
  </si>
  <si>
    <t>1 oz blended scotch whisky</t>
  </si>
  <si>
    <t>scotch whisky</t>
  </si>
  <si>
    <t>blended</t>
  </si>
  <si>
    <t>Washington Apple Shots</t>
  </si>
  <si>
    <t>Sour apple schnapps 1 part</t>
  </si>
  <si>
    <t>Sour apple schnapps</t>
  </si>
  <si>
    <t>Dirty Banana</t>
  </si>
  <si>
    <t>1 ounce banana liqueur</t>
  </si>
  <si>
    <t>Crack Pipe Shot</t>
  </si>
  <si>
    <t>Rumple minze peppermint liqueur 1 part</t>
  </si>
  <si>
    <t>Rumple minze peppermint liqueur</t>
  </si>
  <si>
    <t>Beach Bum`s Cooler</t>
  </si>
  <si>
    <t>0.25/2006 Banana</t>
  </si>
  <si>
    <t>/2006</t>
  </si>
  <si>
    <t>1 splashes orange juice</t>
  </si>
  <si>
    <t>1 tsp Salt (Garnish)</t>
  </si>
  <si>
    <t>JB Black and Pepsi</t>
  </si>
  <si>
    <t>Desert Cooler</t>
  </si>
  <si>
    <t>20 ml Cherry Brandy</t>
  </si>
  <si>
    <t>Modern Irish Coffee</t>
  </si>
  <si>
    <t>1.5 oz ounce irish cream liqueur</t>
  </si>
  <si>
    <t>oz|ounces</t>
  </si>
  <si>
    <t>irish cream liqueur</t>
  </si>
  <si>
    <t>Toji Moon</t>
  </si>
  <si>
    <t>Lazarus</t>
  </si>
  <si>
    <t>0.75 ounce corn silk tea</t>
  </si>
  <si>
    <t>corn silk tea</t>
  </si>
  <si>
    <t>35ml Cloudy Apple Juice</t>
  </si>
  <si>
    <t>Electric 7UP</t>
  </si>
  <si>
    <t>Divine</t>
  </si>
  <si>
    <t>3 oz Soda</t>
  </si>
  <si>
    <t>0.5 ounce cava rose</t>
  </si>
  <si>
    <t>cava rose</t>
  </si>
  <si>
    <t>Ginger Crisp Martini</t>
  </si>
  <si>
    <t>1 Tsp Brown Sugar (Garnish)</t>
  </si>
  <si>
    <t>Frozen Pineapple Mango Daiquiri</t>
  </si>
  <si>
    <t>Sangria for One</t>
  </si>
  <si>
    <t>Tinto de Verano</t>
  </si>
  <si>
    <t>3 parts Lemon soda</t>
  </si>
  <si>
    <t>Lemon soda</t>
  </si>
  <si>
    <t>B.M.W.</t>
  </si>
  <si>
    <t>Sour Shandy</t>
  </si>
  <si>
    <t>0.75 ounce sour beer syrup</t>
  </si>
  <si>
    <t>sour beer syrup</t>
  </si>
  <si>
    <t>Hibiscus Cocktail: Sakura</t>
  </si>
  <si>
    <t>Mission Accomplished</t>
  </si>
  <si>
    <t>2 dash of Rose's lime juice</t>
  </si>
  <si>
    <t>Guinness Daiquiri</t>
  </si>
  <si>
    <t>37.5 ml Gold Rum</t>
  </si>
  <si>
    <t>Buenos Noches</t>
  </si>
  <si>
    <t>2 oz White Tequila</t>
  </si>
  <si>
    <t>Dale`s Long Island Iced Tea</t>
  </si>
  <si>
    <t>5 Fresh mint leaves</t>
  </si>
  <si>
    <t>Strawberry Shortcake</t>
  </si>
  <si>
    <t>2 shot of milk</t>
  </si>
  <si>
    <t>Swizzle</t>
  </si>
  <si>
    <t>1 oz Bols Genever</t>
  </si>
  <si>
    <t>Bols Genever</t>
  </si>
  <si>
    <t>Ciroc French Martini</t>
  </si>
  <si>
    <t>15ml Pineapple juice</t>
  </si>
  <si>
    <t>Express Rider</t>
  </si>
  <si>
    <t>0.25 ounce Campari</t>
  </si>
  <si>
    <t>Christmas Mint Kiss</t>
  </si>
  <si>
    <t>1 part DeKuyper Peppermint Schnapps</t>
  </si>
  <si>
    <t>DeKuyper Peppermint Schnapps</t>
  </si>
  <si>
    <t>1.5 ounces green Chartreuse</t>
  </si>
  <si>
    <t>0.5 oz Dry Vermouth</t>
  </si>
  <si>
    <t>Cocktail Artist Raspberry Margarita</t>
  </si>
  <si>
    <t>Tipsy bartender margarita mix 4 oz</t>
  </si>
  <si>
    <t>Tipsy bartender margarita mix</t>
  </si>
  <si>
    <t>Sushi Jello Shots</t>
  </si>
  <si>
    <t>Unflavored gelatin 2 pack</t>
  </si>
  <si>
    <t>White Wine Strawberry Lemonade Sangria</t>
  </si>
  <si>
    <t>Lemon lime soda 12 oz</t>
  </si>
  <si>
    <t>The Dancer: Gin Fizz Riff</t>
  </si>
  <si>
    <t>1 oz of gin</t>
  </si>
  <si>
    <t>Magnificent Lady</t>
  </si>
  <si>
    <t>1 part Lychee liqueur</t>
  </si>
  <si>
    <t>Lychee liqueur</t>
  </si>
  <si>
    <t>60ml Grapefruit juice</t>
  </si>
  <si>
    <t>1 ounce whiskey</t>
  </si>
  <si>
    <t>Hot Apple Pie Cocktail</t>
  </si>
  <si>
    <t>2 ounces Tuaca Liqueur</t>
  </si>
  <si>
    <t>Tuaca Liqueur</t>
  </si>
  <si>
    <t>Ballet Ruse</t>
  </si>
  <si>
    <t>Blue Edisonian</t>
  </si>
  <si>
    <t>Churchill</t>
  </si>
  <si>
    <t>15 ml Triple Sec</t>
  </si>
  <si>
    <t>Grapes of Wrath</t>
  </si>
  <si>
    <t>White Elephant, A Fruitcake-Inspired Cocktail</t>
  </si>
  <si>
    <t>1 tsp. amaretto</t>
  </si>
  <si>
    <t>10ml Poire William</t>
  </si>
  <si>
    <t>Poire William</t>
  </si>
  <si>
    <t>Eveleigh Lemonade</t>
  </si>
  <si>
    <t>0.5 oz triple sec</t>
  </si>
  <si>
    <t>Pussy On Your Face</t>
  </si>
  <si>
    <t>1 Sours</t>
  </si>
  <si>
    <t>Whiskey &amp; Ginger Ale</t>
  </si>
  <si>
    <t>50ml George Dickel No. 12 Tennessee Whisky</t>
  </si>
  <si>
    <t>George Dickel No. 12 Tennessee Whisky</t>
  </si>
  <si>
    <t>Chambord Margarita</t>
  </si>
  <si>
    <t>2 oz Aged Tequila</t>
  </si>
  <si>
    <t>Aged Tequila</t>
  </si>
  <si>
    <t>0.75 oz aquavit</t>
  </si>
  <si>
    <t>aquavit</t>
  </si>
  <si>
    <t>2 Part Cranberry Vodka</t>
  </si>
  <si>
    <t>Cranberry Vodka</t>
  </si>
  <si>
    <t>Mint Julep Iced Tea</t>
  </si>
  <si>
    <t>1 lime, sliced</t>
  </si>
  <si>
    <t>Breakfast Eggnog</t>
  </si>
  <si>
    <t>1 Fanned Orange Twist (Garnish)</t>
  </si>
  <si>
    <t>Fanned</t>
  </si>
  <si>
    <t>B And G Gin Fizz</t>
  </si>
  <si>
    <t>0.75 oz of Lemon Juice</t>
  </si>
  <si>
    <t>Strawberry Hustle</t>
  </si>
  <si>
    <t>Sliced strawberries 1 cup</t>
  </si>
  <si>
    <t>Liquid Marijuana Jungle Juice</t>
  </si>
  <si>
    <t>48 oz Pineapple Juice</t>
  </si>
  <si>
    <t>Ketel One Grand</t>
  </si>
  <si>
    <t>French Manhattan</t>
  </si>
  <si>
    <t>Summer Cocktail: Claws on Sawtelle</t>
  </si>
  <si>
    <t>20.5 oz club soda</t>
  </si>
  <si>
    <t>Christmas Cheer</t>
  </si>
  <si>
    <t>2 whole star anise pods</t>
  </si>
  <si>
    <t>star anise pods</t>
  </si>
  <si>
    <t>Chocolate Hurricane</t>
  </si>
  <si>
    <t>14oz raw honey (raw honey is needed for natural yeast)</t>
  </si>
  <si>
    <t>raw honey</t>
  </si>
  <si>
    <t xml:space="preserve"> (raw honey is needed for natural yeast)</t>
  </si>
  <si>
    <t>Effie Unfiltered Cocktail</t>
  </si>
  <si>
    <t>Baileys Flat White Martini</t>
  </si>
  <si>
    <t>Ginger Mule</t>
  </si>
  <si>
    <t>1.33 oz Bols Genever Original</t>
  </si>
  <si>
    <t>Bols Genever Original</t>
  </si>
  <si>
    <t>1 tsp Pumpkin Pie Spice</t>
  </si>
  <si>
    <t>Pumpkin Pie Spice</t>
  </si>
  <si>
    <t>The Sweeney Toddy</t>
  </si>
  <si>
    <t>4 oz hot water</t>
  </si>
  <si>
    <t xml:space="preserve">hot </t>
  </si>
  <si>
    <t>Blue Incan</t>
  </si>
  <si>
    <t>Jeremiah Thai Iced Tea</t>
  </si>
  <si>
    <t>50ml Water</t>
  </si>
  <si>
    <t>Gin Daisy (Old and New)</t>
  </si>
  <si>
    <t>Bad Santa Cocktail</t>
  </si>
  <si>
    <t>752.0 ml. bottles red wine</t>
  </si>
  <si>
    <t>.|bottles</t>
  </si>
  <si>
    <t>Watermelon Keg</t>
  </si>
  <si>
    <t>Orange juice 4 oz</t>
  </si>
  <si>
    <t>Daiquiri Clasico</t>
  </si>
  <si>
    <t>Estrellita Hibiscus Cocktail</t>
  </si>
  <si>
    <t>1.5 oz Jamaica tea</t>
  </si>
  <si>
    <t>Jamaica tea</t>
  </si>
  <si>
    <t>0.25 oz Lime juice</t>
  </si>
  <si>
    <t>Beachfire Margarita</t>
  </si>
  <si>
    <t xml:space="preserve">ounces </t>
  </si>
  <si>
    <t>1 teaspoon pure maple syrup or simple syrup</t>
  </si>
  <si>
    <t>pure maple syrup|simple syrup</t>
  </si>
  <si>
    <t>El Presidente Cocktail</t>
  </si>
  <si>
    <t>2 ounces aged or golden rum</t>
  </si>
  <si>
    <t>aged rum|golden rum</t>
  </si>
  <si>
    <t>1 ounce simple syrup (1:1, sugar to water, by volume)</t>
  </si>
  <si>
    <t>(1:1, sugar to water, by volume)</t>
  </si>
  <si>
    <t>2 dashes Peychauds bitters</t>
  </si>
  <si>
    <t>Pimm's Cup</t>
  </si>
  <si>
    <t>Muddled Strawberry and Cucumber (optional)</t>
  </si>
  <si>
    <t>Strawberry|Cucumber</t>
  </si>
  <si>
    <t>Muddled</t>
  </si>
  <si>
    <t>and|(optional)</t>
  </si>
  <si>
    <t>Canadian Pineapple</t>
  </si>
  <si>
    <t>.5 tsp Maraschino Liqueur</t>
  </si>
  <si>
    <t>Peach slice, or lime twist, for garnish</t>
  </si>
  <si>
    <t>slice|twist</t>
  </si>
  <si>
    <t>Peach|lime</t>
  </si>
  <si>
    <t>, or| , for garnish</t>
  </si>
  <si>
    <t>The White Lady</t>
  </si>
  <si>
    <t>Cointreau 0.5 oz</t>
  </si>
  <si>
    <t>Thin Mint Oreo Milkshake</t>
  </si>
  <si>
    <t>Chow Chicka Bow Wow</t>
  </si>
  <si>
    <t>2 parts Grapefruit juice</t>
  </si>
  <si>
    <t>3 ounces Prosecco or other sparkling wine, chilled</t>
  </si>
  <si>
    <t>Prosecco|sparkling wine</t>
  </si>
  <si>
    <t xml:space="preserve"> or other|,</t>
  </si>
  <si>
    <t>Absinthe Without Leave</t>
  </si>
  <si>
    <t>Black sambuca 1 part</t>
  </si>
  <si>
    <t>Black sambuca</t>
  </si>
  <si>
    <t>Admiral</t>
  </si>
  <si>
    <t>Juice of Lemon</t>
  </si>
  <si>
    <t>Cherry Crush</t>
  </si>
  <si>
    <t>Chambord Royale</t>
  </si>
  <si>
    <t>0.75 oz Raspberry Liqueur</t>
  </si>
  <si>
    <t>Cherry Lime Margarita</t>
  </si>
  <si>
    <t>Chocotini Cocktail</t>
  </si>
  <si>
    <t>0.5 tsp superfine Sugar</t>
  </si>
  <si>
    <t xml:space="preserve">superfine </t>
  </si>
  <si>
    <t>0.5 shot Chocolate liqueur</t>
  </si>
  <si>
    <t>Holiday Mimosa</t>
  </si>
  <si>
    <t>1 cup orange juice</t>
  </si>
  <si>
    <t>Guinness Milkshake</t>
  </si>
  <si>
    <t>Cui Cui</t>
  </si>
  <si>
    <t>1 Pinch of Ground Nutmeg</t>
  </si>
  <si>
    <t>Ground Nutmeg</t>
  </si>
  <si>
    <t>0.5 slice Orange</t>
  </si>
  <si>
    <t>Monkey Gland 2</t>
  </si>
  <si>
    <t>Irish Griep</t>
  </si>
  <si>
    <t>2.5 oz Sours</t>
  </si>
  <si>
    <t>1 ounce blue curacao liqueur</t>
  </si>
  <si>
    <t>Blue Iced Tea</t>
  </si>
  <si>
    <t>3 oranges, sliced into rounds</t>
  </si>
  <si>
    <t>oranges</t>
  </si>
  <si>
    <t>Passion Shot</t>
  </si>
  <si>
    <t>Hurricane Cocktail</t>
  </si>
  <si>
    <t>Frozen Blueberry Daiquiri</t>
  </si>
  <si>
    <t>Frozen blueberries 1 cup</t>
  </si>
  <si>
    <t>2 cups peaches</t>
  </si>
  <si>
    <t>Paradise Punch</t>
  </si>
  <si>
    <t>Capulina From Clavel Mezcaleria</t>
  </si>
  <si>
    <t>1 oz evaporated milk</t>
  </si>
  <si>
    <t>1 part Sparkling water</t>
  </si>
  <si>
    <t>Club soda 2 oz</t>
  </si>
  <si>
    <t>20ml Sweet Vermouth</t>
  </si>
  <si>
    <t>1 Pinch of Cinnamon</t>
  </si>
  <si>
    <t>Bourbon Ball</t>
  </si>
  <si>
    <t>1.5 parts Maker's Mark Bourbon</t>
  </si>
  <si>
    <t>Fresh Mint Liqueur</t>
  </si>
  <si>
    <t>3 Cup Vodka</t>
  </si>
  <si>
    <t>2 oz of Irish whiskey</t>
  </si>
  <si>
    <t>Cerebellum</t>
  </si>
  <si>
    <t>0.25 oz of grenadine syrup</t>
  </si>
  <si>
    <t>Planters Punch</t>
  </si>
  <si>
    <t>Devil`s Punch</t>
  </si>
  <si>
    <t>Kumquat Breakfast Martini</t>
  </si>
  <si>
    <t>2 tablespoons honey (or maple syrup for vegan)</t>
  </si>
  <si>
    <t xml:space="preserve"> (or|for vegan)</t>
  </si>
  <si>
    <t>Dublin Driver</t>
  </si>
  <si>
    <t>scant 1.5 ounces white rhum agricole, chilled</t>
  </si>
  <si>
    <t>white rhum agricole</t>
  </si>
  <si>
    <t>Berlin Martini</t>
  </si>
  <si>
    <t>1 Splash Black Sambuca</t>
  </si>
  <si>
    <t>Bloody 7</t>
  </si>
  <si>
    <t>3 Dashes Tabasco Sauce</t>
  </si>
  <si>
    <t>Flavored jello 3 oz</t>
  </si>
  <si>
    <t>Flavored jello</t>
  </si>
  <si>
    <t>Flaming Homer</t>
  </si>
  <si>
    <t>25 ml Blackberry Liqueur</t>
  </si>
  <si>
    <t>Blackberry Liqueur</t>
  </si>
  <si>
    <t>Tia Mia, A Mexican Mai Tai</t>
  </si>
  <si>
    <t>Iced Layered Cake</t>
  </si>
  <si>
    <t>15ml Simple syrup</t>
  </si>
  <si>
    <t>Gorky Park</t>
  </si>
  <si>
    <t>Abigail</t>
  </si>
  <si>
    <t>2 parts Pinnacle Red Berry Vodka</t>
  </si>
  <si>
    <t>Pinnacle Red Berry Vodka</t>
  </si>
  <si>
    <t>Irish Lady</t>
  </si>
  <si>
    <t>Slowpoke Shandy</t>
  </si>
  <si>
    <t>0.5 part Lime Juice</t>
  </si>
  <si>
    <t>Rum Cobbler</t>
  </si>
  <si>
    <t>2 oz Dark rum</t>
  </si>
  <si>
    <t>Rangpur Madras</t>
  </si>
  <si>
    <t>Green Beer Jello Shots</t>
  </si>
  <si>
    <t>Beer 3 oz</t>
  </si>
  <si>
    <t>Shot glass mold</t>
  </si>
  <si>
    <t>glass mold</t>
  </si>
  <si>
    <t>Oatmeal Cookie Shots</t>
  </si>
  <si>
    <t>Jager Bomb Jello Shots</t>
  </si>
  <si>
    <t>Jagermeister 0.5 cup</t>
  </si>
  <si>
    <t>A Night In Old Mandalay</t>
  </si>
  <si>
    <t>1 oz AAejo rum</t>
  </si>
  <si>
    <t>AAejo rum</t>
  </si>
  <si>
    <t>1 cups Mint leaves, plus more for garnish</t>
  </si>
  <si>
    <t>Pumpkin Old Fashioned Cocktail</t>
  </si>
  <si>
    <t>Christmas Jones</t>
  </si>
  <si>
    <t>125 ml Pineapple Juice</t>
  </si>
  <si>
    <t>Paradise Losts Saturn</t>
  </si>
  <si>
    <t>0.25 ounce Thai spice falernum</t>
  </si>
  <si>
    <t>Thai spice falernum</t>
  </si>
  <si>
    <t>BeyBeys Mama</t>
  </si>
  <si>
    <t>0.5 ounce mezcal, preferably Agave de Cortes Joven</t>
  </si>
  <si>
    <t>, preferably Agave de Cortes Joven</t>
  </si>
  <si>
    <t>Holy Water From Seaworthy</t>
  </si>
  <si>
    <t>0.75 oz Cognac</t>
  </si>
  <si>
    <t>Hot Cheetos Bloody Mary</t>
  </si>
  <si>
    <t>Of worcestershire sauce 4 dashes</t>
  </si>
  <si>
    <t>worcestershire sauce</t>
  </si>
  <si>
    <t>Chai and Biscuits: A Clarified Cognac Milk Punch</t>
  </si>
  <si>
    <t>2 oz Averna amaro</t>
  </si>
  <si>
    <t>Averna amaro</t>
  </si>
  <si>
    <t>Spicy Carrot-Ginger Sipper</t>
  </si>
  <si>
    <t>1 lime, halved crosswise</t>
  </si>
  <si>
    <t>halved crosswise</t>
  </si>
  <si>
    <t>Call of the Snowfields</t>
  </si>
  <si>
    <t>20 ml Apple Juice</t>
  </si>
  <si>
    <t>ChoozyMothers Milk</t>
  </si>
  <si>
    <t>1 gal OP Rum</t>
  </si>
  <si>
    <t>Shaved ice</t>
  </si>
  <si>
    <t>2.5 oz Blended Bourbon</t>
  </si>
  <si>
    <t>Blended Bourbon</t>
  </si>
  <si>
    <t>Stormy Weather</t>
  </si>
  <si>
    <t>10.5 parts Dark rum or Aged rum</t>
  </si>
  <si>
    <t>Dark rum|Aged rum</t>
  </si>
  <si>
    <t>Jamaica Coffee</t>
  </si>
  <si>
    <t>0.75 fluid ounce dark rum</t>
  </si>
  <si>
    <t>1 parts Mezcal</t>
  </si>
  <si>
    <t>Vanilla Chocolate Sin</t>
  </si>
  <si>
    <t>35ml Smirnoff Vanilla Vodka</t>
  </si>
  <si>
    <t>Smirnoff Vanilla Vodka</t>
  </si>
  <si>
    <t>Fruit Me Out</t>
  </si>
  <si>
    <t>1 barspoon fruit preserves, preferably Bonne Maman Four Fruits Preserves</t>
  </si>
  <si>
    <t>fruit preserves</t>
  </si>
  <si>
    <t xml:space="preserve">, preferably Bonne Maman Four Fruits Preserves
</t>
  </si>
  <si>
    <t>Breakfast in Bed Low-Alcohol Cocktail</t>
  </si>
  <si>
    <t>1 barspoon orange marmalade</t>
  </si>
  <si>
    <t>orange marmalade</t>
  </si>
  <si>
    <t>Three Summers</t>
  </si>
  <si>
    <t>3 Chilies (green, red and dry chilies)</t>
  </si>
  <si>
    <t>Chilies|green chilies|red chilies|dry chilies</t>
  </si>
  <si>
    <t xml:space="preserve"> (green, red and dry chilies)</t>
  </si>
  <si>
    <t>Peligroso From La Factoria</t>
  </si>
  <si>
    <t>10.5 oz rum</t>
  </si>
  <si>
    <t>Frozen Fruit Sangria</t>
  </si>
  <si>
    <t>Mango chunks 1 frozen</t>
  </si>
  <si>
    <t>Mango chunks</t>
  </si>
  <si>
    <t>Bees Breakfast</t>
  </si>
  <si>
    <t>2 barspoons vanilla sugar (see Editor's Note)</t>
  </si>
  <si>
    <t>vanilla sugar</t>
  </si>
  <si>
    <t>10ml Espresso</t>
  </si>
  <si>
    <t>Celery</t>
  </si>
  <si>
    <t>Rabbit Szn</t>
  </si>
  <si>
    <t>0.75 ounce ginger syrup</t>
  </si>
  <si>
    <t>Cherie Sherry</t>
  </si>
  <si>
    <t>15ml Elderflower Liqueur</t>
  </si>
  <si>
    <t>2 dashes Orange Bitters</t>
  </si>
  <si>
    <t>2 parts Hornitos Reposado Tequila</t>
  </si>
  <si>
    <t>Hornitos Reposado Tequila</t>
  </si>
  <si>
    <t>Hot Irish</t>
  </si>
  <si>
    <t>.5 Pint Lemon</t>
  </si>
  <si>
    <t>Frank Caiafas Rob Roy</t>
  </si>
  <si>
    <t>Small Dinger</t>
  </si>
  <si>
    <t>1 Pinch of Cinnamon Powder</t>
  </si>
  <si>
    <t>1wine glass Curacao</t>
  </si>
  <si>
    <t>wine glass</t>
  </si>
  <si>
    <t>Booster</t>
  </si>
  <si>
    <t>1.5 ounces Baileys Irish Cream</t>
  </si>
  <si>
    <t>D`Artagnan</t>
  </si>
  <si>
    <t>0.5 teaspoon Simple Syrup</t>
  </si>
  <si>
    <t>Springtime</t>
  </si>
  <si>
    <t>40 ml Blackcurrant Vodka</t>
  </si>
  <si>
    <t>Blueberry Collins</t>
  </si>
  <si>
    <t>Top-Up Soda water</t>
  </si>
  <si>
    <t>Top-Up</t>
  </si>
  <si>
    <t>2 oz of jose cuervo especial gold tequila</t>
  </si>
  <si>
    <t>jose cuervo especial gold tequila</t>
  </si>
  <si>
    <t>Castaway</t>
  </si>
  <si>
    <t>10.5 parts Dark rum or Aged rum or Demerara rum</t>
  </si>
  <si>
    <t>Mint sprig for garnish</t>
  </si>
  <si>
    <t>Smirnoff Yellow Grapefruit</t>
  </si>
  <si>
    <t>1 Grapefruit Wheel (Garnish)</t>
  </si>
  <si>
    <t>Beer Rose</t>
  </si>
  <si>
    <t>3 oz Strawberry Cream Liqueur</t>
  </si>
  <si>
    <t>Strawberry Cream Liqueur</t>
  </si>
  <si>
    <t>Flat White Rumtini (1)</t>
  </si>
  <si>
    <t>1Pinch Nutmeg</t>
  </si>
  <si>
    <t>1 tbsp Triple Sec</t>
  </si>
  <si>
    <t>Ransom Note: A Grapefruit Gin Sour</t>
  </si>
  <si>
    <t>Fruity Blast</t>
  </si>
  <si>
    <t>4 oz Banana Liqueur</t>
  </si>
  <si>
    <t>Gin Sidecar</t>
  </si>
  <si>
    <t>B-52 3</t>
  </si>
  <si>
    <t>Old-Fashioned Swedish Glogg</t>
  </si>
  <si>
    <t>4 whole cloves</t>
  </si>
  <si>
    <t>1 ounce Italian amaro (like Nonino Quintessentia or other brand)</t>
  </si>
  <si>
    <t>Italian amaro</t>
  </si>
  <si>
    <t>(like Nonino Quintessentia or other brand)</t>
  </si>
  <si>
    <t>Cranberry Cooler</t>
  </si>
  <si>
    <t>Grey Goose Blueberry &amp; Basil Martini</t>
  </si>
  <si>
    <t>4 Fresh Basil Leaves</t>
  </si>
  <si>
    <t>Carolina Kamikaze</t>
  </si>
  <si>
    <t>Double Inception Bomb Shot</t>
  </si>
  <si>
    <t>Bikini Cocktail</t>
  </si>
  <si>
    <t>Ice for serving</t>
  </si>
  <si>
    <t>for serving</t>
  </si>
  <si>
    <t>Spring into Summer</t>
  </si>
  <si>
    <t>1.5 oz Ginarte Gin</t>
  </si>
  <si>
    <t>Ginarte Gin</t>
  </si>
  <si>
    <t>Apple &amp; Elderflower Spritz</t>
  </si>
  <si>
    <t>25ml Elderflower Cordial</t>
  </si>
  <si>
    <t>Corona Sunrise</t>
  </si>
  <si>
    <t>2 teaspoons grenadine syrup</t>
  </si>
  <si>
    <t>Road Runner</t>
  </si>
  <si>
    <t>1 ounce heavy cream</t>
  </si>
  <si>
    <t>10.5 parts Mezcal</t>
  </si>
  <si>
    <t>M&amp;M Shooters</t>
  </si>
  <si>
    <t>Daiquiri Dananas</t>
  </si>
  <si>
    <t>0.75 part Pineapple liqueur</t>
  </si>
  <si>
    <t>Pineapple liqueur</t>
  </si>
  <si>
    <t>80s Berry Wine Cooler</t>
  </si>
  <si>
    <t>.5 oz Raspberry Juice</t>
  </si>
  <si>
    <t>Raspberry Juice</t>
  </si>
  <si>
    <t>Carajillo From True Laurel</t>
  </si>
  <si>
    <t>1 oz cold-brew coffee concentrate</t>
  </si>
  <si>
    <t>cold-brew coffee concentrate</t>
  </si>
  <si>
    <t>1 Dash Orange Curacao Liqueur</t>
  </si>
  <si>
    <t>Orange Curacao Liqueur</t>
  </si>
  <si>
    <t>Cafecito</t>
  </si>
  <si>
    <t>1 ounce fresh espresso, preferably Ethiopian coffee</t>
  </si>
  <si>
    <t>, preferably Ethiopian coffee</t>
  </si>
  <si>
    <t>3 dashes Old Fashioned Bitters</t>
  </si>
  <si>
    <t>Old Fashioned Bitters</t>
  </si>
  <si>
    <t>The Blue Valium</t>
  </si>
  <si>
    <t>Port Eggnog</t>
  </si>
  <si>
    <t>3 tablespoons cocoa powder</t>
  </si>
  <si>
    <t>cocoa powder</t>
  </si>
  <si>
    <t>Three Wise Men and a Mexican</t>
  </si>
  <si>
    <t>Long Island Pucker</t>
  </si>
  <si>
    <t>Caramel Banana Colada</t>
  </si>
  <si>
    <t xml:space="preserve">Half &amp; half </t>
  </si>
  <si>
    <t>2 egg whites</t>
  </si>
  <si>
    <t>teaspoon grenadine</t>
  </si>
  <si>
    <t>The Jaw</t>
  </si>
  <si>
    <t>Luscious Butta</t>
  </si>
  <si>
    <t>Caramel Apple Shooter</t>
  </si>
  <si>
    <t>Mulled Port</t>
  </si>
  <si>
    <t>0.5 cup dark rum</t>
  </si>
  <si>
    <t>White Widow</t>
  </si>
  <si>
    <t>Jillionaire</t>
  </si>
  <si>
    <t>Kamakazie</t>
  </si>
  <si>
    <t>1 part of Triple Sec</t>
  </si>
  <si>
    <t>Passion Fruit Down River</t>
  </si>
  <si>
    <t>0.5 ounce passion fruit liqueur</t>
  </si>
  <si>
    <t>Mr. Jones Pucker</t>
  </si>
  <si>
    <t>12 oz Apple Soda</t>
  </si>
  <si>
    <t>Apple Soda</t>
  </si>
  <si>
    <t>Corrido Prohibido Tequila and Beer Drink</t>
  </si>
  <si>
    <t>6 ounces Mexican beer</t>
  </si>
  <si>
    <t>Mexican beer</t>
  </si>
  <si>
    <t>Sidecar</t>
  </si>
  <si>
    <t>1 part Triple sec or Orange curacao or Shrubb</t>
  </si>
  <si>
    <t xml:space="preserve">or|or </t>
  </si>
  <si>
    <t>2 orange twists</t>
  </si>
  <si>
    <t>Dons Own Planters</t>
  </si>
  <si>
    <t>0.5 part Pineapple Juice</t>
  </si>
  <si>
    <t>Sangria</t>
  </si>
  <si>
    <t>0.5 cup Sugar</t>
  </si>
  <si>
    <t>Salty Chihuahua</t>
  </si>
  <si>
    <t>McGlashan</t>
  </si>
  <si>
    <t>Highland Picnic</t>
  </si>
  <si>
    <t>1 oz hazelnut orgeat</t>
  </si>
  <si>
    <t>hazelnut orgeat</t>
  </si>
  <si>
    <t>Coronado Luau Special</t>
  </si>
  <si>
    <t>0.5 part Cognac</t>
  </si>
  <si>
    <t>Tentation</t>
  </si>
  <si>
    <t>1 slice jalapeno pepper, optional</t>
  </si>
  <si>
    <t>jalapeno pepper</t>
  </si>
  <si>
    <t>Shell Come, Shell Go From The Aladdin Sane</t>
  </si>
  <si>
    <t>Yuzu Midori Sour</t>
  </si>
  <si>
    <t>0.5 ounce pisco</t>
  </si>
  <si>
    <t>1.5 medium lemons, juiced</t>
  </si>
  <si>
    <t>lemons</t>
  </si>
  <si>
    <t>Aviation Gin Riblet</t>
  </si>
  <si>
    <t>1 Cocktail Onion</t>
  </si>
  <si>
    <t>Cocktail Onion</t>
  </si>
  <si>
    <t>Smirnoff Fuzzy Navel</t>
  </si>
  <si>
    <t>150ml Orange Juice</t>
  </si>
  <si>
    <t>1 dash Tabasco chipotle pepper sauce</t>
  </si>
  <si>
    <t>Tabasco chipotle pepper sauce</t>
  </si>
  <si>
    <t>0.25 cup unsalted butter, melted</t>
  </si>
  <si>
    <t>unsalted butter</t>
  </si>
  <si>
    <t>melted</t>
  </si>
  <si>
    <t>Riviera Margarita</t>
  </si>
  <si>
    <t>30ml Lime juice</t>
  </si>
  <si>
    <t>Jungle Bird</t>
  </si>
  <si>
    <t>0.75 oz Knight Gabriello Rosso Amaro or Campari</t>
  </si>
  <si>
    <t>Knight Gabriello Rosso Amaro|Campari</t>
  </si>
  <si>
    <t>Panties Unleashed</t>
  </si>
  <si>
    <t>Passion fruit syrup 0.5 oz</t>
  </si>
  <si>
    <t>Passion fruit syrup</t>
  </si>
  <si>
    <t>The Sith Cocktail</t>
  </si>
  <si>
    <t>Graham crackers, crushed for the rim</t>
  </si>
  <si>
    <t>,|for the rim</t>
  </si>
  <si>
    <t>Rebujito Sherry Punch</t>
  </si>
  <si>
    <t>8 oz seltzer, chilled</t>
  </si>
  <si>
    <t>seltzer</t>
  </si>
  <si>
    <t>8 Drop Green food colouring</t>
  </si>
  <si>
    <t>Green food colouring</t>
  </si>
  <si>
    <t>Blue Chili</t>
  </si>
  <si>
    <t>Ms. Grey</t>
  </si>
  <si>
    <t>007 Cocktail</t>
  </si>
  <si>
    <t>Al Sotacks Brainstorm</t>
  </si>
  <si>
    <t>0.5 ounce dry vermouth, preferably Dolin</t>
  </si>
  <si>
    <t>0.75 oz gin</t>
  </si>
  <si>
    <t>Lime Cola</t>
  </si>
  <si>
    <t>Cola to fill</t>
  </si>
  <si>
    <t>to fill</t>
  </si>
  <si>
    <t>Blood Orange Margarita</t>
  </si>
  <si>
    <t>2.5 fluid ounces blood orange sparkling water</t>
  </si>
  <si>
    <t>blood orange sparkling water</t>
  </si>
  <si>
    <t>2 14-ounce cans evaporated milk</t>
  </si>
  <si>
    <t>Sunset Boulevard</t>
  </si>
  <si>
    <t>1 splashes cranberry juice</t>
  </si>
  <si>
    <t>Jolly Rancher</t>
  </si>
  <si>
    <t>Homemade Lime Cordial</t>
  </si>
  <si>
    <t>Peel from 3 limes, cut into pieces or grated</t>
  </si>
  <si>
    <t xml:space="preserve"> lime</t>
  </si>
  <si>
    <t>peel|pieces|grated</t>
  </si>
  <si>
    <t xml:space="preserve">from|,cut into|or </t>
  </si>
  <si>
    <t>Strawberry Pomegranate Sangria</t>
  </si>
  <si>
    <t>Pomegranate seeds</t>
  </si>
  <si>
    <t>Autumn Leaves Cocktail</t>
  </si>
  <si>
    <t>Orange wedge, for garnish</t>
  </si>
  <si>
    <t>Christmas Mojito</t>
  </si>
  <si>
    <t>The Communist</t>
  </si>
  <si>
    <t>2 oz of Smirnoff vodka</t>
  </si>
  <si>
    <t>Smirnoff vodka</t>
  </si>
  <si>
    <t>1 strip grapefruit peel</t>
  </si>
  <si>
    <t>strip</t>
  </si>
  <si>
    <t>grapefruit peel</t>
  </si>
  <si>
    <t>Green Monster</t>
  </si>
  <si>
    <t>1 Pepper</t>
  </si>
  <si>
    <t>Nico de Soto's Pineapple Daiquiri</t>
  </si>
  <si>
    <t>0.75 ounce fresh pineapple juice</t>
  </si>
  <si>
    <t>Journalist</t>
  </si>
  <si>
    <t>1 tsp of fresh lime juice</t>
  </si>
  <si>
    <t>Brick</t>
  </si>
  <si>
    <t>The Guadalajara Cocktail</t>
  </si>
  <si>
    <t>Royal Bitch</t>
  </si>
  <si>
    <t>1 part Crown Royal</t>
  </si>
  <si>
    <t>1 piece orange peel</t>
  </si>
  <si>
    <t>Berries and Cream</t>
  </si>
  <si>
    <t>1.5 oz Amaretto (or Hazelnut Liqueur)</t>
  </si>
  <si>
    <t>Amaretto|Hazelnut Liqueur</t>
  </si>
  <si>
    <t xml:space="preserve">(or|) </t>
  </si>
  <si>
    <t>Blickey</t>
  </si>
  <si>
    <t>splash of tonic water, preferably Fever-Tree Indian Tonic, to top</t>
  </si>
  <si>
    <t>of|, preferably Fever-Tree Indian Tonic|, to top</t>
  </si>
  <si>
    <t>Bullfrog 2</t>
  </si>
  <si>
    <t>Watermelon and Mint Punchin Bag</t>
  </si>
  <si>
    <t>Superfine sugar, for the rim (or substitute granulated)</t>
  </si>
  <si>
    <t>Superfine|granulated</t>
  </si>
  <si>
    <t>, for the rim (or substitute|)</t>
  </si>
  <si>
    <t>Virgin Strawberry Daiquiri</t>
  </si>
  <si>
    <t>Golden Years</t>
  </si>
  <si>
    <t>1.5 ounces rice-aroma baijiu, preferably Vinn</t>
  </si>
  <si>
    <t>rice-aroma baijiu</t>
  </si>
  <si>
    <t>, preferably Vinn</t>
  </si>
  <si>
    <t>12 ounces (3 large or 4 to 6 small) clementine oranges, frozen (see below)</t>
  </si>
  <si>
    <t>clementine oranges</t>
  </si>
  <si>
    <t>(3 large or 4 to 6 small)|,|(see below)</t>
  </si>
  <si>
    <t>Jack Rose Cocktail</t>
  </si>
  <si>
    <t>2 oz applejack</t>
  </si>
  <si>
    <t>Strawberry Balsamic Margarita</t>
  </si>
  <si>
    <t>2 14 oz blanco tequila</t>
  </si>
  <si>
    <t>Cranberry Margarita</t>
  </si>
  <si>
    <t>Rose Spritzer</t>
  </si>
  <si>
    <t>Penguino</t>
  </si>
  <si>
    <t>1 shot of cointreau orange liqueur</t>
  </si>
  <si>
    <t>Silver Sangria</t>
  </si>
  <si>
    <t>1 medium apple, sliced</t>
  </si>
  <si>
    <t>All Spice and Everything Nice</t>
  </si>
  <si>
    <t xml:space="preserve"> Orange bitters</t>
  </si>
  <si>
    <t>Catfish Milkshake</t>
  </si>
  <si>
    <t>Strawberry vodka 1.5 oz</t>
  </si>
  <si>
    <t>8 parts Hot Coffee</t>
  </si>
  <si>
    <t>Hot Coffee</t>
  </si>
  <si>
    <t>Johnnie Walker Black Label Rob Roy</t>
  </si>
  <si>
    <t>3 Dashes of Angostura bitters</t>
  </si>
  <si>
    <t>Cordial Cooler</t>
  </si>
  <si>
    <t>3 Rock Melon</t>
  </si>
  <si>
    <t>Rock Melon</t>
  </si>
  <si>
    <t>The Green Inferno</t>
  </si>
  <si>
    <t>Of tequila 2 bottles</t>
  </si>
  <si>
    <t>0.75 oz Rum</t>
  </si>
  <si>
    <t>The Betty Ford</t>
  </si>
  <si>
    <t>Killer Pussy Shot</t>
  </si>
  <si>
    <t xml:space="preserve">Raspberry liqueur </t>
  </si>
  <si>
    <t>Blueberry schnapps 0.5 oz</t>
  </si>
  <si>
    <t>Blueberry schnapps</t>
  </si>
  <si>
    <t>1 oz Peach Vodka</t>
  </si>
  <si>
    <t>Peach Vodka</t>
  </si>
  <si>
    <t>0.75 ounce Dubonnet Rouge</t>
  </si>
  <si>
    <t>Dubonnet Rouge</t>
  </si>
  <si>
    <t>Miguel Lancha's Pisco Sour (2017 version)</t>
  </si>
  <si>
    <t>1.5 ounces acholado pisco</t>
  </si>
  <si>
    <t>acholado pisco</t>
  </si>
  <si>
    <t>12 oz frozen Lemonade</t>
  </si>
  <si>
    <t>Spiced Apple &amp; Honey Toddy</t>
  </si>
  <si>
    <t>8 oz Brewed Earl Grey Tea</t>
  </si>
  <si>
    <t>Brewed Earl Grey Tea</t>
  </si>
  <si>
    <t>Cinco de Mayo 2</t>
  </si>
  <si>
    <t xml:space="preserve"> (Garnish)</t>
  </si>
  <si>
    <t>1 oz of Dark rum</t>
  </si>
  <si>
    <t>1 Slice Apple</t>
  </si>
  <si>
    <t>Crisp Apple Ade</t>
  </si>
  <si>
    <t>Garnish with slice of Green Apple or Lemon Wedges</t>
  </si>
  <si>
    <t>slice|Wedges</t>
  </si>
  <si>
    <t xml:space="preserve">Green Apple|Lemon </t>
  </si>
  <si>
    <t>Garnish with|of|or</t>
  </si>
  <si>
    <t>The Money Maker</t>
  </si>
  <si>
    <t>Becky`s Bomber</t>
  </si>
  <si>
    <t>1.5 oz Orange Vodka</t>
  </si>
  <si>
    <t>Articuno Pokemon Cocktail</t>
  </si>
  <si>
    <t>10.5 parts Madeira</t>
  </si>
  <si>
    <t>125ml Captain Morgans Rum</t>
  </si>
  <si>
    <t>Captain Morgans Rum</t>
  </si>
  <si>
    <t>Rice Krispie Treat Shot Glasses</t>
  </si>
  <si>
    <t>Guava Colada</t>
  </si>
  <si>
    <t>1.25 oz Dark Rum</t>
  </si>
  <si>
    <t>Triple sec 4 oz</t>
  </si>
  <si>
    <t>0.75 part Overproof aged rum or Overproof light rum or Dark rum</t>
  </si>
  <si>
    <t>Overproof aged rum|Overproof light rum|Dark rum</t>
  </si>
  <si>
    <t>Oscar Cocktail</t>
  </si>
  <si>
    <t>4 parts Sparkling Cider</t>
  </si>
  <si>
    <t>Sparkling Cider</t>
  </si>
  <si>
    <t>Cable Car</t>
  </si>
  <si>
    <t>20 ml Orange Curacao</t>
  </si>
  <si>
    <t>Orange Curacao</t>
  </si>
  <si>
    <t>Earth Day Ocean Water</t>
  </si>
  <si>
    <t>Grated chocolate, for the garnish (optional)</t>
  </si>
  <si>
    <t>chocolate</t>
  </si>
  <si>
    <t>, for the garnish (optional)</t>
  </si>
  <si>
    <t>3 cups cranberry juice</t>
  </si>
  <si>
    <t>1 Blackberry (Garnish)</t>
  </si>
  <si>
    <t>Champagne Pink Lemonade</t>
  </si>
  <si>
    <t>Burnt Almond</t>
  </si>
  <si>
    <t>Ace</t>
  </si>
  <si>
    <t>0.5 Fresh Egg White</t>
  </si>
  <si>
    <t>Edgewater Beach</t>
  </si>
  <si>
    <t>0.5 ounce sweet vermouth, preferably Cocchi di Torino</t>
  </si>
  <si>
    <t>, preferably Cocchi di Torino</t>
  </si>
  <si>
    <t>To Bee or Not to Bee</t>
  </si>
  <si>
    <t>15ml Honey Mead wine</t>
  </si>
  <si>
    <t>Honey Mead wine</t>
  </si>
  <si>
    <t>Old Elderfashioned</t>
  </si>
  <si>
    <t>0.5 oz Elderflower Liqueur</t>
  </si>
  <si>
    <t>Batman vs. Superman Shots</t>
  </si>
  <si>
    <t>Aztec Surfboard</t>
  </si>
  <si>
    <t>2 oz Mango Juice</t>
  </si>
  <si>
    <t>Mango Juice</t>
  </si>
  <si>
    <t>District 12 Punch Cocktail</t>
  </si>
  <si>
    <t>3 dashes Aromatic bitters or Creole bitters or Tiki bitters</t>
  </si>
  <si>
    <t>Aromatic bitters|Creole bitters|Tiki bitters</t>
  </si>
  <si>
    <t>Lime wheel, for garnish</t>
  </si>
  <si>
    <t>Blue Russian</t>
  </si>
  <si>
    <t>Thriller</t>
  </si>
  <si>
    <t>1 oz Green Ginger Wine</t>
  </si>
  <si>
    <t>Green Ginger Wine</t>
  </si>
  <si>
    <t>25ml Ketel One Oranje Flavoured Vodka</t>
  </si>
  <si>
    <t>Margarita Jell-O Shots</t>
  </si>
  <si>
    <t>15 plastic shot glasses, or as needed</t>
  </si>
  <si>
    <t>Buttsex</t>
  </si>
  <si>
    <t>2 oz Coffee</t>
  </si>
  <si>
    <t>Everybody`s Irish</t>
  </si>
  <si>
    <t>50 ml Irish Whiskey</t>
  </si>
  <si>
    <t>25ml Honey</t>
  </si>
  <si>
    <t>Homemade Orange Bitters Recipe</t>
  </si>
  <si>
    <t>1 Pinch Caraway</t>
  </si>
  <si>
    <t>Caraway</t>
  </si>
  <si>
    <t>Ginger Lemonade</t>
  </si>
  <si>
    <t>50ml Smirnoff Citrus</t>
  </si>
  <si>
    <t>Smirnoff Citrus</t>
  </si>
  <si>
    <t>Cosmo Katie</t>
  </si>
  <si>
    <t>1.5 oz Jagermeister</t>
  </si>
  <si>
    <t>Electric Lemonade</t>
  </si>
  <si>
    <t>0.5 fluid ounce Blue Curacao</t>
  </si>
  <si>
    <t>Raspberry Colada</t>
  </si>
  <si>
    <t>1 tsp Whipping Cream</t>
  </si>
  <si>
    <t>Tequila Lemonade</t>
  </si>
  <si>
    <t>2 ounces tequila</t>
  </si>
  <si>
    <t>Cherry vodka 1 oz</t>
  </si>
  <si>
    <t>50ml Coffee infused vodka</t>
  </si>
  <si>
    <t>Coffee infused vodka</t>
  </si>
  <si>
    <t>Goddaughter</t>
  </si>
  <si>
    <t>1 parts Sweet cream</t>
  </si>
  <si>
    <t>Sweet cream</t>
  </si>
  <si>
    <t>Candy Corn Shot Glasses</t>
  </si>
  <si>
    <t>Candy corn</t>
  </si>
  <si>
    <t>Cardhu Amber Rock Old-Fashioned</t>
  </si>
  <si>
    <t>Zest</t>
  </si>
  <si>
    <t>Mason Jar Spiked Lemonade</t>
  </si>
  <si>
    <t>0.12 cups sugar</t>
  </si>
  <si>
    <t>Absinthe Cocktail</t>
  </si>
  <si>
    <t>Crazy Cat</t>
  </si>
  <si>
    <t>25ml Crown Royal Blended Canadian Whisky</t>
  </si>
  <si>
    <t>15ml Triple Sec</t>
  </si>
  <si>
    <t>Walk Me Down</t>
  </si>
  <si>
    <t>PSC (Pumpkin Spice Cocktail)</t>
  </si>
  <si>
    <t>Aperol `86</t>
  </si>
  <si>
    <t>2 cl Orange Liqueur</t>
  </si>
  <si>
    <t>Rum and Cranberry Juice Cocktail</t>
  </si>
  <si>
    <t>1.5 ounces unsweetened 100% cranberry juice</t>
  </si>
  <si>
    <t>unsweetened 100% cranberry juice</t>
  </si>
  <si>
    <t>15ml Creme de Menthe</t>
  </si>
  <si>
    <t>0.5 ounce Fresh Sour Mix (see Editor's Note)</t>
  </si>
  <si>
    <t xml:space="preserve">Sour Mix </t>
  </si>
  <si>
    <t>1.5 ounces Nigori sake</t>
  </si>
  <si>
    <t>Nigori sake</t>
  </si>
  <si>
    <t>Strawberry Daiquiri Sangria</t>
  </si>
  <si>
    <t>Rum 3 oz</t>
  </si>
  <si>
    <t>Guava nectar 4 oz</t>
  </si>
  <si>
    <t>Guava nectar</t>
  </si>
  <si>
    <t>South Sea Dipper</t>
  </si>
  <si>
    <t>0.5 part Aged rum</t>
  </si>
  <si>
    <t>12 oz Evaporated Milk</t>
  </si>
  <si>
    <t>Evaporated Milk</t>
  </si>
  <si>
    <t>2 parts Pisco</t>
  </si>
  <si>
    <t>Pisco</t>
  </si>
  <si>
    <t>French Gimlet</t>
  </si>
  <si>
    <t>Lime to garnish</t>
  </si>
  <si>
    <t xml:space="preserve">blended </t>
  </si>
  <si>
    <t>Day Of The Dead Watermelon Margarita</t>
  </si>
  <si>
    <t>Southern Sour</t>
  </si>
  <si>
    <t>3 cl sweet (red) vermouth</t>
  </si>
  <si>
    <t>sweet (red) vermouth</t>
  </si>
  <si>
    <t>Affair</t>
  </si>
  <si>
    <t>Champagne Royale</t>
  </si>
  <si>
    <t>25ml Simple Syrup</t>
  </si>
  <si>
    <t>0.75 oz sweet vermouth such as Grassotti Vermouth di Torino</t>
  </si>
  <si>
    <t>sweet vermouth|Grassotti Vermouth di Torino</t>
  </si>
  <si>
    <t>such as</t>
  </si>
  <si>
    <t>Cranberry juice 1 part</t>
  </si>
  <si>
    <t>The Whole Maryann</t>
  </si>
  <si>
    <t>1 oz Strawberry Cream Liqueur</t>
  </si>
  <si>
    <t>Cynar Sour</t>
  </si>
  <si>
    <t>Jimmy.A Special</t>
  </si>
  <si>
    <t>Nectarita</t>
  </si>
  <si>
    <t>1 part DeKuyper Peachtree Schnapps Liqueur</t>
  </si>
  <si>
    <t>DeKuyper Peachtree Schnapps Liqueur</t>
  </si>
  <si>
    <t>Virgin Pina Colada</t>
  </si>
  <si>
    <t>90 ml Pineapple Juice</t>
  </si>
  <si>
    <t>1.67 oz Irish Whiskey</t>
  </si>
  <si>
    <t>20ml Clarified Pineapple Juice</t>
  </si>
  <si>
    <t>Clarified Pineapple Juice</t>
  </si>
  <si>
    <t>4 ounces Clamato juice</t>
  </si>
  <si>
    <t>1.5 oz Vanilla Vodka</t>
  </si>
  <si>
    <t>Rye Maple Fizz</t>
  </si>
  <si>
    <t>2 oz rye whiskey</t>
  </si>
  <si>
    <t>Popsicle Mimosa</t>
  </si>
  <si>
    <t>Buzz Bomb</t>
  </si>
  <si>
    <t>1.2 cl fresh lemon juice</t>
  </si>
  <si>
    <t>Rye and Pine Old Fashioned Riff</t>
  </si>
  <si>
    <t>Dizzy Delight</t>
  </si>
  <si>
    <t>0.25 ounce yellow Chartreuse</t>
  </si>
  <si>
    <t>large bottle Ginger ale</t>
  </si>
  <si>
    <t>1 part Cognac or Brandy</t>
  </si>
  <si>
    <t>Grateful Dead 2</t>
  </si>
  <si>
    <t>Bagce</t>
  </si>
  <si>
    <t>Lime Coconut Shooters</t>
  </si>
  <si>
    <t>1.5 ounces tequila blanco or reposado</t>
  </si>
  <si>
    <t>tequila blanco|reposado</t>
  </si>
  <si>
    <t>10 Mint Leaves</t>
  </si>
  <si>
    <t>Carrie`s Midori Sour</t>
  </si>
  <si>
    <t>Friesian</t>
  </si>
  <si>
    <t>Category 5</t>
  </si>
  <si>
    <t>Australian Gin Martini Cocktail</t>
  </si>
  <si>
    <t>Black Dublinski</t>
  </si>
  <si>
    <t>Yummy Margaritas</t>
  </si>
  <si>
    <t>6 fluid ounces tequila</t>
  </si>
  <si>
    <t>1 oz Framboise</t>
  </si>
  <si>
    <t>Framboise</t>
  </si>
  <si>
    <t>Spritz Awakening From Kinship</t>
  </si>
  <si>
    <t>Banana liqueur 2.5 oz</t>
  </si>
  <si>
    <t>Evening Mate</t>
  </si>
  <si>
    <t>8ml hot water</t>
  </si>
  <si>
    <t>5 oz Soda Water</t>
  </si>
  <si>
    <t>Blue Polka Dot Bikini</t>
  </si>
  <si>
    <t>2 fluid ounces lemon juice</t>
  </si>
  <si>
    <t>Cherry Blossom 2</t>
  </si>
  <si>
    <t>1.5 tsp Triple Sec</t>
  </si>
  <si>
    <t>.5 oz Apple Schnapps</t>
  </si>
  <si>
    <t>Its Not Easy</t>
  </si>
  <si>
    <t>6 to 8 mint leaves</t>
  </si>
  <si>
    <t>Mini Milkshake Shooters</t>
  </si>
  <si>
    <t>0.75 ounce sweetened ginger juice</t>
  </si>
  <si>
    <t>sweetened ginger juice</t>
  </si>
  <si>
    <t>Pina Colada Royal</t>
  </si>
  <si>
    <t>Pina Picante</t>
  </si>
  <si>
    <t>Davis Dream</t>
  </si>
  <si>
    <t>4 oz White Creme De Menthe</t>
  </si>
  <si>
    <t>Big Blue Sky</t>
  </si>
  <si>
    <t>Belle of Ellis Island</t>
  </si>
  <si>
    <t>1 cup almond-flavored syrup</t>
  </si>
  <si>
    <t>almond-flavored syrup</t>
  </si>
  <si>
    <t>1 shot Malibu rum</t>
  </si>
  <si>
    <t>Malibu rum</t>
  </si>
  <si>
    <t>The Laotong: A Pisco Cocktail</t>
  </si>
  <si>
    <t>1.75 oz chamomile-infused pisco</t>
  </si>
  <si>
    <t>chamomile-infused pisco</t>
  </si>
  <si>
    <t>Thats Probably Him</t>
  </si>
  <si>
    <t>0.12 part Lemon juice</t>
  </si>
  <si>
    <t>Bennett</t>
  </si>
  <si>
    <t>Honolulu</t>
  </si>
  <si>
    <t>Lemon Spiral</t>
  </si>
  <si>
    <t>Tequila Sour</t>
  </si>
  <si>
    <t>Black Apricot</t>
  </si>
  <si>
    <t>100ml Orange juice</t>
  </si>
  <si>
    <t>1 dash vanilla extract</t>
  </si>
  <si>
    <t>Pink Monsoon</t>
  </si>
  <si>
    <t>5 oz Lemon-Lime Soda</t>
  </si>
  <si>
    <t>Big Bear Sour</t>
  </si>
  <si>
    <t>6 Mint Leaves plus additional for garnish</t>
  </si>
  <si>
    <t>plus additional for garnish</t>
  </si>
  <si>
    <t>Strawberry Split Shots</t>
  </si>
  <si>
    <t>White chocolate liqueur 1 part</t>
  </si>
  <si>
    <t>Cesar Chavez</t>
  </si>
  <si>
    <t>1 ounce cream of coconut (such as Coco Lopez)</t>
  </si>
  <si>
    <t xml:space="preserve"> (such as Coco Lopez)</t>
  </si>
  <si>
    <t>Jack &amp; Coke Cupcakes</t>
  </si>
  <si>
    <t>Salt 0.25 tsp</t>
  </si>
  <si>
    <t>1 liter (about 34 ounces) whole milk</t>
  </si>
  <si>
    <t>liter</t>
  </si>
  <si>
    <t>(about 34 ounces)</t>
  </si>
  <si>
    <t>1.5 oz Triple Sec</t>
  </si>
  <si>
    <t>Don Julio Reposado Tequila</t>
  </si>
  <si>
    <t>Voodoo Sunrise</t>
  </si>
  <si>
    <t>2 oz Grenadine Syrup</t>
  </si>
  <si>
    <t>No-Groni Spritz</t>
  </si>
  <si>
    <t>2 parts Non- Alcoholic Prosecco</t>
  </si>
  <si>
    <t>Non- Alcoholic Prosecco</t>
  </si>
  <si>
    <t>Classic Strawberry Sangria</t>
  </si>
  <si>
    <t>0.5 cup triple sec, Cointreau or Grand Marnier</t>
  </si>
  <si>
    <t>triple sec|Cointreau|Grand Marnier</t>
  </si>
  <si>
    <t>2 large eggs, at room temperature</t>
  </si>
  <si>
    <t>eggs</t>
  </si>
  <si>
    <t>room temperature</t>
  </si>
  <si>
    <t xml:space="preserve">, at </t>
  </si>
  <si>
    <t>Florida Freeze</t>
  </si>
  <si>
    <t>Blame It On Rio</t>
  </si>
  <si>
    <t>0.25 oz Spiced Rum</t>
  </si>
  <si>
    <t>Comfortable Fuzzy Screw Against the Wall</t>
  </si>
  <si>
    <t>Tiki-Tiki Tom-Tom</t>
  </si>
  <si>
    <t>10.5 parts Dark rum</t>
  </si>
  <si>
    <t>Burfentailor</t>
  </si>
  <si>
    <t>Cherokee</t>
  </si>
  <si>
    <t>Calpol Cocktail</t>
  </si>
  <si>
    <t>After Eight</t>
  </si>
  <si>
    <t>1 oz Bols Brown Cream</t>
  </si>
  <si>
    <t>Bols Brown Cream</t>
  </si>
  <si>
    <t>1 Orange coin for garnish</t>
  </si>
  <si>
    <t xml:space="preserve">Orange coin </t>
  </si>
  <si>
    <t>The Gibsons Pauline</t>
  </si>
  <si>
    <t>Baroque Old-Fashioned</t>
  </si>
  <si>
    <t>Blackberries, for garnish</t>
  </si>
  <si>
    <t>8 Raspberries</t>
  </si>
  <si>
    <t>Dean Swift</t>
  </si>
  <si>
    <t>10ml Demerara syrup</t>
  </si>
  <si>
    <t>Pink Snowball</t>
  </si>
  <si>
    <t>Honey Bee Cocktail</t>
  </si>
  <si>
    <t>Red Orange Negroni</t>
  </si>
  <si>
    <t>0.5 oz Bols Genever Original</t>
  </si>
  <si>
    <t>Silk Stockings</t>
  </si>
  <si>
    <t>Pepper Bloody Mary</t>
  </si>
  <si>
    <t>Crawdaddy</t>
  </si>
  <si>
    <t>Black &amp; Tan</t>
  </si>
  <si>
    <t>8 ounces stout beer (such as Guinness)</t>
  </si>
  <si>
    <t>(such as Guinness)</t>
  </si>
  <si>
    <t>15 ml of Vodka</t>
  </si>
  <si>
    <t>Girls Night Out</t>
  </si>
  <si>
    <t>1 oz Lime Schnapps</t>
  </si>
  <si>
    <t>Lime Schnapps</t>
  </si>
  <si>
    <t>Black River</t>
  </si>
  <si>
    <t>20 ml Vodka</t>
  </si>
  <si>
    <t>Cocktail Artist Margarita Rum Punch</t>
  </si>
  <si>
    <t>Rum 2 parts</t>
  </si>
  <si>
    <t>0.5 ounce coffee liqueur</t>
  </si>
  <si>
    <t>Holiday in Hamilton</t>
  </si>
  <si>
    <t>1 12 oz spiced rum</t>
  </si>
  <si>
    <t>Hocus Pocus</t>
  </si>
  <si>
    <t>Melon liqueur 8 oz</t>
  </si>
  <si>
    <t>Generic Kamikaze</t>
  </si>
  <si>
    <t>1.5 shot of Vodka</t>
  </si>
  <si>
    <t>0.5 tsp Powdered sugar</t>
  </si>
  <si>
    <t>2 ounces Tequila</t>
  </si>
  <si>
    <t>0.25 ounce green Chartreuse</t>
  </si>
  <si>
    <t>Cherry Repair Kit</t>
  </si>
  <si>
    <t>.5 oz Cherry Juice</t>
  </si>
  <si>
    <t>Bourbonime</t>
  </si>
  <si>
    <t>0.25/2006 Lime</t>
  </si>
  <si>
    <t>Suppressor #1280</t>
  </si>
  <si>
    <t>0.5 ounce Amaro CioCiaro</t>
  </si>
  <si>
    <t>Amaro CioCiaro</t>
  </si>
  <si>
    <t>Serena</t>
  </si>
  <si>
    <t>15 ml Dry Vermouth</t>
  </si>
  <si>
    <t>Blue raspberry vodka 1 oz</t>
  </si>
  <si>
    <t>Bloody Mary Pickle Jello Shots</t>
  </si>
  <si>
    <t>Pickles</t>
  </si>
  <si>
    <t>B.A.V.</t>
  </si>
  <si>
    <t>20 ml Advocaat Liqueur</t>
  </si>
  <si>
    <t>Advocaat Liqueur</t>
  </si>
  <si>
    <t>A Wee Modern</t>
  </si>
  <si>
    <t>Small Bomb</t>
  </si>
  <si>
    <t>Yellow Daisy</t>
  </si>
  <si>
    <t>Nutty Russian</t>
  </si>
  <si>
    <t>Cranberry Ginger Shandy</t>
  </si>
  <si>
    <t>0.5 cup freshly squeezed lemon juice, from 2 to 3 lemons</t>
  </si>
  <si>
    <t>, from 2 to 3 lemons</t>
  </si>
  <si>
    <t>Dib Dab</t>
  </si>
  <si>
    <t>.5 oz Mandarin Vodka</t>
  </si>
  <si>
    <t>Cosmoquila</t>
  </si>
  <si>
    <t>Love Potion</t>
  </si>
  <si>
    <t>0.5 ounce pinot noir juice</t>
  </si>
  <si>
    <t>pinot noir juice</t>
  </si>
  <si>
    <t>1 pint blueberries, rinsed and dried</t>
  </si>
  <si>
    <t>rinsed|dried</t>
  </si>
  <si>
    <t xml:space="preserve"> and </t>
  </si>
  <si>
    <t>Captain My-Tai</t>
  </si>
  <si>
    <t>30ml Captain Morgan Original Spiced Gold</t>
  </si>
  <si>
    <t>Captain Morgan Original Spiced Gold</t>
  </si>
  <si>
    <t>Champion's Collins</t>
  </si>
  <si>
    <t>1 strawberry, quartered</t>
  </si>
  <si>
    <t>Sunset Spritz</t>
  </si>
  <si>
    <t>1 ounce salted watermelon shrub</t>
  </si>
  <si>
    <t>salted watermelon shrub</t>
  </si>
  <si>
    <t>Black-Eyed Susan Cocktails</t>
  </si>
  <si>
    <t>2 ounces bourbon</t>
  </si>
  <si>
    <t>Bushmills Irish Punch</t>
  </si>
  <si>
    <t>2.5 tablespoons honey</t>
  </si>
  <si>
    <t>Bloody Mary</t>
  </si>
  <si>
    <t>Garnish: 2 green olives</t>
  </si>
  <si>
    <t>green olives</t>
  </si>
  <si>
    <t>2 oz overproof rum</t>
  </si>
  <si>
    <t>Strawberry Beer Margarita Pitcher</t>
  </si>
  <si>
    <t>Naked Lady</t>
  </si>
  <si>
    <t>4 Dash Apricot Brandy</t>
  </si>
  <si>
    <t>1 teaspoon maraschino liqueur</t>
  </si>
  <si>
    <t>Classic Pina Colada</t>
  </si>
  <si>
    <t>THE Sazerac Cocktail</t>
  </si>
  <si>
    <t>3 4 dashes Peychauds bitters</t>
  </si>
  <si>
    <t>8 ounces pale ale (such as Bass)</t>
  </si>
  <si>
    <t>pale ale</t>
  </si>
  <si>
    <t>(such as Bass)</t>
  </si>
  <si>
    <t>Enchantress</t>
  </si>
  <si>
    <t>Lavender Blanc</t>
  </si>
  <si>
    <t>Rum 1.5 oz</t>
  </si>
  <si>
    <t>Mason Jar Fishbowl</t>
  </si>
  <si>
    <t>1 Pinch freshly grated nutmeg</t>
  </si>
  <si>
    <t>EXpresso Martini</t>
  </si>
  <si>
    <t>3 ounces cold-brew coffee, brewed as a concentrate</t>
  </si>
  <si>
    <t>cold-brew coffee</t>
  </si>
  <si>
    <t>, brewed as a concentrate</t>
  </si>
  <si>
    <t>Gordons Cup</t>
  </si>
  <si>
    <t>Captain Morgan &amp; Cola</t>
  </si>
  <si>
    <t>THE RED WIDOW</t>
  </si>
  <si>
    <t>0.5Cloves Crushed Garlic</t>
  </si>
  <si>
    <t>Cloves|Crushed Garlic</t>
  </si>
  <si>
    <t>Glasgow Razor Blade</t>
  </si>
  <si>
    <t>25ml Campari</t>
  </si>
  <si>
    <t>Raspberry Bourbon Mule</t>
  </si>
  <si>
    <t>2 oz Redemption High Rye Bourbon Whiskey</t>
  </si>
  <si>
    <t>Redemption High Rye Bourbon Whiskey</t>
  </si>
  <si>
    <t>Smirnoff &amp; Pomelo</t>
  </si>
  <si>
    <t>150ml Pomelo juice</t>
  </si>
  <si>
    <t>Pomelo juice</t>
  </si>
  <si>
    <t>Pimms Cup</t>
  </si>
  <si>
    <t>4 slices Cucumber or Apple</t>
  </si>
  <si>
    <t>Cucumber|Apple</t>
  </si>
  <si>
    <t>0.25 cup triple sec</t>
  </si>
  <si>
    <t>Scurvy</t>
  </si>
  <si>
    <t>2 oz Banana Liqueur</t>
  </si>
  <si>
    <t>Gagliardo</t>
  </si>
  <si>
    <t>5 parts Peach Vodka</t>
  </si>
  <si>
    <t>Bloody Passion 2</t>
  </si>
  <si>
    <t>Cape Brenton Slide</t>
  </si>
  <si>
    <t>1 oz Scotch Whiskey</t>
  </si>
  <si>
    <t>Fireside</t>
  </si>
  <si>
    <t>2 dashes Walnut bitters or Aromatic bitters or Cardamom bitters or Chocolate bitters or Mole bitters</t>
  </si>
  <si>
    <t>Walnut bitters|Aromatic bitters|Cardamom bitters|Chocolate bitters|Mole bitters</t>
  </si>
  <si>
    <t>Mistah Bittah Hai: A Mr. Bali Hai Riff</t>
  </si>
  <si>
    <t>0.75 oz fresh grapefruit juice</t>
  </si>
  <si>
    <t>Mexican Skirt</t>
  </si>
  <si>
    <t>1 jigger frozen lemonade</t>
  </si>
  <si>
    <t>Butterfinger Cocktail</t>
  </si>
  <si>
    <t>1.5 oz Irish Cream</t>
  </si>
  <si>
    <t>AK-47 Cocktail</t>
  </si>
  <si>
    <t>Bourbon whiskey 0.33 oz</t>
  </si>
  <si>
    <t>Bourbon whiskey</t>
  </si>
  <si>
    <t>Kamikaze</t>
  </si>
  <si>
    <t>1 oz Triple sec</t>
  </si>
  <si>
    <t>15 ounces (a scant 2 cups) blanco tequila, preferably Tequila Ocho Plata</t>
  </si>
  <si>
    <t>(a scant 2 cups)|, preferably Tequila Ocho Plata</t>
  </si>
  <si>
    <t>Pickletini</t>
  </si>
  <si>
    <t>4.5 ounces vodka, preferably Titos or Ketel One</t>
  </si>
  <si>
    <t xml:space="preserve">, preferably </t>
  </si>
  <si>
    <t>0.25 oz of Cointreau</t>
  </si>
  <si>
    <t>Lagoon Punch</t>
  </si>
  <si>
    <t>Orange slices, for garnish</t>
  </si>
  <si>
    <t>Sloe Bramble</t>
  </si>
  <si>
    <t>Ciroc Champagne Cosmo</t>
  </si>
  <si>
    <t>Chocolate Covered Oranje</t>
  </si>
  <si>
    <t>50ml Ciroc Vodka</t>
  </si>
  <si>
    <t>The Jungle Booby From The Polynesian</t>
  </si>
  <si>
    <t>4 dashes Worcestershire sauce</t>
  </si>
  <si>
    <t>1 stick Cinnamon</t>
  </si>
  <si>
    <t>Cinnamon stick</t>
  </si>
  <si>
    <t>Improved Iced Coffee</t>
  </si>
  <si>
    <t>1 part Bourbon</t>
  </si>
  <si>
    <t>Dr. Amaretto Float</t>
  </si>
  <si>
    <t>Disaronno (amaretto) 1 oz</t>
  </si>
  <si>
    <t>Disaronno|amaretto</t>
  </si>
  <si>
    <t>()</t>
  </si>
  <si>
    <t>The French Pearl</t>
  </si>
  <si>
    <t>2 parts Vodka or Pepper vodka</t>
  </si>
  <si>
    <t>Vodka|Pepper vodka</t>
  </si>
  <si>
    <t>Pinch of Cayenne Pepper</t>
  </si>
  <si>
    <t>Cayenne Pepper</t>
  </si>
  <si>
    <t>3 parts Sparkling water or Sparkling white wine</t>
  </si>
  <si>
    <t>Sparkling water|Sparkling white wine</t>
  </si>
  <si>
    <t>Golden Shower</t>
  </si>
  <si>
    <t>0.25 oz St. Elizabeth Allspice Dram</t>
  </si>
  <si>
    <t>St. Elizabeth Allspice Dram</t>
  </si>
  <si>
    <t>Bailey`s Banana Colada</t>
  </si>
  <si>
    <t>Crown Royal Maple Old Fashioned</t>
  </si>
  <si>
    <t>25ml Crown Royal Maple Finished Maple Flavoured Whisky</t>
  </si>
  <si>
    <t>Crown Royal Maple Finished Maple Flavoured Whisky</t>
  </si>
  <si>
    <t>4 to 6 fresh mint leaves</t>
  </si>
  <si>
    <t>Caribbean Sangria</t>
  </si>
  <si>
    <t>Calm Voyage</t>
  </si>
  <si>
    <t>Caribbean Splash</t>
  </si>
  <si>
    <t>Blackhawk</t>
  </si>
  <si>
    <t>.5 oz Creme de Mure</t>
  </si>
  <si>
    <t>Lunchpail</t>
  </si>
  <si>
    <t>Baileys Original Irish Cream Liqueur</t>
  </si>
  <si>
    <t>Caramel Apple Sangria</t>
  </si>
  <si>
    <t>White wine</t>
  </si>
  <si>
    <t>12.5 ml Blue Curacao</t>
  </si>
  <si>
    <t>Bacardi Mojito</t>
  </si>
  <si>
    <t>spearmint leaves</t>
  </si>
  <si>
    <t>Don Limonada</t>
  </si>
  <si>
    <t>Australian Manhattan</t>
  </si>
  <si>
    <t>Wake Up Call</t>
  </si>
  <si>
    <t>Nutella 0.25 tsp</t>
  </si>
  <si>
    <t>Dressed Up Pina Colada</t>
  </si>
  <si>
    <t>3 oz Coconut Rum</t>
  </si>
  <si>
    <t>Slider</t>
  </si>
  <si>
    <t>Holiday Spice</t>
  </si>
  <si>
    <t>10ml Ginger syrup</t>
  </si>
  <si>
    <t>Large-Format Red Hook</t>
  </si>
  <si>
    <t>10 ounces rye whiskey, preferably Rittenhouse</t>
  </si>
  <si>
    <t>, preferably Rittenhouse</t>
  </si>
  <si>
    <t>Birthday Cake Pudding Shots</t>
  </si>
  <si>
    <t>Cake vodka 2 oz</t>
  </si>
  <si>
    <t>10 ml Aquavit</t>
  </si>
  <si>
    <t>Aquavit</t>
  </si>
  <si>
    <t>Five in the Morning</t>
  </si>
  <si>
    <t>Jamaican Negroni</t>
  </si>
  <si>
    <t>1 oz Cocchi Vermouth di Torino</t>
  </si>
  <si>
    <t>Cocchi Vermouth di Torino</t>
  </si>
  <si>
    <t>The Deconstructed Paloma with Don Julio 70</t>
  </si>
  <si>
    <t>0.5 a grapefruit</t>
  </si>
  <si>
    <t>a</t>
  </si>
  <si>
    <t>Oreo Mudslide</t>
  </si>
  <si>
    <t>1 oz Baileys irish cream</t>
  </si>
  <si>
    <t>For garnish: Lemon peel and 1 mint leaf</t>
  </si>
  <si>
    <t>Lemon peel|mint leaf</t>
  </si>
  <si>
    <t>For garnish:|and</t>
  </si>
  <si>
    <t>Pink Fizz</t>
  </si>
  <si>
    <t>The Dirty Banana</t>
  </si>
  <si>
    <t>Kevin`s Special Blend</t>
  </si>
  <si>
    <t>1.5 tsp Iced Tea</t>
  </si>
  <si>
    <t>30ml ZACAPA XO RUM</t>
  </si>
  <si>
    <t>ZACAPA XO RUM</t>
  </si>
  <si>
    <t>Jim Beam and Ginger</t>
  </si>
  <si>
    <t>10 oz Ginger Ale</t>
  </si>
  <si>
    <t>3 fluid ounces cranberry juice</t>
  </si>
  <si>
    <t>Watermelon Margarita Popsicle</t>
  </si>
  <si>
    <t>Cranberry Grand</t>
  </si>
  <si>
    <t>Oranje Flower Sour</t>
  </si>
  <si>
    <t>15ml Elderberry Liqueur</t>
  </si>
  <si>
    <t>Elderberry Liqueur</t>
  </si>
  <si>
    <t>Caribbean Pineapple</t>
  </si>
  <si>
    <t>3 part of Pineapple Juice</t>
  </si>
  <si>
    <t xml:space="preserve">part </t>
  </si>
  <si>
    <t>Grand marnier 0.75 oz</t>
  </si>
  <si>
    <t>Grand marnie</t>
  </si>
  <si>
    <t>2 Leaves, fresh Basil</t>
  </si>
  <si>
    <t>Basil  Leaves</t>
  </si>
  <si>
    <t xml:space="preserve">fresh </t>
  </si>
  <si>
    <t>Little Egypt Cocktail</t>
  </si>
  <si>
    <t>Absinthe, to rinse</t>
  </si>
  <si>
    <t>, to rinse</t>
  </si>
  <si>
    <t>The Refresher</t>
  </si>
  <si>
    <t>Winter Pimms Cup From Pacific Cocktail Haven</t>
  </si>
  <si>
    <t>4 ounces club soda</t>
  </si>
  <si>
    <t>0.5 oz overproof Jamaican rum</t>
  </si>
  <si>
    <t>Bikini Martini</t>
  </si>
  <si>
    <t>0.75 fluid ounce vodka</t>
  </si>
  <si>
    <t xml:space="preserve">fluid ounce </t>
  </si>
  <si>
    <t>Jockey Club</t>
  </si>
  <si>
    <t>0.75 part Amaretto or Creme de noyaux</t>
  </si>
  <si>
    <t>Amaretto|Creme de noyaux</t>
  </si>
  <si>
    <t>0.5 ounce maraschino liqueur, preferably Luxardo Maraschino</t>
  </si>
  <si>
    <t>, preferably Luxardo Maraschino</t>
  </si>
  <si>
    <t>2 Bar Spoons Superfine Sugar</t>
  </si>
  <si>
    <t xml:space="preserve">Bar Spoons </t>
  </si>
  <si>
    <t>0.25 ounce grenadine</t>
  </si>
  <si>
    <t>Zaya Shipwreck</t>
  </si>
  <si>
    <t>1 oz of Bourbon</t>
  </si>
  <si>
    <t>Amaretto 1 oz</t>
  </si>
  <si>
    <t>Horse's Neck</t>
  </si>
  <si>
    <t xml:space="preserve">dashes </t>
  </si>
  <si>
    <t>Gordons Breakfast</t>
  </si>
  <si>
    <t>1 pinch Black pepper</t>
  </si>
  <si>
    <t>0.5 oz Limoncello</t>
  </si>
  <si>
    <t>1 cup ice, or more if desired</t>
  </si>
  <si>
    <t>Death or Glory: A Scotch Cocktail</t>
  </si>
  <si>
    <t>1 tsp. peated single malt Scotch whisky , to rinse</t>
  </si>
  <si>
    <t xml:space="preserve">malt Scotch whisky </t>
  </si>
  <si>
    <t>peated</t>
  </si>
  <si>
    <t>.|single|, to rinse</t>
  </si>
  <si>
    <t>Sparkling Cherry Sangria</t>
  </si>
  <si>
    <t>Triple sec 3 oz</t>
  </si>
  <si>
    <t>Triple se</t>
  </si>
  <si>
    <t>Claremont</t>
  </si>
  <si>
    <t>1 slice Orange</t>
  </si>
  <si>
    <t>Black Widow</t>
  </si>
  <si>
    <t>1 tablespoon salt</t>
  </si>
  <si>
    <t>Irish Highball</t>
  </si>
  <si>
    <t>Garnish with a lime wedge</t>
  </si>
  <si>
    <t>Garnish with a</t>
  </si>
  <si>
    <t>0.75 Lemon Juice</t>
  </si>
  <si>
    <t>Caramel White Russian</t>
  </si>
  <si>
    <t>2 bottles chilled Champagne</t>
  </si>
  <si>
    <t>bottltes</t>
  </si>
  <si>
    <t>Ginger Elixir</t>
  </si>
  <si>
    <t>1 ounce Carrot Honey Syrup</t>
  </si>
  <si>
    <t>Carrot Honey Syrup</t>
  </si>
  <si>
    <t>Hey, Gourdgeous</t>
  </si>
  <si>
    <t>8 star anise pods</t>
  </si>
  <si>
    <t>Creamy Pina Colada</t>
  </si>
  <si>
    <t>1 Pint Half-and-half</t>
  </si>
  <si>
    <t>Rangpur Rocks</t>
  </si>
  <si>
    <t>Cucumber, Basil &amp; Lime Gimlet</t>
  </si>
  <si>
    <t>Casino Royale</t>
  </si>
  <si>
    <t>Deauville</t>
  </si>
  <si>
    <t>1 part Triple sec</t>
  </si>
  <si>
    <t>Bunky Punch</t>
  </si>
  <si>
    <t>.5 oz Grape Juice</t>
  </si>
  <si>
    <t>Grape Juice</t>
  </si>
  <si>
    <t>60ml Don Julio 70</t>
  </si>
  <si>
    <t>Bonecrusher</t>
  </si>
  <si>
    <t xml:space="preserve"> Lemonade</t>
  </si>
  <si>
    <t>Damn Fine In Blue</t>
  </si>
  <si>
    <t>0.5 oz of Bacardi rum</t>
  </si>
  <si>
    <t>Bacardi rum</t>
  </si>
  <si>
    <t>Limetini</t>
  </si>
  <si>
    <t>Jamaica Glow</t>
  </si>
  <si>
    <t>0.5 oz of Orange Juice</t>
  </si>
  <si>
    <t>Heat Check</t>
  </si>
  <si>
    <t>Port au Prince</t>
  </si>
  <si>
    <t>Anthony Schmidts Kingston Negroni</t>
  </si>
  <si>
    <t>5 to 10 coffee beans</t>
  </si>
  <si>
    <t>5|10</t>
  </si>
  <si>
    <t>One Thousand Cranes</t>
  </si>
  <si>
    <t>Absolut Reese`s</t>
  </si>
  <si>
    <t>10 Ice Cubes</t>
  </si>
  <si>
    <t>2 fluid ounces anejo tequila</t>
  </si>
  <si>
    <t>anejo tequila</t>
  </si>
  <si>
    <t>Charles Cocktail</t>
  </si>
  <si>
    <t>.5 oz Orange Curacao liqueur</t>
  </si>
  <si>
    <t>Orange Curacao liqueur</t>
  </si>
  <si>
    <t>San Salvador</t>
  </si>
  <si>
    <t>Little Beer</t>
  </si>
  <si>
    <t>Heavy cream 1 part</t>
  </si>
  <si>
    <t>Heavy cream</t>
  </si>
  <si>
    <t>Strawberry Cream Milkshake</t>
  </si>
  <si>
    <t>Strawberry milk 4 oz</t>
  </si>
  <si>
    <t>Strawberry milk</t>
  </si>
  <si>
    <t>Cavaletta</t>
  </si>
  <si>
    <t>1 part Mint fernet</t>
  </si>
  <si>
    <t>Mint fernet</t>
  </si>
  <si>
    <t>Rattlesnake</t>
  </si>
  <si>
    <t>2 ounces rye</t>
  </si>
  <si>
    <t>Boiling Crab Michelada</t>
  </si>
  <si>
    <t>Speak of the Devils French Martini</t>
  </si>
  <si>
    <t>0.5 ounce raspberry liqueur, preferably Giffard</t>
  </si>
  <si>
    <t>raspberry liqueur|Giffard</t>
  </si>
  <si>
    <t>Turf Cocktail</t>
  </si>
  <si>
    <t>Vanilla Cream Berry-Tini</t>
  </si>
  <si>
    <t>1 part Half and Half</t>
  </si>
  <si>
    <t>Half and Half</t>
  </si>
  <si>
    <t>25 mL White Rum</t>
  </si>
  <si>
    <t>The Salty Watermelon Bowl</t>
  </si>
  <si>
    <t>Tanqueray Flip</t>
  </si>
  <si>
    <t>15ml Almond Liqueur</t>
  </si>
  <si>
    <t>Derby Spritzer</t>
  </si>
  <si>
    <t>Whiskey Cola</t>
  </si>
  <si>
    <t>4 parts Cola</t>
  </si>
  <si>
    <t>Plummer's Tea</t>
  </si>
  <si>
    <t>8 dashes celery bitters</t>
  </si>
  <si>
    <t>.5 oz Grain Alcohol</t>
  </si>
  <si>
    <t>White Christmas sangria</t>
  </si>
  <si>
    <t>3 cups Ice cubes</t>
  </si>
  <si>
    <t>1 cup aged rum, preferably Myerss</t>
  </si>
  <si>
    <t>, preferably Myerss</t>
  </si>
  <si>
    <t>0.5 ounce grapefruit juice</t>
  </si>
  <si>
    <t>Suplada Spritz</t>
  </si>
  <si>
    <t>1 ounce gin, preferably Bimini</t>
  </si>
  <si>
    <t>, preferably Bimini</t>
  </si>
  <si>
    <t>0.75 fluid ounce lemon juice</t>
  </si>
  <si>
    <t xml:space="preserve"> lemon juice</t>
  </si>
  <si>
    <t>Mocha Razz-Tini</t>
  </si>
  <si>
    <t>2 parts Pinnacle Raspberry Vodka</t>
  </si>
  <si>
    <t>Pinnacle Raspberry Vodka</t>
  </si>
  <si>
    <t>Boomerang</t>
  </si>
  <si>
    <t>Cran Daddy Shandy</t>
  </si>
  <si>
    <t>50 ml Fresh Lemonade</t>
  </si>
  <si>
    <t>Monks Respite</t>
  </si>
  <si>
    <t>0.25 part Honey syrup</t>
  </si>
  <si>
    <t>3 ounces lime juice</t>
  </si>
  <si>
    <t>Pomada</t>
  </si>
  <si>
    <t>6 tablespoons sugar, or more as needed</t>
  </si>
  <si>
    <t>De La Cruz: A Low-Proof Holiday Cocktail</t>
  </si>
  <si>
    <t>1 oz graham crackerinfused sherry</t>
  </si>
  <si>
    <t>graham crackerinfused sherry</t>
  </si>
  <si>
    <t>2 muddled strawberry slices</t>
  </si>
  <si>
    <t>0.5 oz Peach Puree</t>
  </si>
  <si>
    <t>Puree</t>
  </si>
  <si>
    <t>Hard Rootbeer</t>
  </si>
  <si>
    <t>Cricket Ball</t>
  </si>
  <si>
    <t>Mommy's Lemonade (Margaritas)</t>
  </si>
  <si>
    <t>6 fluid ounces orange-flavored liqueur</t>
  </si>
  <si>
    <t>0.5 oz Calvados</t>
  </si>
  <si>
    <t>Scotch Cocktail: This &amp; That</t>
  </si>
  <si>
    <t>0.5 tablespoon Unsweetened Cocoa Powder</t>
  </si>
  <si>
    <t>Unsweetened Cocoa Powder</t>
  </si>
  <si>
    <t>Guinness Cola</t>
  </si>
  <si>
    <t>6 oz Stout Beer</t>
  </si>
  <si>
    <t>15ml Smirnoff Iced Cake Vodka</t>
  </si>
  <si>
    <t>Smirnoff Iced Cake Vodka</t>
  </si>
  <si>
    <t>0.5 cup lime juice</t>
  </si>
  <si>
    <t>The Abyss</t>
  </si>
  <si>
    <t>0.5 oz of white rum</t>
  </si>
  <si>
    <t>Ketel One Botanical Cucumber &amp; Mint Spritz</t>
  </si>
  <si>
    <t>1.5oz Ketel One Botanical Cucumber &amp; Mint</t>
  </si>
  <si>
    <t>Ketel One Botanical Cucumber &amp; Mint</t>
  </si>
  <si>
    <t>Slippery Panties Shot</t>
  </si>
  <si>
    <t>2 whole Egg</t>
  </si>
  <si>
    <t>Gingered Stone Cherry</t>
  </si>
  <si>
    <t>50ml Seagram's 7 Crown Stone Cherry Whisky</t>
  </si>
  <si>
    <t>Tom Collins</t>
  </si>
  <si>
    <t>Soda Cherry Cola</t>
  </si>
  <si>
    <t>Finding Peggy</t>
  </si>
  <si>
    <t>1.5 ounces Dubonnet Rouge</t>
  </si>
  <si>
    <t>175ml Horchata</t>
  </si>
  <si>
    <t>Horchata</t>
  </si>
  <si>
    <t>The Milky Way Martini</t>
  </si>
  <si>
    <t>1.5 cups ice cubes</t>
  </si>
  <si>
    <t>Apricot Fizz</t>
  </si>
  <si>
    <t>Original Sin</t>
  </si>
  <si>
    <t>Italian Wedding Cake Martini</t>
  </si>
  <si>
    <t>0.5 fluid ounce white creme de cacao</t>
  </si>
  <si>
    <t>Almeria</t>
  </si>
  <si>
    <t>Strange Weather</t>
  </si>
  <si>
    <t>Mint sprig and lime quarter for garnish</t>
  </si>
  <si>
    <t>sprig|quarter</t>
  </si>
  <si>
    <t>Mint|lime</t>
  </si>
  <si>
    <t>2 parts Bourbon or Rye whiskey or Irish whiskey or Scotch or Blended whiskey or Japanese whisky or Brandy or Aged rum</t>
  </si>
  <si>
    <t>Bourbon|Rye whiskey|Irish whiskey|Scotch|Blended whiskey|Japanese whisky|Brandy|Aged rum</t>
  </si>
  <si>
    <t>or|or|or|or|or|or|or</t>
  </si>
  <si>
    <t>South Side Cocktail</t>
  </si>
  <si>
    <t>Apple Pie Old Fashioned</t>
  </si>
  <si>
    <t>1.75 ounces apple brandy</t>
  </si>
  <si>
    <t>Hazelnut &amp; Praline Choctail (1)</t>
  </si>
  <si>
    <t>12.5ml Chocolate praline syrup</t>
  </si>
  <si>
    <t>Chocolate praline syrup</t>
  </si>
  <si>
    <t>1 dash grapefruit bitters</t>
  </si>
  <si>
    <t>2 dashes Sweet herbal liqueur or Absinthe or Scotch whisky liqueur</t>
  </si>
  <si>
    <t>Sweet herbal liqueur|Absinthe|Scotch whisky liqueur</t>
  </si>
  <si>
    <t>Wild Cherry</t>
  </si>
  <si>
    <t>Caipirosca</t>
  </si>
  <si>
    <t>2 tsp Brown sugar syrup or Brown sugar or Simple syrup or Granulated sugar</t>
  </si>
  <si>
    <t>Brown sugar syrup|Brown sugar|Simple syrup|Granulated sugar</t>
  </si>
  <si>
    <t>15ml Smirnoff Vanilla Flavoured Vodka</t>
  </si>
  <si>
    <t>Smirnoff Vanilla Flavoured Vodka</t>
  </si>
  <si>
    <t>Vampiro</t>
  </si>
  <si>
    <t>Triple Threat</t>
  </si>
  <si>
    <t>.5 oz Lemonade</t>
  </si>
  <si>
    <t>0.75 ounce coffee liqueur</t>
  </si>
  <si>
    <t>Johnnie Walker Penicillin</t>
  </si>
  <si>
    <t>Ruse</t>
  </si>
  <si>
    <t>The Cazuela</t>
  </si>
  <si>
    <t>1 Spoonful Sea salt</t>
  </si>
  <si>
    <t>Spoonful</t>
  </si>
  <si>
    <t>Sub Zero-Proof Winter Warmer</t>
  </si>
  <si>
    <t>Float of non-alcoholic red wine</t>
  </si>
  <si>
    <t>non-alcoholic red wine</t>
  </si>
  <si>
    <t xml:space="preserve">Float of </t>
  </si>
  <si>
    <t>Communitini</t>
  </si>
  <si>
    <t>Bloody Mariyaki</t>
  </si>
  <si>
    <t>Breakfast Jello Shot</t>
  </si>
  <si>
    <t>Butterscotch schnapps 2 oz</t>
  </si>
  <si>
    <t>Caramel Apple Bomb</t>
  </si>
  <si>
    <t>Butterscotch schnapps 0.5 oz</t>
  </si>
  <si>
    <t>Rose Fizz</t>
  </si>
  <si>
    <t>1 Drop of Rosewater</t>
  </si>
  <si>
    <t>Rosewater</t>
  </si>
  <si>
    <t>Unicorn Hot Chocolate</t>
  </si>
  <si>
    <t>Whipped cream vodka 3 oz</t>
  </si>
  <si>
    <t>1 fluid ounce vanilla flavored vodka</t>
  </si>
  <si>
    <t>vanilla flavored vodka</t>
  </si>
  <si>
    <t>Chocolate XS</t>
  </si>
  <si>
    <t>Enamorada Sunrise</t>
  </si>
  <si>
    <t>90 ml Orange Juice</t>
  </si>
  <si>
    <t>1 teaspoon chile-lime seasoning, or more to taste</t>
  </si>
  <si>
    <t>chile-lime seasoning</t>
  </si>
  <si>
    <t>Niesen Buzz Bomb</t>
  </si>
  <si>
    <t>1 part Sweet herbal liqueur</t>
  </si>
  <si>
    <t>Lemon Slice for garnish</t>
  </si>
  <si>
    <t>Kiwi Fizz</t>
  </si>
  <si>
    <t>1 splash Sparkling water or Flavored sparkling water</t>
  </si>
  <si>
    <t>1 part Honey</t>
  </si>
  <si>
    <t>Candy Corn Jello Shots</t>
  </si>
  <si>
    <t>Food coloring</t>
  </si>
  <si>
    <t>Kristina Cocktail</t>
  </si>
  <si>
    <t>Lake Day Punch</t>
  </si>
  <si>
    <t>Gallon jug</t>
  </si>
  <si>
    <t>BAPS</t>
  </si>
  <si>
    <t>0.25 ounce Amaro Ciocaro</t>
  </si>
  <si>
    <t>Amaro Ciocaro</t>
  </si>
  <si>
    <t>Moscow Chill</t>
  </si>
  <si>
    <t>4 oz Pepper Soda</t>
  </si>
  <si>
    <t>1 cup hot brewed coffee</t>
  </si>
  <si>
    <t>Alrighty Then!</t>
  </si>
  <si>
    <t>Beam Scream</t>
  </si>
  <si>
    <t>Vodka Strawberry Mojito</t>
  </si>
  <si>
    <t>1 Raspberries</t>
  </si>
  <si>
    <t>Sherry Milk Punch</t>
  </si>
  <si>
    <t>1 Pint Milk</t>
  </si>
  <si>
    <t>Rye Cocktail from Meauxbar</t>
  </si>
  <si>
    <t>0.25 oz Giffard Banane du Bresil</t>
  </si>
  <si>
    <t>Blueberry Martini</t>
  </si>
  <si>
    <t>Dulce Maria Cocktail</t>
  </si>
  <si>
    <t>Death by Fire</t>
  </si>
  <si>
    <t>Creme de violette 0.5 oz</t>
  </si>
  <si>
    <t>Creme de violette</t>
  </si>
  <si>
    <t>Boilermaker</t>
  </si>
  <si>
    <t>1 ounce whiskey (usually bourbon or rye)</t>
  </si>
  <si>
    <t>whiskey|bourbon|rye</t>
  </si>
  <si>
    <t>(usually|or|)</t>
  </si>
  <si>
    <t>Shiso and Shochu Negroni</t>
  </si>
  <si>
    <t>3 dashes shiso liqueur</t>
  </si>
  <si>
    <t>shiso liqueur</t>
  </si>
  <si>
    <t>Campbeltown</t>
  </si>
  <si>
    <t>1 ounce Cherry Heering liqueur</t>
  </si>
  <si>
    <t>Cherry Heering liqueur</t>
  </si>
  <si>
    <t>2.5 cups Sugar</t>
  </si>
  <si>
    <t>Tai Du Mai From Roquette</t>
  </si>
  <si>
    <t>0.25 oz triple sec</t>
  </si>
  <si>
    <t>Garnish: 1 sage leaf</t>
  </si>
  <si>
    <t>sage leaf</t>
  </si>
  <si>
    <t>Brandy Swizzle</t>
  </si>
  <si>
    <t>3 parts Sparkling rose wine or Sparkling white wine</t>
  </si>
  <si>
    <t>Sparkling rose wine|Sparkling white wine</t>
  </si>
  <si>
    <t>4 Day Weekend</t>
  </si>
  <si>
    <t>4 dashes Lapsang souchong teahoney mustard bitters</t>
  </si>
  <si>
    <t>Lapsang souchong teahoney mustard bitters</t>
  </si>
  <si>
    <t>1 jalapeno pepper, chopped</t>
  </si>
  <si>
    <t>Funyuns Gibson</t>
  </si>
  <si>
    <t>1.5 to 2 cups Funyuns</t>
  </si>
  <si>
    <t>Funyuns</t>
  </si>
  <si>
    <t>Top-up Ginger Beer</t>
  </si>
  <si>
    <t>Top-up</t>
  </si>
  <si>
    <t>Butter Washed Bourbon (Using Fat Washing)</t>
  </si>
  <si>
    <t>120g Butter</t>
  </si>
  <si>
    <t>Brandy Squirt</t>
  </si>
  <si>
    <t>Dawn Chorus</t>
  </si>
  <si>
    <t>.5 oz Vermouth</t>
  </si>
  <si>
    <t>Orange Twist</t>
  </si>
  <si>
    <t>Brunch Cocktail: Toast and Marmalade</t>
  </si>
  <si>
    <t>1 heaping barspoon orange marmalade</t>
  </si>
  <si>
    <t>Scandinavian Glgg</t>
  </si>
  <si>
    <t>1 whole orange</t>
  </si>
  <si>
    <t>Orange Creamsicle Cocktail</t>
  </si>
  <si>
    <t>Vanilla vodka 1.5 oz</t>
  </si>
  <si>
    <t>Homemade Margarita Mix</t>
  </si>
  <si>
    <t>Sugar 1 cups</t>
  </si>
  <si>
    <t>Breaking Bad Blue Margarita</t>
  </si>
  <si>
    <t>Garnish: Lime</t>
  </si>
  <si>
    <t>Hpnotiq Purple Haze</t>
  </si>
  <si>
    <t>Kinky pink 1 part</t>
  </si>
  <si>
    <t>Kinky pink</t>
  </si>
  <si>
    <t>1.5 cups blanco tequila</t>
  </si>
  <si>
    <t>A Spritz in the Dark</t>
  </si>
  <si>
    <t>20.5 parts Rye whiskey or Bourbon or Blended whiskey</t>
  </si>
  <si>
    <t>Rye whiskey|Bourbon|Blended whiskey</t>
  </si>
  <si>
    <t>Milky Nuts Milkshake</t>
  </si>
  <si>
    <t>Rooted in Survival Cocktail</t>
  </si>
  <si>
    <t>1 oz Carrot Juice</t>
  </si>
  <si>
    <t>Carrot Juice</t>
  </si>
  <si>
    <t>2 parts Gin or Old Tom gin or Aged gin</t>
  </si>
  <si>
    <t>Gin|Old Tom gin|Aged gin</t>
  </si>
  <si>
    <t>Fresh Strawberry Mojito</t>
  </si>
  <si>
    <t>Rum Swizzle Cocktail</t>
  </si>
  <si>
    <t>1 ounce dark rum</t>
  </si>
  <si>
    <t>Jelly Donut</t>
  </si>
  <si>
    <t>Sex on the Pool Table</t>
  </si>
  <si>
    <t>1 Part Triple Sec</t>
  </si>
  <si>
    <t>Cocky Carrot</t>
  </si>
  <si>
    <t>Tropical Fishbowl Margarita</t>
  </si>
  <si>
    <t>How to Make a Pickleback Shot</t>
  </si>
  <si>
    <t>1.5 ounces Irish whiskey, like Jameson</t>
  </si>
  <si>
    <t>, like Jameson</t>
  </si>
  <si>
    <t>Whiskey to Go</t>
  </si>
  <si>
    <t>Anaconda</t>
  </si>
  <si>
    <t>12.5 ml White Sambuca</t>
  </si>
  <si>
    <t>White Sambuca</t>
  </si>
  <si>
    <t>Thirsty Marine</t>
  </si>
  <si>
    <t>Sparkling Paloma</t>
  </si>
  <si>
    <t>1 grapefruit wedge, for garnish</t>
  </si>
  <si>
    <t>Beltane Punch</t>
  </si>
  <si>
    <t>2 Cup Strawberries</t>
  </si>
  <si>
    <t>0.75 parts lemon juice</t>
  </si>
  <si>
    <t>Strawberry daiquiri mix 1 oz</t>
  </si>
  <si>
    <t xml:space="preserve">Strawberry daiquiri mix </t>
  </si>
  <si>
    <t>Snickers Bomb</t>
  </si>
  <si>
    <t>Hazelnut liqueur 0.5 oz</t>
  </si>
  <si>
    <t>Lemon Sorbet Dream</t>
  </si>
  <si>
    <t>15ml Smirnoff Sorbet Light Lemon</t>
  </si>
  <si>
    <t>Smirnoff Sorbet Light Lemon</t>
  </si>
  <si>
    <t>Bourbon Black Hawk 2</t>
  </si>
  <si>
    <t>Spicy Tajin Margarita</t>
  </si>
  <si>
    <t>1 Pinch Tajin</t>
  </si>
  <si>
    <t>Dragon Fruit Mojito</t>
  </si>
  <si>
    <t>2 teaspoons white sugar</t>
  </si>
  <si>
    <t>0.5 teaspoon sugar</t>
  </si>
  <si>
    <t>Nanban</t>
  </si>
  <si>
    <t>10.25 parts Genever</t>
  </si>
  <si>
    <t>Genever</t>
  </si>
  <si>
    <t>Don Repo Paloma</t>
  </si>
  <si>
    <t>90ml Club Soda</t>
  </si>
  <si>
    <t>Spiked Coconut Hot Chocolate</t>
  </si>
  <si>
    <t>Not Another Drink Named Strawberry Fields</t>
  </si>
  <si>
    <t>1 oz graham-cracker infused cream</t>
  </si>
  <si>
    <t>graham-cracker infused cream</t>
  </si>
  <si>
    <t>1 Pinch powdered ginger</t>
  </si>
  <si>
    <t>powdered ginger</t>
  </si>
  <si>
    <t>Electric Blue Lemonade</t>
  </si>
  <si>
    <t>Mango daiquiri mix 2.5 oz</t>
  </si>
  <si>
    <t>1000ml Water (for Winter Spice Syrup)</t>
  </si>
  <si>
    <t>(for Winter Spice Syrup)</t>
  </si>
  <si>
    <t>Frozen Sherry Margarita From Columbia Room</t>
  </si>
  <si>
    <t>20 drops saline solution</t>
  </si>
  <si>
    <t>Double Chocolate Shots</t>
  </si>
  <si>
    <t>Cocoa powder</t>
  </si>
  <si>
    <t>Tom`s Rum Runner</t>
  </si>
  <si>
    <t>Enzoni</t>
  </si>
  <si>
    <t>Creamy Screwdriver</t>
  </si>
  <si>
    <t>Walking Papers</t>
  </si>
  <si>
    <t>Watermelon schnapps 0.5 oz</t>
  </si>
  <si>
    <t>Watermelon schnapps</t>
  </si>
  <si>
    <t>Concord Cosmopolitan Martini</t>
  </si>
  <si>
    <t>4 fluid ounces Concord grape juice</t>
  </si>
  <si>
    <t>Concord grape juice</t>
  </si>
  <si>
    <t>4 oz Tomato Juice</t>
  </si>
  <si>
    <t>Rose All Day Spritz Punch</t>
  </si>
  <si>
    <t>2 cups standard ice cubes, for the punch bowl</t>
  </si>
  <si>
    <t>, for the punch bowl</t>
  </si>
  <si>
    <t>Hot Apple Pie 5</t>
  </si>
  <si>
    <t>1 Liter Vodka</t>
  </si>
  <si>
    <t>Liter</t>
  </si>
  <si>
    <t>Hot and Creamy</t>
  </si>
  <si>
    <t>Best Year</t>
  </si>
  <si>
    <t>Flaming B52</t>
  </si>
  <si>
    <t>Grand marnier 1 part</t>
  </si>
  <si>
    <t>Chambord 0.5 oz</t>
  </si>
  <si>
    <t>Rye Club</t>
  </si>
  <si>
    <t>District</t>
  </si>
  <si>
    <t>10.5 parts Ginger liqueur</t>
  </si>
  <si>
    <t>Alabama Slammer (New &amp; Improved!)</t>
  </si>
  <si>
    <t>1 oz bourbon or rye whiskey</t>
  </si>
  <si>
    <t>bourbor|rye whiskey</t>
  </si>
  <si>
    <t>Maraschino Tonic</t>
  </si>
  <si>
    <t>1.5 oz Bols Maraschino</t>
  </si>
  <si>
    <t>Bols Maraschino</t>
  </si>
  <si>
    <t>Death in the Afternoon</t>
  </si>
  <si>
    <t>2 shots Absinthe</t>
  </si>
  <si>
    <t>Absolutely Heaven</t>
  </si>
  <si>
    <t>1 Splash Blue Curacao Liqueur</t>
  </si>
  <si>
    <t>Afghan Jesus Juice</t>
  </si>
  <si>
    <t>Raspberry vodka 2 oz</t>
  </si>
  <si>
    <t>Bottled G&amp;T</t>
  </si>
  <si>
    <t>350ml Any flat tonic water</t>
  </si>
  <si>
    <t>flat tonic water</t>
  </si>
  <si>
    <t>Any</t>
  </si>
  <si>
    <t>Coconut rum 1 cup</t>
  </si>
  <si>
    <t>.25 oz Scotch Whiskey</t>
  </si>
  <si>
    <t>Tequila Cocktail: Del Rio</t>
  </si>
  <si>
    <t>Grapefruit zest and rosemary sprig (optional) to garnish</t>
  </si>
  <si>
    <t>Grapefruit zest|rosemary sprig</t>
  </si>
  <si>
    <t>and|(optional) to garnish</t>
  </si>
  <si>
    <t>Rudisills Redemption</t>
  </si>
  <si>
    <t>0.5 part Brown sugar syrup or Simple syrup</t>
  </si>
  <si>
    <t>Brown sugar syrup|Simple syrup</t>
  </si>
  <si>
    <t>1 bar spoon umeboshi plum vinegar, preferably Rare Tea Co.</t>
  </si>
  <si>
    <t>umeboshi plum vinegar</t>
  </si>
  <si>
    <t>, preferably Rare Tea Co.</t>
  </si>
  <si>
    <t>Colorado Skies</t>
  </si>
  <si>
    <t>Peach Flip</t>
  </si>
  <si>
    <t>10.25 parts Gin</t>
  </si>
  <si>
    <t>2 cups bourbon</t>
  </si>
  <si>
    <t>Irish Whiskey Cocktail</t>
  </si>
  <si>
    <t>0.5 oz Campari</t>
  </si>
  <si>
    <t>Army Ranger</t>
  </si>
  <si>
    <t>0.5 oz OP Rum</t>
  </si>
  <si>
    <t>Jim Kearns Alaska</t>
  </si>
  <si>
    <t>1 dash orange bitters, preferably Bitter Truth</t>
  </si>
  <si>
    <t>, preferably Bitter Truth</t>
  </si>
  <si>
    <t>1 large egg white, optional</t>
  </si>
  <si>
    <t>Barracuda Bite</t>
  </si>
  <si>
    <t>0.5 oz of Grenadine</t>
  </si>
  <si>
    <t>Lemonade/pink lemonade 16 cups</t>
  </si>
  <si>
    <t>Lemonade|pink lemonade</t>
  </si>
  <si>
    <t>Poison (Veneno)</t>
  </si>
  <si>
    <t>Cinnamon whiskey 0.25 oz</t>
  </si>
  <si>
    <t>Cool Operator</t>
  </si>
  <si>
    <t>Mai Tai 2</t>
  </si>
  <si>
    <t>4.5 oz Sours</t>
  </si>
  <si>
    <t>Party Mimosa</t>
  </si>
  <si>
    <t>1 can frozen orange juice concentrate, thawed and undiluted</t>
  </si>
  <si>
    <t xml:space="preserve">orange juice </t>
  </si>
  <si>
    <t>frozen|concentrate|thawed|undiluted</t>
  </si>
  <si>
    <t xml:space="preserve">,|and </t>
  </si>
  <si>
    <t>Kamikaze cocktail</t>
  </si>
  <si>
    <t>Lemon or lime wedge for garnish</t>
  </si>
  <si>
    <t xml:space="preserve">Lemon|lime </t>
  </si>
  <si>
    <t>Black Magic</t>
  </si>
  <si>
    <t>1 Dashes Lemon Juice</t>
  </si>
  <si>
    <t>Strawberry jello 3 oz</t>
  </si>
  <si>
    <t>Strawberry jello</t>
  </si>
  <si>
    <t>Smirnoff Red Vodka Bloody Mary</t>
  </si>
  <si>
    <t>Jamaican 10-Speed</t>
  </si>
  <si>
    <t>0.75 oz Melon Liqueur</t>
  </si>
  <si>
    <t>The Bicycle Thief Cocktail</t>
  </si>
  <si>
    <t>Canadian Cherry</t>
  </si>
  <si>
    <t>1.5 tsp Orange Juice</t>
  </si>
  <si>
    <t>Apple cider 20 oz</t>
  </si>
  <si>
    <t>Tequila Sunrise Cocktail</t>
  </si>
  <si>
    <t>2.5 cups ice, divided</t>
  </si>
  <si>
    <t xml:space="preserve"> ice</t>
  </si>
  <si>
    <t>divided</t>
  </si>
  <si>
    <t>1 part Fresh Squeezed Lime Juice</t>
  </si>
  <si>
    <t>Cuba Libra</t>
  </si>
  <si>
    <t>Fill with Coca-Cola</t>
  </si>
  <si>
    <t>0.5 shot Gin</t>
  </si>
  <si>
    <t>1 Pinch Nutmeg</t>
  </si>
  <si>
    <t>Camerons Kick</t>
  </si>
  <si>
    <t>1 oz blended Scotch whisky</t>
  </si>
  <si>
    <t>0.25 cup warm water</t>
  </si>
  <si>
    <t>warm water</t>
  </si>
  <si>
    <t>Fuzzy Melon</t>
  </si>
  <si>
    <t>Alize Cocktail</t>
  </si>
  <si>
    <t>1.5 oz Passion-Fruit Liqueur</t>
  </si>
  <si>
    <t>Passion-Fruit Liqueur</t>
  </si>
  <si>
    <t>Bomb Pop Shot</t>
  </si>
  <si>
    <t>Cherry vodka 1 part</t>
  </si>
  <si>
    <t>Cherry juice 0.5 oz</t>
  </si>
  <si>
    <t>Cherry juice</t>
  </si>
  <si>
    <t>Apple Sidecar</t>
  </si>
  <si>
    <t>Babyface Martini</t>
  </si>
  <si>
    <t>Lunar Eclipse, A Carrot Cocktail</t>
  </si>
  <si>
    <t>2 oz turmeric-infused vodka</t>
  </si>
  <si>
    <t>turmeric-infused vodka</t>
  </si>
  <si>
    <t>Sonoma Sour</t>
  </si>
  <si>
    <t>En La Montana</t>
  </si>
  <si>
    <t>35ml Don Julio Reposado Tequila</t>
  </si>
  <si>
    <t>0.5 cup vodka, or other liquor</t>
  </si>
  <si>
    <t>, or other liquor</t>
  </si>
  <si>
    <t>Blunt Ash</t>
  </si>
  <si>
    <t>Johnnie Walker Double Black with Water</t>
  </si>
  <si>
    <t>50ml of Johnnie Walker Double Black</t>
  </si>
  <si>
    <t>Johnnie Walker Double Black</t>
  </si>
  <si>
    <t>Dreaming in Antalya</t>
  </si>
  <si>
    <t>20 ml Orange Liqueur</t>
  </si>
  <si>
    <t>White Chocolate Raspberry Martini</t>
  </si>
  <si>
    <t>Blue Squid</t>
  </si>
  <si>
    <t>Dirty Bloody Martini</t>
  </si>
  <si>
    <t>2 Olive</t>
  </si>
  <si>
    <t>Bulleit Mint Julep</t>
  </si>
  <si>
    <t>Smirnoff Espresso Martini</t>
  </si>
  <si>
    <t>35ml Espresso</t>
  </si>
  <si>
    <t>The Big Orange Creamsicle</t>
  </si>
  <si>
    <t>Sparkling Margarita</t>
  </si>
  <si>
    <t>15ml Almond Syrup</t>
  </si>
  <si>
    <t>Almond Syrup</t>
  </si>
  <si>
    <t>Tequiliano</t>
  </si>
  <si>
    <t>1 part Campari</t>
  </si>
  <si>
    <t>Crown Manhattan</t>
  </si>
  <si>
    <t>0.75 ounce bourbon</t>
  </si>
  <si>
    <t>Ketel One Martini</t>
  </si>
  <si>
    <t>The Botanist &amp; Tonic</t>
  </si>
  <si>
    <t>2 ounces The Botanist Islay Dry Gin</t>
  </si>
  <si>
    <t>The Botanist Islay Dry Gin</t>
  </si>
  <si>
    <t>Cocktail Artist Champagne Margarita</t>
  </si>
  <si>
    <t>0.25 ounce Tempus Fugit Gran Classico bitter liqueur</t>
  </si>
  <si>
    <t>Tempus Fugit Gran Classico bitter liqueur</t>
  </si>
  <si>
    <t>2 ounces Demerara rum, preferably El Dorado 12 Year</t>
  </si>
  <si>
    <t>Demerara rum</t>
  </si>
  <si>
    <t>, preferably El Dorado 12 Year</t>
  </si>
  <si>
    <t>Peppermint Bark Pudding Shots</t>
  </si>
  <si>
    <t>Brian Evans Pornstar Martini</t>
  </si>
  <si>
    <t>0.5 ounce Cointreau</t>
  </si>
  <si>
    <t>Leopolds Grasshopper</t>
  </si>
  <si>
    <t>0.5 ounce creme de menthe, preferably Bols Green Creme de Menthe</t>
  </si>
  <si>
    <t>, preferably Bols Green Creme de Menthe</t>
  </si>
  <si>
    <t>Ward Eight</t>
  </si>
  <si>
    <t>0.5 ounce orange juice , freshly squeezed</t>
  </si>
  <si>
    <t>White Tie &amp; Tiara</t>
  </si>
  <si>
    <t>1 part Grapefruit juice</t>
  </si>
  <si>
    <t>Jolly Rancher Vodka Lemonade</t>
  </si>
  <si>
    <t>Citrus vodka 2 oz</t>
  </si>
  <si>
    <t>0.67 cups cinnamon Whisky</t>
  </si>
  <si>
    <t>cinnamon Whisky</t>
  </si>
  <si>
    <t>Coconut Bra</t>
  </si>
  <si>
    <t>6 oz Sours</t>
  </si>
  <si>
    <t>Negroni Sbagliato</t>
  </si>
  <si>
    <t>1 oz dry sparkling wine</t>
  </si>
  <si>
    <t>dry sparkling wine</t>
  </si>
  <si>
    <t>Casa Noble Margarita</t>
  </si>
  <si>
    <t>1-2 oz of grenadine syrup</t>
  </si>
  <si>
    <t>1 oz Advocaat Liqueur</t>
  </si>
  <si>
    <t>Angel Delight</t>
  </si>
  <si>
    <t>20 ml Gin</t>
  </si>
  <si>
    <t>1-2 dashes Angostura bitters</t>
  </si>
  <si>
    <t>3 Can Condensed Milk</t>
  </si>
  <si>
    <t>Mango Daiquiri</t>
  </si>
  <si>
    <t>2 fluid ounces agave syrup</t>
  </si>
  <si>
    <t>Chocolate Almond Kiss</t>
  </si>
  <si>
    <t>0.5 oz Vodka</t>
  </si>
  <si>
    <t>Sparkling Sugar Plum</t>
  </si>
  <si>
    <t>0.25 ounce dry white vermouth</t>
  </si>
  <si>
    <t>dry white vermouth</t>
  </si>
  <si>
    <t>1 cup Champagne</t>
  </si>
  <si>
    <t>1 pint heavy whipping cream</t>
  </si>
  <si>
    <t>heavy whipping cream</t>
  </si>
  <si>
    <t>Flutterby Lassi</t>
  </si>
  <si>
    <t>5 cl of yogurt - not the firm Greek style yogurt but a more runny kind</t>
  </si>
  <si>
    <t>yogurt</t>
  </si>
  <si>
    <t>of|- not the firm Greek style yogurt but a more runny kind</t>
  </si>
  <si>
    <t>Traffic Light Cooler</t>
  </si>
  <si>
    <t>Duck Fart Shot</t>
  </si>
  <si>
    <t>Le Grand-Pere: An Armagnac Cocktail</t>
  </si>
  <si>
    <t>0.25 oz port-prune syrup</t>
  </si>
  <si>
    <t>port-prune syrup</t>
  </si>
  <si>
    <t>Bay Hill Hummer</t>
  </si>
  <si>
    <t>2 to 4 scoops vanilla ice cream, softened</t>
  </si>
  <si>
    <t>vanilla ice cream</t>
  </si>
  <si>
    <t>softened</t>
  </si>
  <si>
    <t>to|,</t>
  </si>
  <si>
    <t>Novecento From The Jerry Thomas Project</t>
  </si>
  <si>
    <t>0.25 oz Cream</t>
  </si>
  <si>
    <t>Sparkling Borage Cocktail</t>
  </si>
  <si>
    <t>Pumpkin Spice Latte Cocktail</t>
  </si>
  <si>
    <t>1 cups Brewed coffee</t>
  </si>
  <si>
    <t>Brewed coffee</t>
  </si>
  <si>
    <t>Anjorska</t>
  </si>
  <si>
    <t>0.67 oz Grape Juice</t>
  </si>
  <si>
    <t>1.5 parts Cruzan Coconut Rum</t>
  </si>
  <si>
    <t>Cruzan Coconut Rum</t>
  </si>
  <si>
    <t>1.5 cups minced yellow onion</t>
  </si>
  <si>
    <t>yellow onion</t>
  </si>
  <si>
    <t>minced</t>
  </si>
  <si>
    <t>Banoffee Milkshake</t>
  </si>
  <si>
    <t>1.5 oz Butterscotch Schnapps</t>
  </si>
  <si>
    <t>0.33 ounce Galliano l'Autentico</t>
  </si>
  <si>
    <t>Galliano l'Autentico</t>
  </si>
  <si>
    <t>Rivington Punch</t>
  </si>
  <si>
    <t>Vodka Sour</t>
  </si>
  <si>
    <t>For the garnish: Cocktail cherry and lemon wedge</t>
  </si>
  <si>
    <t>Cocktail cherry|lemon</t>
  </si>
  <si>
    <t>El Diablo</t>
  </si>
  <si>
    <t>140ml Ginger Ale</t>
  </si>
  <si>
    <t>Shagger</t>
  </si>
  <si>
    <t>4 to 5 ounces ginger ale, to taste</t>
  </si>
  <si>
    <t>dashes Ground Cinnamon</t>
  </si>
  <si>
    <t>Ground Cinnamon</t>
  </si>
  <si>
    <t>0.75 oz vodka</t>
  </si>
  <si>
    <t>Flaming Raspberry Daiquiri</t>
  </si>
  <si>
    <t>Bag frozen raspberries 12 oz</t>
  </si>
  <si>
    <t>Bag</t>
  </si>
  <si>
    <t>1 part Sweet orange aperitif</t>
  </si>
  <si>
    <t>Old-Fashioned Rum and Coke</t>
  </si>
  <si>
    <t>4 oz White Rum</t>
  </si>
  <si>
    <t>Podracer: A Pea Cocktail</t>
  </si>
  <si>
    <t>1.5 oz pea-infused sotol and tequila blend</t>
  </si>
  <si>
    <t>pea-infused sotol|tequila blend</t>
  </si>
  <si>
    <t>Midnight Mint</t>
  </si>
  <si>
    <t>0.75 oz White Creme de Menthe</t>
  </si>
  <si>
    <t>White Creme de Menthe</t>
  </si>
  <si>
    <t>Shaggy Shot</t>
  </si>
  <si>
    <t>Whole Meyer Lemon Drop</t>
  </si>
  <si>
    <t>0.5 cup cold water</t>
  </si>
  <si>
    <t>Oranje Tea</t>
  </si>
  <si>
    <t>3 Orange Wheels (Garnish)</t>
  </si>
  <si>
    <t>Wheels</t>
  </si>
  <si>
    <t>Pumpkin Spice Margarita</t>
  </si>
  <si>
    <t>0.5 oz orange Liqueur</t>
  </si>
  <si>
    <t>orange Liqueur</t>
  </si>
  <si>
    <t>Wassail 2</t>
  </si>
  <si>
    <t>2 Cup Rum</t>
  </si>
  <si>
    <t>Rum 1 part</t>
  </si>
  <si>
    <t>Border Crosser</t>
  </si>
  <si>
    <t>Strawberry Citrus Champagne</t>
  </si>
  <si>
    <t>Fucking Hot</t>
  </si>
  <si>
    <t>1.5 oz Pepper Vodka</t>
  </si>
  <si>
    <t>Elevenses</t>
  </si>
  <si>
    <t>2 parts Irish whiskey</t>
  </si>
  <si>
    <t>DeKuyper Mintini</t>
  </si>
  <si>
    <t>Lemon peel for garnish</t>
  </si>
  <si>
    <t>Ketel One White Cosmopolitan</t>
  </si>
  <si>
    <t>Ciroc Dark Sunset</t>
  </si>
  <si>
    <t>1 Top Up with Soda Water</t>
  </si>
  <si>
    <t>Top Up with</t>
  </si>
  <si>
    <t>Malibu Sunrise</t>
  </si>
  <si>
    <t>2 oz of Malibu coconut rum</t>
  </si>
  <si>
    <t>Malibu coconut rum</t>
  </si>
  <si>
    <t>Richard Boccatos Manhattan</t>
  </si>
  <si>
    <t>2 dashes of Angostura bitters</t>
  </si>
  <si>
    <t>25ml Don Julio Blanco Tequila</t>
  </si>
  <si>
    <t>Don Julio Blanco Tequila</t>
  </si>
  <si>
    <t>Lime slice, for garnish</t>
  </si>
  <si>
    <t>Summer Rose</t>
  </si>
  <si>
    <t>8 whole Blueberry</t>
  </si>
  <si>
    <t>1.5 parts Canadian Club 100% Rye</t>
  </si>
  <si>
    <t>Canadian Club 100% Rye</t>
  </si>
  <si>
    <t>12 oz Vodka</t>
  </si>
  <si>
    <t>Earl Grey Martini</t>
  </si>
  <si>
    <t>white sugar, for rimming</t>
  </si>
  <si>
    <t>Caribbean Orange Liqueur</t>
  </si>
  <si>
    <t>1.33 Cup Superfine Sugar</t>
  </si>
  <si>
    <t>Hennessy and Vanilla Coke</t>
  </si>
  <si>
    <t>7.5 Vanilla Cola</t>
  </si>
  <si>
    <t>Vanilla Cola</t>
  </si>
  <si>
    <t>0.75 ounce Triple Sec or Cointreau</t>
  </si>
  <si>
    <t>Triple Sec|Cointreau</t>
  </si>
  <si>
    <t>Black-Eyed Rye</t>
  </si>
  <si>
    <t>Garnish: 3 skewered blackberries</t>
  </si>
  <si>
    <t xml:space="preserve">skewered </t>
  </si>
  <si>
    <t>40ml JOHNNIE WALKERTM RED LABEL</t>
  </si>
  <si>
    <t>JOHNNIE WALKERTM RED LABEL</t>
  </si>
  <si>
    <t>Champs-Elysees</t>
  </si>
  <si>
    <t>3 dashes NOLA bitters</t>
  </si>
  <si>
    <t>NOLA bitters</t>
  </si>
  <si>
    <t>2 to 3 dashes aromatic bitters</t>
  </si>
  <si>
    <t>Banana Cream Pie Jello Shots</t>
  </si>
  <si>
    <t>Cucumber &amp; Mint Cup</t>
  </si>
  <si>
    <t>5ml Simple syrup</t>
  </si>
  <si>
    <t>Gin Milk Punch</t>
  </si>
  <si>
    <t>Nuck`n Futs</t>
  </si>
  <si>
    <t>Apple Slut</t>
  </si>
  <si>
    <t>El Pepino Tequila Cocktail</t>
  </si>
  <si>
    <t>6 cilantro leaves</t>
  </si>
  <si>
    <t>cilantro leaves</t>
  </si>
  <si>
    <t>Honey Rye</t>
  </si>
  <si>
    <t>0.75 parts Honey liqueur</t>
  </si>
  <si>
    <t>Honey liqueur</t>
  </si>
  <si>
    <t>Grenadine 0.5 oz</t>
  </si>
  <si>
    <t>Baileys EggNog</t>
  </si>
  <si>
    <t>25ml Irish whiskey</t>
  </si>
  <si>
    <t>Coco Cooler</t>
  </si>
  <si>
    <t>150ml Coconut water</t>
  </si>
  <si>
    <t>Coconut water</t>
  </si>
  <si>
    <t>Orange water 3 drops</t>
  </si>
  <si>
    <t xml:space="preserve">Orange water </t>
  </si>
  <si>
    <t>15ml Vanilla Liqueur</t>
  </si>
  <si>
    <t>Vanilla Liqueur</t>
  </si>
  <si>
    <t>5 Drop Lemon Juice</t>
  </si>
  <si>
    <t>Drops</t>
  </si>
  <si>
    <t>Rhum Agricole Cocktail: Tour Le Carbet</t>
  </si>
  <si>
    <t>2 oz rhum agricole blanc</t>
  </si>
  <si>
    <t>rhum agricole blanc</t>
  </si>
  <si>
    <t>Renegade Ranchwater</t>
  </si>
  <si>
    <t>Lick out a Sheep</t>
  </si>
  <si>
    <t>2 small navel oranges, halved and thinly sliced</t>
  </si>
  <si>
    <t>navel oranges</t>
  </si>
  <si>
    <t>halved|thinly sliced</t>
  </si>
  <si>
    <t>Bill's Famous Pina Colada</t>
  </si>
  <si>
    <t>1 fluid ounce light rum</t>
  </si>
  <si>
    <t>0.5 oz Lime Juice for a citrus punch</t>
  </si>
  <si>
    <t>for a citrus punch</t>
  </si>
  <si>
    <t>Strawberry Julep</t>
  </si>
  <si>
    <t>Garnish Strawberries</t>
  </si>
  <si>
    <t xml:space="preserve">Garnish </t>
  </si>
  <si>
    <t>Vintage Coco</t>
  </si>
  <si>
    <t>1.5 ounces Scotch, preferably Johnnie Walker Black or Jane Walker</t>
  </si>
  <si>
    <t>Scotch|Johnnie Walker Black|Jane Walker</t>
  </si>
  <si>
    <t xml:space="preserve">, preferably|or </t>
  </si>
  <si>
    <t>Holiday Sangria</t>
  </si>
  <si>
    <t>0.75 cups simple syrup</t>
  </si>
  <si>
    <t>Silver Lining</t>
  </si>
  <si>
    <t>10.5 parts Rye whiskey or Bourbon or Blended whiskey</t>
  </si>
  <si>
    <t>Skinny Minny</t>
  </si>
  <si>
    <t>1 Cherry tomato (Garnish)</t>
  </si>
  <si>
    <t>Cherry tomato</t>
  </si>
  <si>
    <t>Coconut Colada</t>
  </si>
  <si>
    <t>5 oz Pineapple Juice</t>
  </si>
  <si>
    <t>1 dash of Orange Bitters</t>
  </si>
  <si>
    <t>1 teaspoon Cynar</t>
  </si>
  <si>
    <t>Brass Fiddle</t>
  </si>
  <si>
    <t>Pina Blast</t>
  </si>
  <si>
    <t>Mr J aka Mr Joker</t>
  </si>
  <si>
    <t>Cherry Long Island</t>
  </si>
  <si>
    <t>LMG - Light Machine Gun</t>
  </si>
  <si>
    <t>3 cl fresh, unpasteurized apple juice - I used juice from Elstar apples today and Norwegian apple juice on the day</t>
  </si>
  <si>
    <t>unpasteurized</t>
  </si>
  <si>
    <t xml:space="preserve"> - I used juice from Elstar apples today and Norwegian apple juice on the day</t>
  </si>
  <si>
    <t>Lime wedge, for rimming</t>
  </si>
  <si>
    <t>0.25 oz White Rum</t>
  </si>
  <si>
    <t>Bloody Bulleit</t>
  </si>
  <si>
    <t>5ml Balsamic Vinegar</t>
  </si>
  <si>
    <t>Balsamic Vinegar</t>
  </si>
  <si>
    <t>Champagne Jello Shots</t>
  </si>
  <si>
    <t>Unflavored gelatin 2 envelopes</t>
  </si>
  <si>
    <t>envelopes</t>
  </si>
  <si>
    <t>Brandy Flip</t>
  </si>
  <si>
    <t>Lassi Khara</t>
  </si>
  <si>
    <t>Booty Clap</t>
  </si>
  <si>
    <t>Ipamena</t>
  </si>
  <si>
    <t>2 tsp Brown sugar</t>
  </si>
  <si>
    <t>Brown sugar</t>
  </si>
  <si>
    <t>Jingle Balls Eggnog</t>
  </si>
  <si>
    <t>10.5 cups brown sugar</t>
  </si>
  <si>
    <t>Daily Dose</t>
  </si>
  <si>
    <t>0.5 ounce pineapple juice</t>
  </si>
  <si>
    <t>1 Rosemary Sprig (Garnish)</t>
  </si>
  <si>
    <t>The Graveyard</t>
  </si>
  <si>
    <t>Whiskey 1 oz</t>
  </si>
  <si>
    <t>Bull`s Eye</t>
  </si>
  <si>
    <t>2 oz Hard Cider</t>
  </si>
  <si>
    <t>Hard Cider</t>
  </si>
  <si>
    <t>Matador</t>
  </si>
  <si>
    <t>Ford Cocktail</t>
  </si>
  <si>
    <t>1.5 ounces Old Tom gin</t>
  </si>
  <si>
    <t>Old Tom gin</t>
  </si>
  <si>
    <t>Strawberry Flush</t>
  </si>
  <si>
    <t>50ml Seagram's 7 Crown Blended Whisky</t>
  </si>
  <si>
    <t>Seagram's 7 Crown Blended Whisky</t>
  </si>
  <si>
    <t>This Matcha Martini Will Be Your Go-to Drink of the Summer</t>
  </si>
  <si>
    <t>pinch of matcha powder, to garnish</t>
  </si>
  <si>
    <t>matcha powder</t>
  </si>
  <si>
    <t>of|, to garnish</t>
  </si>
  <si>
    <t>Captain Cola</t>
  </si>
  <si>
    <t>Haig Club Clubhouse Soda</t>
  </si>
  <si>
    <t>St. Patrick`s Day</t>
  </si>
  <si>
    <t>.75 oz Creme De Menthe</t>
  </si>
  <si>
    <t>Game Day Superbowl Jungle Juice</t>
  </si>
  <si>
    <t>Bubble Gum Nightmare</t>
  </si>
  <si>
    <t>Gingerbread Eggnog</t>
  </si>
  <si>
    <t>2 Tbsp. molasses</t>
  </si>
  <si>
    <t>molasses</t>
  </si>
  <si>
    <t>Rosemary Simple Syrup</t>
  </si>
  <si>
    <t>0.25 cup rosemary leaves</t>
  </si>
  <si>
    <t>rosemary leaves</t>
  </si>
  <si>
    <t>Mint Julep Sweet Tea</t>
  </si>
  <si>
    <t>0.75 cups fresh mint</t>
  </si>
  <si>
    <t>Blue Raspberry Vodka Lemonade</t>
  </si>
  <si>
    <t>25 ml Framboise Liqueur</t>
  </si>
  <si>
    <t>Framboise Liqueur</t>
  </si>
  <si>
    <t>Christina Cocktail</t>
  </si>
  <si>
    <t>Frozen Root Beer Float</t>
  </si>
  <si>
    <t>Snakebite</t>
  </si>
  <si>
    <t>1.5 oz of Canadian whisky</t>
  </si>
  <si>
    <t>Canadian whisky</t>
  </si>
  <si>
    <t>3 dashes Angostura Bitters</t>
  </si>
  <si>
    <t>Pinga Cocktail</t>
  </si>
  <si>
    <t>2 oz Cachaca</t>
  </si>
  <si>
    <t>Cachaca</t>
  </si>
  <si>
    <t>Lincoln County Gentleman</t>
  </si>
  <si>
    <t>Caramel Nut Ice Cream</t>
  </si>
  <si>
    <t>Whiskey Sour Riff: Sour Italia</t>
  </si>
  <si>
    <t>0.75 oz Barolo Chinato</t>
  </si>
  <si>
    <t>Barolo Chinato</t>
  </si>
  <si>
    <t>The Waiting Rooms Eternal Wait</t>
  </si>
  <si>
    <t>Big Bad Voodoo Kooler</t>
  </si>
  <si>
    <t>Blood Orange Paloma</t>
  </si>
  <si>
    <t>30ml Grapefruit Juice</t>
  </si>
  <si>
    <t>Fresh Peaches and Cream Cocktail</t>
  </si>
  <si>
    <t>1.5 cups peeled and chopped fresh peaches</t>
  </si>
  <si>
    <t xml:space="preserve">peeled|chopped </t>
  </si>
  <si>
    <t>Morgan`s Mountain</t>
  </si>
  <si>
    <t>Blue Curacao Mule</t>
  </si>
  <si>
    <t>30ml Tanqueray No.Ten</t>
  </si>
  <si>
    <t>Tanqueray No.Ten</t>
  </si>
  <si>
    <t>Buttershot Float</t>
  </si>
  <si>
    <t>Raymond Massey</t>
  </si>
  <si>
    <t>5 parts Sparkling white wine</t>
  </si>
  <si>
    <t>Porter and Whiskey Hot Toddy</t>
  </si>
  <si>
    <t>10.5 oz high-proof rye whiskey</t>
  </si>
  <si>
    <t>high-proof rye whiskey</t>
  </si>
  <si>
    <t>Surf Liner</t>
  </si>
  <si>
    <t>2 Dashes cardamom bitters</t>
  </si>
  <si>
    <t>cardamom bitters</t>
  </si>
  <si>
    <t>1 fluid ounce peach schnapps</t>
  </si>
  <si>
    <t>Drunken Oreo Cookies</t>
  </si>
  <si>
    <t>Orange Collins</t>
  </si>
  <si>
    <t>0.5 oz Bols Dry Orange</t>
  </si>
  <si>
    <t>Bols Dry Orange</t>
  </si>
  <si>
    <t>Baileys Spiced Nog</t>
  </si>
  <si>
    <t>15ml Captain Morgan's Original Spiced Rum</t>
  </si>
  <si>
    <t>Captain Morgan's Original Spiced Rum</t>
  </si>
  <si>
    <t>Pale Aperale Spritz</t>
  </si>
  <si>
    <t>2 oz Aperol</t>
  </si>
  <si>
    <t>1 oz (approximate) Soda Water</t>
  </si>
  <si>
    <t>(approximate)</t>
  </si>
  <si>
    <t>Red Snapper Shot</t>
  </si>
  <si>
    <t>Vodka 1 bottle</t>
  </si>
  <si>
    <t>bottlte</t>
  </si>
  <si>
    <t>20ml lime juice</t>
  </si>
  <si>
    <t>2 to 3 ounces club soda</t>
  </si>
  <si>
    <t>10.5 parts Bitter orange aperitif</t>
  </si>
  <si>
    <t>Bourbon Rickey</t>
  </si>
  <si>
    <t>Sparkling water , to top</t>
  </si>
  <si>
    <t>Chocolate Snowball</t>
  </si>
  <si>
    <t>17 Twist</t>
  </si>
  <si>
    <t>2 oz Raspberry Vodka</t>
  </si>
  <si>
    <t>Half &amp; half 2 oz</t>
  </si>
  <si>
    <t>Pumpkin Moon</t>
  </si>
  <si>
    <t>2 oz apple cider</t>
  </si>
  <si>
    <t>Fresh lime juice 0.33 oz</t>
  </si>
  <si>
    <t>2 shakes orange bitters (optional but recommended)</t>
  </si>
  <si>
    <t>shakes</t>
  </si>
  <si>
    <t xml:space="preserve"> (optional but recommended)</t>
  </si>
  <si>
    <t>Mai Kinda Gai</t>
  </si>
  <si>
    <t>Old '97</t>
  </si>
  <si>
    <t>1 part Cherry Maraschino Liqueur</t>
  </si>
  <si>
    <t>Cherry Maraschino Liqueur</t>
  </si>
  <si>
    <t>1 small dry ice cube, optional</t>
  </si>
  <si>
    <t>dry</t>
  </si>
  <si>
    <t>Banarasi Gold: A Mango Lassi Cocktail</t>
  </si>
  <si>
    <t>2 oz white rum</t>
  </si>
  <si>
    <t>Tequila Slammer</t>
  </si>
  <si>
    <t>50 ml Lemon- Lime Soda</t>
  </si>
  <si>
    <t>Lemon- Lime Soda</t>
  </si>
  <si>
    <t>Amalyzer</t>
  </si>
  <si>
    <t>Peach Thunderbolt</t>
  </si>
  <si>
    <t>0.5 ounce agricole rhum, preferably Clement Canne Bleue</t>
  </si>
  <si>
    <t>agricole rhum|Clement Canne Bleue</t>
  </si>
  <si>
    <t>1 heaped spoon of Orange Marmalade</t>
  </si>
  <si>
    <t>heaped spoon</t>
  </si>
  <si>
    <t>Strawberry Lemonade</t>
  </si>
  <si>
    <t>Juice of 1 Lemon</t>
  </si>
  <si>
    <t>Quarterback Attack Shooter</t>
  </si>
  <si>
    <t>4 fluid ounces gin</t>
  </si>
  <si>
    <t>Dolomint</t>
  </si>
  <si>
    <t>Blood Orange Martini</t>
  </si>
  <si>
    <t>Giggle Juice</t>
  </si>
  <si>
    <t>Jamaican Sunrise</t>
  </si>
  <si>
    <t>2 oz of peach schnapps</t>
  </si>
  <si>
    <t>Erick Castro's Michelada</t>
  </si>
  <si>
    <t>pinch of sea salt</t>
  </si>
  <si>
    <t>2 dashes saline solution (25%)</t>
  </si>
  <si>
    <t>saline solution (25%)</t>
  </si>
  <si>
    <t>Hot Pants</t>
  </si>
  <si>
    <t>0.5 ounce mint tea simple syrup</t>
  </si>
  <si>
    <t>mint tea simple syrup</t>
  </si>
  <si>
    <t>Tequila Spritz: A Freezer Door Cocktail</t>
  </si>
  <si>
    <t>0.25 tsp. orange bitters</t>
  </si>
  <si>
    <t>Naughty List Egg Nog</t>
  </si>
  <si>
    <t>0.75 oz amontillado sherry</t>
  </si>
  <si>
    <t>The Alfred Cocktail</t>
  </si>
  <si>
    <t>Mike`s Long Beach</t>
  </si>
  <si>
    <t>0.5 tsp Simple syrup</t>
  </si>
  <si>
    <t>7-Up</t>
  </si>
  <si>
    <t>50 ml Water</t>
  </si>
  <si>
    <t>French Pearl</t>
  </si>
  <si>
    <t>2 cl dry vermouth</t>
  </si>
  <si>
    <t>Ebenezer Scrooge Spritz</t>
  </si>
  <si>
    <t>Butterscotch pudding 0.5 pack</t>
  </si>
  <si>
    <t>Butterscotch pudding</t>
  </si>
  <si>
    <t>Chilly Willy</t>
  </si>
  <si>
    <t>The Best Whiskey Sour</t>
  </si>
  <si>
    <t>Maraschino cherry, garnish</t>
  </si>
  <si>
    <t>, garnish</t>
  </si>
  <si>
    <t>Cointreau 0.25 oz</t>
  </si>
  <si>
    <t>Sky Rocket From Teardrop Lounge</t>
  </si>
  <si>
    <t>Clover Custard</t>
  </si>
  <si>
    <t>15ml Egg white</t>
  </si>
  <si>
    <t>Green Tea Honey Boozy Slushy</t>
  </si>
  <si>
    <t>fersh</t>
  </si>
  <si>
    <t>Garibaldi Cocktail (Campari &amp; Orange!)</t>
  </si>
  <si>
    <t>4 ounces fresh squeezed orange juice (or blood orange juice)</t>
  </si>
  <si>
    <t xml:space="preserve">orange juice|blood orange juice </t>
  </si>
  <si>
    <t>Chocolate Cake Shot #1</t>
  </si>
  <si>
    <t>Lemon vodka 1 part</t>
  </si>
  <si>
    <t>Lemon vodka</t>
  </si>
  <si>
    <t>Summertime Strawberry Mojito</t>
  </si>
  <si>
    <t>5 limes</t>
  </si>
  <si>
    <t>Four in Hand</t>
  </si>
  <si>
    <t>0.25 part Dark rum or Demerara rum</t>
  </si>
  <si>
    <t>Dark rum|Demerara rum</t>
  </si>
  <si>
    <t>Aqua Velva Drink</t>
  </si>
  <si>
    <t>Broadside</t>
  </si>
  <si>
    <t>2 tsp Grenadine Syrup</t>
  </si>
  <si>
    <t>Barrymore Room</t>
  </si>
  <si>
    <t>Mountain Moonshine</t>
  </si>
  <si>
    <t>Booster Blaster</t>
  </si>
  <si>
    <t>Midnight Cowboy</t>
  </si>
  <si>
    <t>1 piece Orange peel</t>
  </si>
  <si>
    <t>The Death of Brian Griffin Bomb Shots</t>
  </si>
  <si>
    <t>Australian Whisky Sour</t>
  </si>
  <si>
    <t>Fanciulli</t>
  </si>
  <si>
    <t>0.25 ounce Fernet-Branca</t>
  </si>
  <si>
    <t>Crystal Maze</t>
  </si>
  <si>
    <t>1 Dash of tabasco</t>
  </si>
  <si>
    <t>tabasco</t>
  </si>
  <si>
    <t>6 Wise Men</t>
  </si>
  <si>
    <t>Ciroc Vodka Rocks</t>
  </si>
  <si>
    <t>Rye-Pie-High &amp; Dry</t>
  </si>
  <si>
    <t>50ml Pineapple juice</t>
  </si>
  <si>
    <t>Green Eye-Opener</t>
  </si>
  <si>
    <t>1 Dash Lime Juice</t>
  </si>
  <si>
    <t>1.75 oz Orange Juice</t>
  </si>
  <si>
    <t>King Bee</t>
  </si>
  <si>
    <t>0.5 part Honey liqueur</t>
  </si>
  <si>
    <t>10-12 Fresh Mint Leaves</t>
  </si>
  <si>
    <t>10|12</t>
  </si>
  <si>
    <t>China Girl</t>
  </si>
  <si>
    <t>1.5 parts DeKuyper Triple Sec Liqueur</t>
  </si>
  <si>
    <t>Pina Colada Jello Shots</t>
  </si>
  <si>
    <t>Hot water 0.5 cup</t>
  </si>
  <si>
    <t>Girl Scout Cookie Cocktail</t>
  </si>
  <si>
    <t>0.5 ounce Irish cream liqueur</t>
  </si>
  <si>
    <t>Banana Boat</t>
  </si>
  <si>
    <t>Cracked Ice</t>
  </si>
  <si>
    <t>Queen Snake</t>
  </si>
  <si>
    <t>1 teaspoon creme de cacao, preferably Marie Brizard</t>
  </si>
  <si>
    <t>, preferably Marie Brizard</t>
  </si>
  <si>
    <t>Godiva Mysterious Lady</t>
  </si>
  <si>
    <t>1 tsp powdered Cinnamon</t>
  </si>
  <si>
    <t xml:space="preserve">powdered </t>
  </si>
  <si>
    <t>1 Sesame seeds to garnish</t>
  </si>
  <si>
    <t>Sesame seeds</t>
  </si>
  <si>
    <t>Grenadine 1 part</t>
  </si>
  <si>
    <t>3 oz Gold Tequila</t>
  </si>
  <si>
    <t>Joe Cassano</t>
  </si>
  <si>
    <t>1 oz Lemon-Lime Soda</t>
  </si>
  <si>
    <t>Agave</t>
  </si>
  <si>
    <t>Johnny K8</t>
  </si>
  <si>
    <t>0.5 shot of blue curacao liqueur</t>
  </si>
  <si>
    <t>Garnish: lotus root wheel (optional)</t>
  </si>
  <si>
    <t>lotus root</t>
  </si>
  <si>
    <t>Camparinha</t>
  </si>
  <si>
    <t>1 Ice</t>
  </si>
  <si>
    <t>The Roycroft: A Rye Whiskey Cocktail</t>
  </si>
  <si>
    <t>0.5 oz Cherry Heering</t>
  </si>
  <si>
    <t>Iron Butterfly Cocktail</t>
  </si>
  <si>
    <t>sweet red vermouth|semi-sweet red vermouth</t>
  </si>
  <si>
    <t>Pamplemousse</t>
  </si>
  <si>
    <t>1 part Gin or Botanical gin</t>
  </si>
  <si>
    <t>Gin|Botanical gin</t>
  </si>
  <si>
    <t>Gordon's Orange Gin Fizz</t>
  </si>
  <si>
    <t>15ml Orange Juice</t>
  </si>
  <si>
    <t>Chocolate Covered Cherry Jello Shots</t>
  </si>
  <si>
    <t>Vodka 4 oz</t>
  </si>
  <si>
    <t>Australian Gin &amp; Tonic</t>
  </si>
  <si>
    <t>0.5 ounce orange liqueur</t>
  </si>
  <si>
    <t>Capirucha</t>
  </si>
  <si>
    <t>2 parts Mezcal</t>
  </si>
  <si>
    <t>Champagne Hula</t>
  </si>
  <si>
    <t>Yuzu Cocktail: Ramble</t>
  </si>
  <si>
    <t>0.75 oz yuzu juice</t>
  </si>
  <si>
    <t>Stan`s Surprise</t>
  </si>
  <si>
    <t>Atheist`s Best</t>
  </si>
  <si>
    <t>2 Part Vodka</t>
  </si>
  <si>
    <t>0.75 oz Cointreau</t>
  </si>
  <si>
    <t>Kentucky River, an Old Fashioned Riff</t>
  </si>
  <si>
    <t>0.5 oz creme de cacao</t>
  </si>
  <si>
    <t>10.5 parts Scotch or Japanese whisky</t>
  </si>
  <si>
    <t>Scotch|Japanese whisky</t>
  </si>
  <si>
    <t>1 oz Club soda</t>
  </si>
  <si>
    <t>Closed-Loop Gimlet</t>
  </si>
  <si>
    <t>1 part Oleo saccharum</t>
  </si>
  <si>
    <t>Wild Berry Mojito</t>
  </si>
  <si>
    <t>. (15ml) simple syrup 0.5 oz</t>
  </si>
  <si>
    <t>15|0.5</t>
  </si>
  <si>
    <t>ml|oz</t>
  </si>
  <si>
    <t>.(|)</t>
  </si>
  <si>
    <t>5ml Fresh Raspberries</t>
  </si>
  <si>
    <t>Cocoa Puffs Shot</t>
  </si>
  <si>
    <t>Coconut rum 1 part</t>
  </si>
  <si>
    <t>0.66 oz Lemon Juice</t>
  </si>
  <si>
    <t>FrosA</t>
  </si>
  <si>
    <t>2-3 oz Lemon Juice</t>
  </si>
  <si>
    <t>Cinnamon sticks, to garnish</t>
  </si>
  <si>
    <t>Cinnamon sticks</t>
  </si>
  <si>
    <t>Sexual Healing</t>
  </si>
  <si>
    <t>Peppermint schnapps 0.5 oz</t>
  </si>
  <si>
    <t>Apple Fizz</t>
  </si>
  <si>
    <t>Helluva Hurricane</t>
  </si>
  <si>
    <t>1.5 tsp Grenadine Syrup</t>
  </si>
  <si>
    <t>2 tsp Cocoa powder</t>
  </si>
  <si>
    <t>2 shot of Vodka</t>
  </si>
  <si>
    <t>Russian Spring Punch</t>
  </si>
  <si>
    <t>1 cl Sugar Syrup</t>
  </si>
  <si>
    <t>Catalina Margarita</t>
  </si>
  <si>
    <t>Moscato Pink Lemonade Sangria</t>
  </si>
  <si>
    <t>Pink moscato 0.5 bottle</t>
  </si>
  <si>
    <t>Pink moscato</t>
  </si>
  <si>
    <t>2000 Flushes</t>
  </si>
  <si>
    <t>My Cherry Amour</t>
  </si>
  <si>
    <t>6 cups ice cubes</t>
  </si>
  <si>
    <t>Sweetheart Mule</t>
  </si>
  <si>
    <t>1 splashes Rose to top</t>
  </si>
  <si>
    <t>to top</t>
  </si>
  <si>
    <t>Scant 0.75 ounce agave nectar</t>
  </si>
  <si>
    <t>Whiskey Orange The Jesperian Way</t>
  </si>
  <si>
    <t>Absinthe Minded Martini</t>
  </si>
  <si>
    <t>Spiced Pear Old-Fashioned</t>
  </si>
  <si>
    <t>0.25 pear, chopped</t>
  </si>
  <si>
    <t>Apricot Smoothie</t>
  </si>
  <si>
    <t>fill.5 Glass Orange Juice</t>
  </si>
  <si>
    <t>Glass</t>
  </si>
  <si>
    <t>fill</t>
  </si>
  <si>
    <t>2 oz Citrus Vodka</t>
  </si>
  <si>
    <t>Hilty Dilty</t>
  </si>
  <si>
    <t>Cherry Spitfire</t>
  </si>
  <si>
    <t>Styles Upon Styles: A Low-ABV Highball</t>
  </si>
  <si>
    <t>3 oz Pineau des Charentes</t>
  </si>
  <si>
    <t>Pineau des Charentes</t>
  </si>
  <si>
    <t>Soda Grape Soda</t>
  </si>
  <si>
    <t>0.25 part Agave nectar or Simple syrup or Granulated sugar</t>
  </si>
  <si>
    <t>Agave nectar|Simple syrup|sugar</t>
  </si>
  <si>
    <t>APB Melrose Gin &amp; Tonic</t>
  </si>
  <si>
    <t>3 cups ice</t>
  </si>
  <si>
    <t>Batida de Brazil</t>
  </si>
  <si>
    <t>0.75 oz Coconut Liqueur</t>
  </si>
  <si>
    <t>2 bottles Red wine</t>
  </si>
  <si>
    <t>Noggin Knocker</t>
  </si>
  <si>
    <t>Astroturf</t>
  </si>
  <si>
    <t>1.75 ounces guava juice</t>
  </si>
  <si>
    <t>guava juice</t>
  </si>
  <si>
    <t>0.5 ounce tequila</t>
  </si>
  <si>
    <t>Dirty Ashtray</t>
  </si>
  <si>
    <t>Microwave Hot Cocoa</t>
  </si>
  <si>
    <t>0.25 tsp Vanilla extract</t>
  </si>
  <si>
    <t>Vanilla extract</t>
  </si>
  <si>
    <t>Princess Shots</t>
  </si>
  <si>
    <t>Sour mix 1 part</t>
  </si>
  <si>
    <t>Sour mix</t>
  </si>
  <si>
    <t>Pho Co | Old Quarter</t>
  </si>
  <si>
    <t>2 ounces toasted riceinfused rye</t>
  </si>
  <si>
    <t>riceinfused rye</t>
  </si>
  <si>
    <t>Red Greyhound Pinn-Tini</t>
  </si>
  <si>
    <t>2 parts Pinnacle Original Vodka</t>
  </si>
  <si>
    <t>Old Pal Cocktail</t>
  </si>
  <si>
    <t>For the garnish: lemon peel</t>
  </si>
  <si>
    <t xml:space="preserve">For the garnish: </t>
  </si>
  <si>
    <t>French Connection Cocktail (2 Ingredients!)</t>
  </si>
  <si>
    <t>1.5 ounces amaretto liqueur</t>
  </si>
  <si>
    <t>amaretto liqueur</t>
  </si>
  <si>
    <t>0.5 oz pineapple syrup</t>
  </si>
  <si>
    <t>Hot Port Flip</t>
  </si>
  <si>
    <t>Screamsicle</t>
  </si>
  <si>
    <t>Cherry Sour</t>
  </si>
  <si>
    <t>Egg Whites</t>
  </si>
  <si>
    <t>Dorado Old Fashioned</t>
  </si>
  <si>
    <t>1.5 ounces Patron reposado tequila</t>
  </si>
  <si>
    <t>Patron reposado tequila</t>
  </si>
  <si>
    <t>Christmas Cheer 2</t>
  </si>
  <si>
    <t>Clam Eye</t>
  </si>
  <si>
    <t>Celery Salt</t>
  </si>
  <si>
    <t>Blue Milk of Tatooine</t>
  </si>
  <si>
    <t>0.5 oz Orgeat Syrup</t>
  </si>
  <si>
    <t>1 can pineapple juice</t>
  </si>
  <si>
    <t>Orange and Purple</t>
  </si>
  <si>
    <t>Flower garnish</t>
  </si>
  <si>
    <t xml:space="preserve">Flower </t>
  </si>
  <si>
    <t>Green Apple Sangria</t>
  </si>
  <si>
    <t>White grape juice 8 oz</t>
  </si>
  <si>
    <t>White grape juice</t>
  </si>
  <si>
    <t>Finlandia Bloody Mary</t>
  </si>
  <si>
    <t>Brooklyn Cocktail Riff: No Sleep Till</t>
  </si>
  <si>
    <t>0.25 oz Benedictine</t>
  </si>
  <si>
    <t>How to Make Mimosas</t>
  </si>
  <si>
    <t>2 ounces freshly squeezed orange juice, chilled</t>
  </si>
  <si>
    <t>Rude Cosmopolitan</t>
  </si>
  <si>
    <t>25ml Triple-sec</t>
  </si>
  <si>
    <t>Triple-sec</t>
  </si>
  <si>
    <t>Smoking Barrel</t>
  </si>
  <si>
    <t>1 Pinch of sea salt</t>
  </si>
  <si>
    <t>Pink Mikey</t>
  </si>
  <si>
    <t>4 dashes Regans orange bitters</t>
  </si>
  <si>
    <t>Cinnamon whiskey 2 oz</t>
  </si>
  <si>
    <t>Bluebird Eggnog</t>
  </si>
  <si>
    <t>1 ounce rum, preferably Lyon White Rum</t>
  </si>
  <si>
    <t>rum|Lyon White Rum</t>
  </si>
  <si>
    <t>Orange Vodka &amp; Tonic</t>
  </si>
  <si>
    <t>100ml Tonic Water</t>
  </si>
  <si>
    <t>Rock Candy Champagne</t>
  </si>
  <si>
    <t>Champagne 1 splash</t>
  </si>
  <si>
    <t>Queen Bee</t>
  </si>
  <si>
    <t>0.5 oz cream Sherry</t>
  </si>
  <si>
    <t>cream Sherry</t>
  </si>
  <si>
    <t>Garnish: lemon twist (optional)</t>
  </si>
  <si>
    <t>Nutella Henny Hot Chocolate</t>
  </si>
  <si>
    <t>Hennessy 0.5 oz</t>
  </si>
  <si>
    <t xml:space="preserve">Hennessy </t>
  </si>
  <si>
    <t>Triple Double Dismount</t>
  </si>
  <si>
    <t>0.5 parts simple syrup</t>
  </si>
  <si>
    <t>Champagne Julep</t>
  </si>
  <si>
    <t>Cure for What Ails You</t>
  </si>
  <si>
    <t>Mason Jar Blueberry Mojito</t>
  </si>
  <si>
    <t>120g Castor sugar</t>
  </si>
  <si>
    <t>Castor sugar</t>
  </si>
  <si>
    <t>0.25 cup allspice dram</t>
  </si>
  <si>
    <t>allspice dram</t>
  </si>
  <si>
    <t>Yellow Bird</t>
  </si>
  <si>
    <t>0.75 ounce Galliano LAutentico</t>
  </si>
  <si>
    <t>Galliano LAutentico</t>
  </si>
  <si>
    <t>The Franklins Rosita</t>
  </si>
  <si>
    <t>1.5 ounces smoked tequila, preferably Lunazul El Humoso</t>
  </si>
  <si>
    <t>smoked tequila|Lunazul El Humoso</t>
  </si>
  <si>
    <t>Red Rattlesnake</t>
  </si>
  <si>
    <t>Blue Love Sangria</t>
  </si>
  <si>
    <t>White wine 1 bottle</t>
  </si>
  <si>
    <t>Lone Palm From Arca Tulum</t>
  </si>
  <si>
    <t>10.5 oz gin</t>
  </si>
  <si>
    <t>4.5 cL Bourbon</t>
  </si>
  <si>
    <t>cL</t>
  </si>
  <si>
    <t>0.5 teaspoon mint jelly</t>
  </si>
  <si>
    <t>mint jelly</t>
  </si>
  <si>
    <t>Riad Star: A Spicy French Martini</t>
  </si>
  <si>
    <t>2 fluid ounces pomegranate juice</t>
  </si>
  <si>
    <t>1 chunk dried Ginger</t>
  </si>
  <si>
    <t>chunk</t>
  </si>
  <si>
    <t>1 serrano chile pepper, sliced in half and seeds removed</t>
  </si>
  <si>
    <t>serrano chile pepper</t>
  </si>
  <si>
    <t>sliced in half|seeds removed</t>
  </si>
  <si>
    <t>Layered Carrot Cake Shot</t>
  </si>
  <si>
    <t>1 fluid ounce orange juice</t>
  </si>
  <si>
    <t>Rory O`More</t>
  </si>
  <si>
    <t>Caribbean Threesome</t>
  </si>
  <si>
    <t>.5 oz Lemon Rum</t>
  </si>
  <si>
    <t>5 bottles port wine</t>
  </si>
  <si>
    <t>port wine</t>
  </si>
  <si>
    <t>Big Bamboo</t>
  </si>
  <si>
    <t>25 ml Dark Rum</t>
  </si>
  <si>
    <t>Fluxuation Cocktail</t>
  </si>
  <si>
    <t>Apple Mojito</t>
  </si>
  <si>
    <t>3 Mint</t>
  </si>
  <si>
    <t>Gage &amp; Tollners Stinger</t>
  </si>
  <si>
    <t>1.5 ounces Cognac, preferably Hennessy</t>
  </si>
  <si>
    <t>Cognac|Hennessy</t>
  </si>
  <si>
    <t>Oh Il-nam Squid Game Cocktail</t>
  </si>
  <si>
    <t>Absinthe Herbal Liqueur to rinse</t>
  </si>
  <si>
    <t>to rinse</t>
  </si>
  <si>
    <t>The Madras</t>
  </si>
  <si>
    <t>Blackberry Tequila Smash</t>
  </si>
  <si>
    <t>Pom-Blood-Orange Old Fashioned</t>
  </si>
  <si>
    <t>Garnish: blood orange twist</t>
  </si>
  <si>
    <t>blood orange</t>
  </si>
  <si>
    <t>Limonada Suica Ramos</t>
  </si>
  <si>
    <t>1 ounce gin, preferably Amazzoni</t>
  </si>
  <si>
    <t>gin|Amazzoni</t>
  </si>
  <si>
    <t>Alex Negranzas Slick Watts</t>
  </si>
  <si>
    <t>10.5 oz bourbon</t>
  </si>
  <si>
    <t>Pink Spritz</t>
  </si>
  <si>
    <t>2 Raspberries (Garnish)</t>
  </si>
  <si>
    <t xml:space="preserve">Raspberries </t>
  </si>
  <si>
    <t>Touchdown Mojito</t>
  </si>
  <si>
    <t>1 bottles [yellow tail] Pinot Grigio</t>
  </si>
  <si>
    <t xml:space="preserve">[yellow tail] </t>
  </si>
  <si>
    <t>Lantern Fly</t>
  </si>
  <si>
    <t>0.75 ounce Amargo-Vallet amaro</t>
  </si>
  <si>
    <t>Amargo-Vallet amaro</t>
  </si>
  <si>
    <t>St Patricks Day Guinness Ice Cream Float</t>
  </si>
  <si>
    <t>Pink Mafia</t>
  </si>
  <si>
    <t>1.5 oz Cranberry Juice</t>
  </si>
  <si>
    <t>top with Apple Juice</t>
  </si>
  <si>
    <t>Sex On The Beach #2</t>
  </si>
  <si>
    <t>1 egg yolk</t>
  </si>
  <si>
    <t>Trapline Old-Fashioned</t>
  </si>
  <si>
    <t>0.25 part Peaty scotch or Scotch</t>
  </si>
  <si>
    <t>Peaty scotch|Scotch</t>
  </si>
  <si>
    <t>15ml Creme de Mure</t>
  </si>
  <si>
    <t>Gold Mine</t>
  </si>
  <si>
    <t>0.75 oz of Baileys Irish Cream</t>
  </si>
  <si>
    <t>Maple syrup vodka 4 oz</t>
  </si>
  <si>
    <t>Maple syrup vodka</t>
  </si>
  <si>
    <t>2 Part White Vermouth</t>
  </si>
  <si>
    <t>Cuppa Joe Martini</t>
  </si>
  <si>
    <t>25ml Espresso</t>
  </si>
  <si>
    <t>Long Beach Ice Tea</t>
  </si>
  <si>
    <t>Fudgesicle</t>
  </si>
  <si>
    <t>10 oz of milk</t>
  </si>
  <si>
    <t>Valentines Day Pink Hot Chocolate</t>
  </si>
  <si>
    <t>5g Star Anise (for Winter Spice Syrup)</t>
  </si>
  <si>
    <t>Star Anise|Spice Syrup</t>
  </si>
  <si>
    <t>(for Winter|)</t>
  </si>
  <si>
    <t>Berry Bananza</t>
  </si>
  <si>
    <t>Hive Five Mojito</t>
  </si>
  <si>
    <t>Honey Deuce Cocktail</t>
  </si>
  <si>
    <t>4 ounces fresh-squeezed lemonade</t>
  </si>
  <si>
    <t>Gale Warning</t>
  </si>
  <si>
    <t>.33 oz Lemon Juice</t>
  </si>
  <si>
    <t>Strawberry Mango Mojito Bubbles</t>
  </si>
  <si>
    <t>Gazpatalisk</t>
  </si>
  <si>
    <t>100ml Tomato Juice</t>
  </si>
  <si>
    <t>Green Hornet</t>
  </si>
  <si>
    <t>0.5 fluid ounce sweet and sour mix, or to taste</t>
  </si>
  <si>
    <t>sweet mix|sour mix</t>
  </si>
  <si>
    <t>and|, or to taste</t>
  </si>
  <si>
    <t xml:space="preserve">Butterscotch schnapps </t>
  </si>
  <si>
    <t>Virgin Bloody Mary</t>
  </si>
  <si>
    <t>0.5 cup brown sugar, packed</t>
  </si>
  <si>
    <t>4 parts Orange juice</t>
  </si>
  <si>
    <t>Mississippi Planters Punch</t>
  </si>
  <si>
    <t>Carbonated water</t>
  </si>
  <si>
    <t>Chas</t>
  </si>
  <si>
    <t>0.25 part Amaretto or Creme de noyaux</t>
  </si>
  <si>
    <t>25ml Ginger beer</t>
  </si>
  <si>
    <t>fershly</t>
  </si>
  <si>
    <t>The Italian Job</t>
  </si>
  <si>
    <t>top with Cream</t>
  </si>
  <si>
    <t xml:space="preserve">top with </t>
  </si>
  <si>
    <t>XOXO</t>
  </si>
  <si>
    <t>Orange Spritzer</t>
  </si>
  <si>
    <t>1 cups Soda Water</t>
  </si>
  <si>
    <t>Cherry Blossom Tini</t>
  </si>
  <si>
    <t>Flaming Bob Marley Shot</t>
  </si>
  <si>
    <t>Zombie Cocktail</t>
  </si>
  <si>
    <t>.5 oz Apricot Brandy</t>
  </si>
  <si>
    <t>7 up 1 part</t>
  </si>
  <si>
    <t>7 up</t>
  </si>
  <si>
    <t>Bulleit Apple Mustard Sour</t>
  </si>
  <si>
    <t>100ml Apple and Ginger Juice</t>
  </si>
  <si>
    <t>Apple|Ginger Juice</t>
  </si>
  <si>
    <t>Tanqueray No. Ten &amp; Tonic with Orange Peel</t>
  </si>
  <si>
    <t>Cookies and Cream Shooters</t>
  </si>
  <si>
    <t>Oreos</t>
  </si>
  <si>
    <t>That Party Last Night</t>
  </si>
  <si>
    <t>10.5 parts Krauterlikor</t>
  </si>
  <si>
    <t>Krauterlikor</t>
  </si>
  <si>
    <t>Alawai Canal</t>
  </si>
  <si>
    <t>1.5 oz Raspberry Vodka</t>
  </si>
  <si>
    <t>Red Peach Pirate</t>
  </si>
  <si>
    <t>Captain morgan spiced rum 2 oz</t>
  </si>
  <si>
    <t xml:space="preserve">Captain morgan spiced rum </t>
  </si>
  <si>
    <t>2 ounces coconut water</t>
  </si>
  <si>
    <t>Garnish: lemon wheel optional</t>
  </si>
  <si>
    <t>Garnish:|optional</t>
  </si>
  <si>
    <t>0.75 ounce blanco tequila</t>
  </si>
  <si>
    <t>Heavy Petting Zoo Cocktail</t>
  </si>
  <si>
    <t>2 Raspberries</t>
  </si>
  <si>
    <t>125ml Cola or Diet Cola</t>
  </si>
  <si>
    <t>Cola|Diet Cola</t>
  </si>
  <si>
    <t>White Russian Float</t>
  </si>
  <si>
    <t>Coffee liqueur 1.5 oz</t>
  </si>
  <si>
    <t>White wine 25 oz</t>
  </si>
  <si>
    <t>Blue Goose Cocktail</t>
  </si>
  <si>
    <t>Chocolate ice cream 1 pint</t>
  </si>
  <si>
    <t>Chocolate ice cream</t>
  </si>
  <si>
    <t>2 dashes ash bitters</t>
  </si>
  <si>
    <t>ash bitters</t>
  </si>
  <si>
    <t>Castro Cooler</t>
  </si>
  <si>
    <t>0.75 oz Apple Brandy</t>
  </si>
  <si>
    <t>Blackberry Sage Prosecco Cocktail</t>
  </si>
  <si>
    <t>2 tablespoons blackberry juice</t>
  </si>
  <si>
    <t>blackberry juice</t>
  </si>
  <si>
    <t>Tannenbaum and Tonic</t>
  </si>
  <si>
    <t>1 Handful of cranberries</t>
  </si>
  <si>
    <t>Handful</t>
  </si>
  <si>
    <t>Home Team Mojito</t>
  </si>
  <si>
    <t>THE RASPBERRY XXX</t>
  </si>
  <si>
    <t>0.75 oz. Creme De Bananes</t>
  </si>
  <si>
    <t>Jamaican Milk Shake</t>
  </si>
  <si>
    <t>.5 Cup Ice</t>
  </si>
  <si>
    <t>Crantini</t>
  </si>
  <si>
    <t>Fresh Cranberries</t>
  </si>
  <si>
    <t>Fersh</t>
  </si>
  <si>
    <t>Pumpkin Spice Syrup</t>
  </si>
  <si>
    <t>Australian Vodka, Lime &amp; Soda</t>
  </si>
  <si>
    <t>120ml Soda Water</t>
  </si>
  <si>
    <t>Marijuana Milkshake Shot</t>
  </si>
  <si>
    <t>Milk 1 part</t>
  </si>
  <si>
    <t>Woodson &amp; Ford</t>
  </si>
  <si>
    <t>1 oz Zacapa 23 shot rum</t>
  </si>
  <si>
    <t>Zacapa 23 shot rum</t>
  </si>
  <si>
    <t>2 fluid ounces gin</t>
  </si>
  <si>
    <t>Traditional Rum Eggnog Recipe</t>
  </si>
  <si>
    <t>0.67 oz coffee liqueur</t>
  </si>
  <si>
    <t>2 to 4 oz Soda Water</t>
  </si>
  <si>
    <t>Electric Koolaid</t>
  </si>
  <si>
    <t>fill with Sours</t>
  </si>
  <si>
    <t>Sour</t>
  </si>
  <si>
    <t>Viva Oranje</t>
  </si>
  <si>
    <t>The Grasshopper Lies Heavy</t>
  </si>
  <si>
    <t>2 to 3 dashes Angostura Cocoa Bitters</t>
  </si>
  <si>
    <t>Angostura Cocoa Bitters</t>
  </si>
  <si>
    <t>Grape Ape 2</t>
  </si>
  <si>
    <t>4 oz Grape Juice</t>
  </si>
  <si>
    <t>Apple Slices for garnish</t>
  </si>
  <si>
    <t>Dill Pickle Bloody Mary</t>
  </si>
  <si>
    <t>3 tablespoons freshly squeezed lime juice</t>
  </si>
  <si>
    <t>1 part EFFEN Original Vodka</t>
  </si>
  <si>
    <t>EFFEN Original Vodka</t>
  </si>
  <si>
    <t>Mike`s Bloody Mary</t>
  </si>
  <si>
    <t>3 Drop Steak Sauce</t>
  </si>
  <si>
    <t>Steak Sauce</t>
  </si>
  <si>
    <t xml:space="preserve"> Brandy</t>
  </si>
  <si>
    <t>Bitter Amaro Balls</t>
  </si>
  <si>
    <t>2 cups crushed shortbread cookies</t>
  </si>
  <si>
    <t>shortbread cookies</t>
  </si>
  <si>
    <t>1 Bread</t>
  </si>
  <si>
    <t>Bread</t>
  </si>
  <si>
    <t>12.5 ml Orange Juice</t>
  </si>
  <si>
    <t>0.5 Vanilla</t>
  </si>
  <si>
    <t>Flaming Ferrari</t>
  </si>
  <si>
    <t>3 oz Dark Rum</t>
  </si>
  <si>
    <t>1.5 oz reposado tequila</t>
  </si>
  <si>
    <t>Smirnoff Ringmaster</t>
  </si>
  <si>
    <t>Winter Spice Sangria</t>
  </si>
  <si>
    <t>3 small Orange</t>
  </si>
  <si>
    <t>small</t>
  </si>
  <si>
    <t>0.75 cup water</t>
  </si>
  <si>
    <t>Julie Reiners Kula Negroni</t>
  </si>
  <si>
    <t>1 oz London Dry gin</t>
  </si>
  <si>
    <t>Brevann Springwater</t>
  </si>
  <si>
    <t>2 cl Banana Liqueur</t>
  </si>
  <si>
    <t>Spiced Nog Flip</t>
  </si>
  <si>
    <t>2 parts Sweet cream</t>
  </si>
  <si>
    <t>Cherry Chocolate Milk Royal</t>
  </si>
  <si>
    <t>Carl Josef</t>
  </si>
  <si>
    <t>1.5 shot Gin</t>
  </si>
  <si>
    <t>Kahlua Mudslide Cocktail</t>
  </si>
  <si>
    <t>Pink Lady 2</t>
  </si>
  <si>
    <t>4 oz Cranberry Juice</t>
  </si>
  <si>
    <t>1 ounce cream, or half-and-half</t>
  </si>
  <si>
    <t>cream|half-and-half</t>
  </si>
  <si>
    <t>1 egg - Europe (or Antarctica if it's from an Emperor Penguin)</t>
  </si>
  <si>
    <t>- Europe (or Antarctica if it's from an Emperor Penguin)</t>
  </si>
  <si>
    <t>Sweet Tart Martini</t>
  </si>
  <si>
    <t>1 Tbsp. espresso powder</t>
  </si>
  <si>
    <t>espresso powder</t>
  </si>
  <si>
    <t>St Germain &amp; Cranberry Cocktail</t>
  </si>
  <si>
    <t>Lemon wheel, for the garnish</t>
  </si>
  <si>
    <t>Bittered Gin Sling</t>
  </si>
  <si>
    <t>1.5 jiggers gin</t>
  </si>
  <si>
    <t>Royal Fizz</t>
  </si>
  <si>
    <t>2 oz Sweet and sour</t>
  </si>
  <si>
    <t>Sweet|sour</t>
  </si>
  <si>
    <t xml:space="preserve">and </t>
  </si>
  <si>
    <t>Shades Of Grey</t>
  </si>
  <si>
    <t>1 Barspoon (approximately 0.25 oz) Sugar Syrup</t>
  </si>
  <si>
    <t>0.25|1</t>
  </si>
  <si>
    <t>oz|Barspoon</t>
  </si>
  <si>
    <t>(approximately|)</t>
  </si>
  <si>
    <t>Lime peel to garnish</t>
  </si>
  <si>
    <t xml:space="preserve"> to garnish</t>
  </si>
  <si>
    <t>Santa Claus Jello Shots</t>
  </si>
  <si>
    <t>Johnnie Walker Gold Label Reserve Punch</t>
  </si>
  <si>
    <t>Zacapa South of the Border</t>
  </si>
  <si>
    <t>15ml Captain Morgan Dark Rum</t>
  </si>
  <si>
    <t>40ml Ciroc Blue Stone</t>
  </si>
  <si>
    <t>Ciroc Blue Stone</t>
  </si>
  <si>
    <t>3 dashes Orange flower water</t>
  </si>
  <si>
    <t>Whiskey Daisy Cocktail Recipe</t>
  </si>
  <si>
    <t>Buttery Nipple Pudding Shots</t>
  </si>
  <si>
    <t>Irish cream 1.5 oz</t>
  </si>
  <si>
    <t>1 dash of bitters</t>
  </si>
  <si>
    <t>Lazy Afternoon</t>
  </si>
  <si>
    <t>10.5 parts Honey</t>
  </si>
  <si>
    <t>Alexander the Great</t>
  </si>
  <si>
    <t>0.5 part Coffee liqueur</t>
  </si>
  <si>
    <t>coarse kosher salt</t>
  </si>
  <si>
    <t>Enzoni Cocktail</t>
  </si>
  <si>
    <t>Boulevardier Fruit Cup From Azo Drinks</t>
  </si>
  <si>
    <t>0.33 oz fresh lemon juice</t>
  </si>
  <si>
    <t>Butter &amp; Smoke</t>
  </si>
  <si>
    <t>0.5 ounce Tempus Fugit Gran Classico bitter aperitif</t>
  </si>
  <si>
    <t>Tempus Fugit Gran Classico bitter aperitif</t>
  </si>
  <si>
    <t>Vanilla liqueur 0.5 oz</t>
  </si>
  <si>
    <t>Vanilla liqueur</t>
  </si>
  <si>
    <t>0.33 oz simple syrup</t>
  </si>
  <si>
    <t>4 parts Sparkling water</t>
  </si>
  <si>
    <t>Blueberry Margarita</t>
  </si>
  <si>
    <t>Blueberry schnapps 2 oz</t>
  </si>
  <si>
    <t>Green Mango Martini</t>
  </si>
  <si>
    <t>0.5 ounce mango eau de vie</t>
  </si>
  <si>
    <t>mango eau de vie</t>
  </si>
  <si>
    <t>Lovely Wife</t>
  </si>
  <si>
    <t>0.75 oz Chocolate Liqueur</t>
  </si>
  <si>
    <t>Chocolate Toasted Almond</t>
  </si>
  <si>
    <t>Chastity Belt</t>
  </si>
  <si>
    <t>2 cl Coffee Liqueur</t>
  </si>
  <si>
    <t>Miami Vice Cocktail</t>
  </si>
  <si>
    <t>5 chunks fresh pineapple</t>
  </si>
  <si>
    <t>Johnnie Highball - Fruity</t>
  </si>
  <si>
    <t>6 Fresh Raspberries</t>
  </si>
  <si>
    <t>5-6 Lemons</t>
  </si>
  <si>
    <t>Lemons</t>
  </si>
  <si>
    <t>5 Ice Cubes</t>
  </si>
  <si>
    <t>1 maraschino cherries</t>
  </si>
  <si>
    <t>Bill Leaves Town</t>
  </si>
  <si>
    <t>1 ounce Champagne</t>
  </si>
  <si>
    <t>Without Faculty</t>
  </si>
  <si>
    <t>The Present</t>
  </si>
  <si>
    <t>1 Whole egg</t>
  </si>
  <si>
    <t>Champagne Cup</t>
  </si>
  <si>
    <t>10 oz Champagne</t>
  </si>
  <si>
    <t>Orange vodka 4 oz</t>
  </si>
  <si>
    <t>Vodka and Ginger Ale</t>
  </si>
  <si>
    <t>5ml Sour Mix</t>
  </si>
  <si>
    <t>1.5 parts mango kombucha (store-bought or homemade)</t>
  </si>
  <si>
    <t xml:space="preserve">mango kombucha </t>
  </si>
  <si>
    <t>(store-bought or homemade)</t>
  </si>
  <si>
    <t>Metropolis</t>
  </si>
  <si>
    <t>Russian Espresso</t>
  </si>
  <si>
    <t>25ml Milk or Cream</t>
  </si>
  <si>
    <t>Milk|Cream</t>
  </si>
  <si>
    <t>1 dash Salt</t>
  </si>
  <si>
    <t>Honshu Punch</t>
  </si>
  <si>
    <t>4 dashes Aromatic bitters</t>
  </si>
  <si>
    <t>Bourbon Sling</t>
  </si>
  <si>
    <t>1 twist of Lemon peel</t>
  </si>
  <si>
    <t>0.12 teaspoon pickle juice (or more to taste)</t>
  </si>
  <si>
    <t>pickle juice</t>
  </si>
  <si>
    <t>(or more to taste)</t>
  </si>
  <si>
    <t>Classic Gibson Cocktail</t>
  </si>
  <si>
    <t>1 or 3 cocktail onions, for garnish</t>
  </si>
  <si>
    <t>cocktail onions</t>
  </si>
  <si>
    <t>Last Caress</t>
  </si>
  <si>
    <t>Breakfast</t>
  </si>
  <si>
    <t>1 tsp Egg</t>
  </si>
  <si>
    <t>Captain`s Mast</t>
  </si>
  <si>
    <t>Golden Cola</t>
  </si>
  <si>
    <t>4 oz Cinnamon Schnapps</t>
  </si>
  <si>
    <t>1 liter chilled club soda</t>
  </si>
  <si>
    <t>0.5 ounce brewed green tea</t>
  </si>
  <si>
    <t>green tea</t>
  </si>
  <si>
    <t>Volcano Cocktail</t>
  </si>
  <si>
    <t>Deez Nuts for President Fishbowl</t>
  </si>
  <si>
    <t>Corpse Reviver No. Blue</t>
  </si>
  <si>
    <t>0.5 oz star anise syrup</t>
  </si>
  <si>
    <t>anise syrup</t>
  </si>
  <si>
    <t>Livorno Punch</t>
  </si>
  <si>
    <t>1 lemon twist</t>
  </si>
  <si>
    <t>25ml Grand Marnier</t>
  </si>
  <si>
    <t>1 oz of Lime Juice</t>
  </si>
  <si>
    <t>Sunset Tea</t>
  </si>
  <si>
    <t>3 parts Pinnacle CranApple Vodka</t>
  </si>
  <si>
    <t>Pinnacle CranApple Vodka</t>
  </si>
  <si>
    <t>Kalamazoo Julep Recipe</t>
  </si>
  <si>
    <t>0.75 oz celery syrup</t>
  </si>
  <si>
    <t>Rose Negroni</t>
  </si>
  <si>
    <t>2 dashes Grapefruit bitters</t>
  </si>
  <si>
    <t>Buck's Fizz</t>
  </si>
  <si>
    <t>1 ounce lime juice, freshly squeezed</t>
  </si>
  <si>
    <t>4 oz aged rum</t>
  </si>
  <si>
    <t>Georgia Peach 2</t>
  </si>
  <si>
    <t>Apple Pie Margarita</t>
  </si>
  <si>
    <t>10.5 oz. white rum</t>
  </si>
  <si>
    <t>1pint Cognac Brandy</t>
  </si>
  <si>
    <t>Cognac Brandy</t>
  </si>
  <si>
    <t>Espitas Ranch Water</t>
  </si>
  <si>
    <t>1 ounce fresh grapefruit juice</t>
  </si>
  <si>
    <t>Smurf Jello Shots</t>
  </si>
  <si>
    <t>California Stripper</t>
  </si>
  <si>
    <t>Melon Cooler</t>
  </si>
  <si>
    <t>2 parts EFFEN Cucumber Vodka</t>
  </si>
  <si>
    <t>EFFEN Cucumber Vodka</t>
  </si>
  <si>
    <t>Chihuahua</t>
  </si>
  <si>
    <t>1 ounce coconut and pistachio fat-washed rum</t>
  </si>
  <si>
    <t>coconut|pistachio fat-washed rum</t>
  </si>
  <si>
    <t>Good Old Days</t>
  </si>
  <si>
    <t>0.5 oz of Dark rum</t>
  </si>
  <si>
    <t>Nerd Bomb</t>
  </si>
  <si>
    <t>Watermelon pucker 0.5 oz</t>
  </si>
  <si>
    <t>2 ounces blanco tequila</t>
  </si>
  <si>
    <t>Pink Gin</t>
  </si>
  <si>
    <t>Conquistador</t>
  </si>
  <si>
    <t>3 pieces red bell pepper</t>
  </si>
  <si>
    <t>pieces</t>
  </si>
  <si>
    <t>red bell pepper</t>
  </si>
  <si>
    <t>Southside Cocktail</t>
  </si>
  <si>
    <t>125ml Lemon Juice</t>
  </si>
  <si>
    <t>12 Mint Leaves</t>
  </si>
  <si>
    <t>0.5 whole Pear</t>
  </si>
  <si>
    <t>Pear</t>
  </si>
  <si>
    <t>Peach Cosmo</t>
  </si>
  <si>
    <t>Gin Crush</t>
  </si>
  <si>
    <t>4 parts Grapefruit Soda</t>
  </si>
  <si>
    <t>Snickerdoodle Shooters</t>
  </si>
  <si>
    <t>Whipped cream vodka 1.5 oz</t>
  </si>
  <si>
    <t>Cotton Candy Margarita</t>
  </si>
  <si>
    <t>Cafe du Maine</t>
  </si>
  <si>
    <t>Cognac or Brandy</t>
  </si>
  <si>
    <t>French Afternoon</t>
  </si>
  <si>
    <t>20 ml Coffee Liqueur</t>
  </si>
  <si>
    <t>Long Island Taxi</t>
  </si>
  <si>
    <t>35ml Captain Morgan Original Spiced Gold Rum</t>
  </si>
  <si>
    <t>Captain Morgan Original Spiced Gold Rum</t>
  </si>
  <si>
    <t>Mr. Autumn Man</t>
  </si>
  <si>
    <t>1.5 oz spiced Rum</t>
  </si>
  <si>
    <t>spiced Rum</t>
  </si>
  <si>
    <t>Buck`s Fizz</t>
  </si>
  <si>
    <t>10.5 parts Brandy or Cognac or Vodka or Vanilla vodka or Dessert vodka</t>
  </si>
  <si>
    <t>Brandy|Cognac|Vodka|Vanilla vodka|Dessert vodka</t>
  </si>
  <si>
    <t>Strawberry Long Island Iced Tea</t>
  </si>
  <si>
    <t>Green with Envy</t>
  </si>
  <si>
    <t>50 ml Bourbon</t>
  </si>
  <si>
    <t>Moon Light</t>
  </si>
  <si>
    <t>2 Dash Tabasco sauce</t>
  </si>
  <si>
    <t>Egg Nog - Healthy</t>
  </si>
  <si>
    <t>13 oz skimmed Condensed milk</t>
  </si>
  <si>
    <t>skimmed Condensed milk</t>
  </si>
  <si>
    <t>Brown Hen</t>
  </si>
  <si>
    <t>1 tsp tsp Bitters</t>
  </si>
  <si>
    <t>Screwdriver Shots</t>
  </si>
  <si>
    <t>Bliss Point</t>
  </si>
  <si>
    <t>0.5 part Limoncello</t>
  </si>
  <si>
    <t>Golden dream</t>
  </si>
  <si>
    <t>2 parts Galliano</t>
  </si>
  <si>
    <t>Raspberry Mimosa</t>
  </si>
  <si>
    <t>Avocado Paloma</t>
  </si>
  <si>
    <t>2 ounces avocado soda</t>
  </si>
  <si>
    <t>avocado soda</t>
  </si>
  <si>
    <t>Big Easy Martini</t>
  </si>
  <si>
    <t>Bora Bora</t>
  </si>
  <si>
    <t>60 ml Passion Fruit Juice</t>
  </si>
  <si>
    <t>Passion Fruit Juice</t>
  </si>
  <si>
    <t>Salty Stephen</t>
  </si>
  <si>
    <t>4 drops saline solution</t>
  </si>
  <si>
    <t>0.5 part Raspberry syrup</t>
  </si>
  <si>
    <t>1 ounce half-and-half</t>
  </si>
  <si>
    <t>Mintini Martini</t>
  </si>
  <si>
    <t>1 part DeKuyper Creme de Menthe Green Liqueur</t>
  </si>
  <si>
    <t>DeKuyper Creme de Menthe Green Liqueur</t>
  </si>
  <si>
    <t>Bourbon County Cowboy</t>
  </si>
  <si>
    <t>.5 oz Light Cream</t>
  </si>
  <si>
    <t>Ketel One White Russian</t>
  </si>
  <si>
    <t>25ml Ketel One Vodka</t>
  </si>
  <si>
    <t>Strawberry Pomegranate Martini</t>
  </si>
  <si>
    <t>1 Dash Lemonade</t>
  </si>
  <si>
    <t>Fuzzy Beam</t>
  </si>
  <si>
    <t>2 parts Orange Juice</t>
  </si>
  <si>
    <t>Buster Cherry</t>
  </si>
  <si>
    <t>2 cups dry red wine (we used Rioja Tempranillo)</t>
  </si>
  <si>
    <t>(we used Rioja Tempranillo)</t>
  </si>
  <si>
    <t>Vodka 1.75 oz</t>
  </si>
  <si>
    <t>Boom Shaka Laka</t>
  </si>
  <si>
    <t>2 Sours</t>
  </si>
  <si>
    <t>Mint, Fresh</t>
  </si>
  <si>
    <t>Strawberry Margarita By The Gallon</t>
  </si>
  <si>
    <t>Poor Man`s Martini</t>
  </si>
  <si>
    <t>Corpse Reviver #2</t>
  </si>
  <si>
    <t>20 ml Lillet Blanc</t>
  </si>
  <si>
    <t>Palm</t>
  </si>
  <si>
    <t>50ml Cream of Coconut</t>
  </si>
  <si>
    <t>Cream of Coconut</t>
  </si>
  <si>
    <t>Honey mix (2:1 honey and water) 1 oz</t>
  </si>
  <si>
    <t xml:space="preserve">Honey mix </t>
  </si>
  <si>
    <t xml:space="preserve">(2:1 honey and water) </t>
  </si>
  <si>
    <t>Sundance</t>
  </si>
  <si>
    <t>Orange Wheel</t>
  </si>
  <si>
    <t>Samarian Sunset</t>
  </si>
  <si>
    <t>0.5 oz Cabbage rum</t>
  </si>
  <si>
    <t>Cabbage rum</t>
  </si>
  <si>
    <t>Flaming Moe or Homer Cocktail</t>
  </si>
  <si>
    <t>Orange Creamsicle Float Shots</t>
  </si>
  <si>
    <t>1 cl lemon juice</t>
  </si>
  <si>
    <t>Edge of Seventeen</t>
  </si>
  <si>
    <t>4 ounces sparkling wine</t>
  </si>
  <si>
    <t>#3 Cup</t>
  </si>
  <si>
    <t>Big Batch Hugo Spritz</t>
  </si>
  <si>
    <t>1 bottle chilled Prosecco</t>
  </si>
  <si>
    <t>Camp Grenada</t>
  </si>
  <si>
    <t>Being Bobby Brown</t>
  </si>
  <si>
    <t>1 Pinch Sugar</t>
  </si>
  <si>
    <t>1 teaspoon rich Demerara syrup (2:1, sugar to water)</t>
  </si>
  <si>
    <t>(2:1, sugar to water)</t>
  </si>
  <si>
    <t>Butterfinger Cocktail #2</t>
  </si>
  <si>
    <t>Guardian Deity</t>
  </si>
  <si>
    <t>2 tablespoons yuzu jam</t>
  </si>
  <si>
    <t>yuzu jam</t>
  </si>
  <si>
    <t>Piranha Punch</t>
  </si>
  <si>
    <t>2 parts Guava nectar</t>
  </si>
  <si>
    <t>0.75 ounce triple sec</t>
  </si>
  <si>
    <t>Hot Brandy Toddy</t>
  </si>
  <si>
    <t>1 tsp tsp Sugar</t>
  </si>
  <si>
    <t>American Flyer</t>
  </si>
  <si>
    <t>1 tbsp Lime Juice</t>
  </si>
  <si>
    <t>Jamaican Bum</t>
  </si>
  <si>
    <t>White puerto rican rum 1 oz</t>
  </si>
  <si>
    <t>White puerto rican rum</t>
  </si>
  <si>
    <t>Klingon Blood Wine</t>
  </si>
  <si>
    <t>Counterpoint</t>
  </si>
  <si>
    <t>1 ounce Remy Martin 1738 Accord Royal</t>
  </si>
  <si>
    <t>Remy Martin 1738 Accord Royal</t>
  </si>
  <si>
    <t>Coconut Frose</t>
  </si>
  <si>
    <t>2 oz fresh lemon juice</t>
  </si>
  <si>
    <t>10ml Green Chartreuse</t>
  </si>
  <si>
    <t>Green Chartreuse</t>
  </si>
  <si>
    <t>Espresso 100 Proof Martini</t>
  </si>
  <si>
    <t>Japanese Gin Sour</t>
  </si>
  <si>
    <t>0.75 parts Fresh Lemon or Lime Juice</t>
  </si>
  <si>
    <t>Lemon|Lime Juice</t>
  </si>
  <si>
    <t>Fluffy-n-Nutty</t>
  </si>
  <si>
    <t>35ml Smirnoff Fluffed Marshmallow</t>
  </si>
  <si>
    <t>Smirnoff Fluffed Marshmallow</t>
  </si>
  <si>
    <t>A-Rang-A-Tang</t>
  </si>
  <si>
    <t>Star Wars Shots</t>
  </si>
  <si>
    <t>Bailey's 0.5 oz</t>
  </si>
  <si>
    <t>Bailey's</t>
  </si>
  <si>
    <t>Lick Me Silly</t>
  </si>
  <si>
    <t>25ml George Dickel No.1 White Corn Whisky</t>
  </si>
  <si>
    <t>George Dickel No.1 White Corn Whisky</t>
  </si>
  <si>
    <t>Morro</t>
  </si>
  <si>
    <t>Sriracha hot sauce 2 tsp</t>
  </si>
  <si>
    <t>Sriracha hot sauce</t>
  </si>
  <si>
    <t>1 ounce brandy</t>
  </si>
  <si>
    <t>46 maraschino cherries</t>
  </si>
  <si>
    <t>Watermelon Spritz</t>
  </si>
  <si>
    <t>The 20th Century Cocktail</t>
  </si>
  <si>
    <t>Frosting</t>
  </si>
  <si>
    <t>One Last Midnight</t>
  </si>
  <si>
    <t>0.5 ounce Punt e Mes</t>
  </si>
  <si>
    <t>Fitzgerald</t>
  </si>
  <si>
    <t>1.5 oz yellow tomato &amp; yellow bell pepper juice</t>
  </si>
  <si>
    <t>yellow tomato &amp; yellow bell pepper juice</t>
  </si>
  <si>
    <t>2 shots Tequila</t>
  </si>
  <si>
    <t>Simons Gin &amp; Tonic</t>
  </si>
  <si>
    <t>0.25 Vanilla pod</t>
  </si>
  <si>
    <t>Vanilla pod</t>
  </si>
  <si>
    <t>Blackberry Bramble</t>
  </si>
  <si>
    <t>4 blackberries for garnish (optional)</t>
  </si>
  <si>
    <t>Poinsettia</t>
  </si>
  <si>
    <t>1 Part Cranberry Juice</t>
  </si>
  <si>
    <t>0.25 ounce ginger syrup</t>
  </si>
  <si>
    <t>0.75 ounce creme de cacao, preferably Giffard white creme de cacao</t>
  </si>
  <si>
    <t>, preferably Giffard white creme de cacao</t>
  </si>
  <si>
    <t>1.5 oz of Bourbon</t>
  </si>
  <si>
    <t>Lemon Meringue Martini</t>
  </si>
  <si>
    <t>Puck Her Right</t>
  </si>
  <si>
    <t>Cookies &amp; Creamtini</t>
  </si>
  <si>
    <t>.5 oz Peach Brandy</t>
  </si>
  <si>
    <t>Peach Brandy</t>
  </si>
  <si>
    <t>0.5tsp Toasted pine nuts</t>
  </si>
  <si>
    <t>Toasted pine nuts</t>
  </si>
  <si>
    <t>Killer Kool-Aid</t>
  </si>
  <si>
    <t>Afterburner</t>
  </si>
  <si>
    <t>Cucumber Collins Recipe</t>
  </si>
  <si>
    <t>2.5 fluid ounces gin</t>
  </si>
  <si>
    <t>Jahlua Bomb</t>
  </si>
  <si>
    <t>Easter Egg Shots</t>
  </si>
  <si>
    <t>Easter eggs</t>
  </si>
  <si>
    <t>Apple Eden</t>
  </si>
  <si>
    <t>25ml Lime juice</t>
  </si>
  <si>
    <t>Applesmoke</t>
  </si>
  <si>
    <t>0.5 ounce lemon juice (adjust up to 0.75 oz if apple butter is extra sweet)</t>
  </si>
  <si>
    <t>(adjust up to 0.75 oz if apple butter is extra sweet)</t>
  </si>
  <si>
    <t>Billy Ray Valentine</t>
  </si>
  <si>
    <t>0.5 ounce amontillado sherry , preferably Lustau "Los Arcos"</t>
  </si>
  <si>
    <t>, preferably Lustau "Los Arcos"</t>
  </si>
  <si>
    <t>Cancun Rum Runner</t>
  </si>
  <si>
    <t>Lifesaver</t>
  </si>
  <si>
    <t>Fat Frog</t>
  </si>
  <si>
    <t>1 bottle WKD Original Vodka Blue or blue raspberry juice</t>
  </si>
  <si>
    <t>WKD Original Vodka Blue|blue raspberry juice</t>
  </si>
  <si>
    <t>Japanese Sour</t>
  </si>
  <si>
    <t>0.25 ounce yuzu juice (or lime juice ), freshly squeezed</t>
  </si>
  <si>
    <t>yuzu juice|lime juice</t>
  </si>
  <si>
    <t>(or),</t>
  </si>
  <si>
    <t>2 parts Horchata Cream Liqueur</t>
  </si>
  <si>
    <t>Horchata Cream Liqueur</t>
  </si>
  <si>
    <t>Buttery Nipple</t>
  </si>
  <si>
    <t>1 jigger coffee flavored liqueur</t>
  </si>
  <si>
    <t>Captain`s Punch</t>
  </si>
  <si>
    <t>Clarified New York Sour</t>
  </si>
  <si>
    <t>50ml Of JOHNNIE WALKER Red Label</t>
  </si>
  <si>
    <t>JOHNNIE WALKER Red Label</t>
  </si>
  <si>
    <t>American Grog Cocktail</t>
  </si>
  <si>
    <t>Cacao-Infused Bourbon</t>
  </si>
  <si>
    <t>1 iSi whipper</t>
  </si>
  <si>
    <t>iSi whipper</t>
  </si>
  <si>
    <t>Smirnoff Watermelon &amp; Lime</t>
  </si>
  <si>
    <t>1 Watermelon Wedge (Garnish)</t>
  </si>
  <si>
    <t>Haymitchs Hooch cocktail</t>
  </si>
  <si>
    <t>2 oz Silver Tequila</t>
  </si>
  <si>
    <t>Bullshot 3</t>
  </si>
  <si>
    <t>1 Dash Peppers</t>
  </si>
  <si>
    <t>D.U.M.B.O. Drop</t>
  </si>
  <si>
    <t>3-5 dash of Angostura bitters</t>
  </si>
  <si>
    <t>Banana Jabs</t>
  </si>
  <si>
    <t>Apple Pie Sangria</t>
  </si>
  <si>
    <t>Hurricane Hawaii</t>
  </si>
  <si>
    <t>0.25 oz Grenadine Syrup</t>
  </si>
  <si>
    <t>0.5 oz apricot liqueur</t>
  </si>
  <si>
    <t>2 teaspoons ground nutmeg, or amount to taste</t>
  </si>
  <si>
    <t>, or amount to taste</t>
  </si>
  <si>
    <t>Strawberry Pop Rocks Kamikaze</t>
  </si>
  <si>
    <t>Black Irish</t>
  </si>
  <si>
    <t>Shrek Piss</t>
  </si>
  <si>
    <t xml:space="preserve">Melon liqueur </t>
  </si>
  <si>
    <t>Lemon-Lime &amp; Bitters</t>
  </si>
  <si>
    <t>5 dashes Angostura bitters</t>
  </si>
  <si>
    <t>Tropicolada</t>
  </si>
  <si>
    <t>Paloma Sour</t>
  </si>
  <si>
    <t>The Brunch Box</t>
  </si>
  <si>
    <t>1 fluid ounce freshly squeezed grapefruit juice</t>
  </si>
  <si>
    <t>1 can Cream of Coconut</t>
  </si>
  <si>
    <t>Sideways in Reverse</t>
  </si>
  <si>
    <t>1 part Apple brandy</t>
  </si>
  <si>
    <t>Number 30: A Low-Proof Carrot Cocktail</t>
  </si>
  <si>
    <t>1 oz Aperol</t>
  </si>
  <si>
    <t>8 to 10 mint leaves</t>
  </si>
  <si>
    <t>8|10</t>
  </si>
  <si>
    <t>Marvin The Martian</t>
  </si>
  <si>
    <t>1 oz Cherry Brandy</t>
  </si>
  <si>
    <t>2 Lemon Wheel Garnish</t>
  </si>
  <si>
    <t>0.75 oz sweet Vermouth</t>
  </si>
  <si>
    <t>Sugar `n Sinz</t>
  </si>
  <si>
    <t>1 Pinch Ginger Powder</t>
  </si>
  <si>
    <t>Ginger Powder</t>
  </si>
  <si>
    <t>Buchanan's Carnival</t>
  </si>
  <si>
    <t>Banana Nana Daiquiri</t>
  </si>
  <si>
    <t>3 parts Cruzan Aged Dark Rum</t>
  </si>
  <si>
    <t>Cruzan Aged Dark Rum</t>
  </si>
  <si>
    <t>Pirate Tea</t>
  </si>
  <si>
    <t>25ml Captain Morgan's Original Spiced Rum</t>
  </si>
  <si>
    <t>Deers Delight Cocktail</t>
  </si>
  <si>
    <t>10 ml Honey syrup</t>
  </si>
  <si>
    <t>1 jigger rum</t>
  </si>
  <si>
    <t>Summer Rye</t>
  </si>
  <si>
    <t>Garnish: apple cubes</t>
  </si>
  <si>
    <t xml:space="preserve">apple </t>
  </si>
  <si>
    <t>4 ounces sweet Madeira wine</t>
  </si>
  <si>
    <t>sweet Madeira wine</t>
  </si>
  <si>
    <t>Stone Cherry Boilermaker</t>
  </si>
  <si>
    <t>175ml Lager Beer</t>
  </si>
  <si>
    <t>Lager Beer</t>
  </si>
  <si>
    <t>The Ginger Dog</t>
  </si>
  <si>
    <t>2 Dashes of Plum Bitters</t>
  </si>
  <si>
    <t>Plum Bitters</t>
  </si>
  <si>
    <t>Forbidden Fruit Fizz</t>
  </si>
  <si>
    <t>The Mojito Cocktail</t>
  </si>
  <si>
    <t>2 fluid ounces light rum</t>
  </si>
  <si>
    <t>The Gag Reflex</t>
  </si>
  <si>
    <t>Hot sauce 1 splash</t>
  </si>
  <si>
    <t>Radler</t>
  </si>
  <si>
    <t>8 ounces sparkling lemonade or lemon-lime soda, chilled</t>
  </si>
  <si>
    <t>sparkling lemonade|lemon-lime soda</t>
  </si>
  <si>
    <t>or |,</t>
  </si>
  <si>
    <t>The Irish Trash Can</t>
  </si>
  <si>
    <t>Snicker Shots</t>
  </si>
  <si>
    <t>Caramel vodka 1 oz</t>
  </si>
  <si>
    <t>Caramel vodka</t>
  </si>
  <si>
    <t>Lemon-lime soda 1 oz</t>
  </si>
  <si>
    <t>Homemade Amaretto Liqueur</t>
  </si>
  <si>
    <t>2 teaspoons pure vanilla extract</t>
  </si>
  <si>
    <t>Airedale Cocktail</t>
  </si>
  <si>
    <t>2.5 oz Bourbon Whiskey</t>
  </si>
  <si>
    <t>Summer Slice</t>
  </si>
  <si>
    <t>Pineapple Flambe</t>
  </si>
  <si>
    <t>50ml Pineapple Juice</t>
  </si>
  <si>
    <t>Citroen Soda</t>
  </si>
  <si>
    <t>25ml Elderflower cordial</t>
  </si>
  <si>
    <t>Elderflower cordial</t>
  </si>
  <si>
    <t>2 Dashes Angostura bitters</t>
  </si>
  <si>
    <t>Chinese Mary</t>
  </si>
  <si>
    <t>.5 tsp Worcestershire Sauce</t>
  </si>
  <si>
    <t>Hiss Hiss Bang Bang From MAKfam</t>
  </si>
  <si>
    <t>Melaza Punch</t>
  </si>
  <si>
    <t>1.5 ounces Milagro anejo tequila</t>
  </si>
  <si>
    <t>Milagro anejo tequila</t>
  </si>
  <si>
    <t>White hot chocolate 1 pack</t>
  </si>
  <si>
    <t>White hot chocolate</t>
  </si>
  <si>
    <t>Hibiscus Martini</t>
  </si>
  <si>
    <t>Festive Pomegranate Punch with Sparkling Prosecco</t>
  </si>
  <si>
    <t>Gold Crown Cocktail</t>
  </si>
  <si>
    <t>Sauza Mexican Paloma</t>
  </si>
  <si>
    <t>0.5 parts Lime Juice</t>
  </si>
  <si>
    <t>2 parts Champagne</t>
  </si>
  <si>
    <t>Fruity Mojitos</t>
  </si>
  <si>
    <t>5 limes, quartered</t>
  </si>
  <si>
    <t>Havana Cocktail</t>
  </si>
  <si>
    <t>Casino Old Tom Gin Cocktail</t>
  </si>
  <si>
    <t>2 oz Old Tom gin</t>
  </si>
  <si>
    <t>Indian Summer</t>
  </si>
  <si>
    <t>1 Handful of fresh wheat grass</t>
  </si>
  <si>
    <t>wheat grass</t>
  </si>
  <si>
    <t>0.5 ounce amaretto, preferably Luxardo Amaretto di Saschira</t>
  </si>
  <si>
    <t>, preferably Luxardo Amaretto di Saschira</t>
  </si>
  <si>
    <t>Pine-Berry Martini</t>
  </si>
  <si>
    <t>2 ounces Martini &amp; Rossi extra-dry vermouth</t>
  </si>
  <si>
    <t>Martini &amp; Rossi extra-dry vermouth</t>
  </si>
  <si>
    <t>1 part Kavanagh Irish Cream</t>
  </si>
  <si>
    <t>Kavanagh Irish Cream</t>
  </si>
  <si>
    <t>1.5 cl pineapple juice</t>
  </si>
  <si>
    <t>Winter in California</t>
  </si>
  <si>
    <t>1.5 oz German Herbal Liqueur such as Hilde 58</t>
  </si>
  <si>
    <t>German Herbal Liqueur</t>
  </si>
  <si>
    <t>such as Hilde 58</t>
  </si>
  <si>
    <t>Bee Sting</t>
  </si>
  <si>
    <t>Hot Lemon Latte</t>
  </si>
  <si>
    <t>Hot latte 5 oz</t>
  </si>
  <si>
    <t>latte</t>
  </si>
  <si>
    <t>The Infante</t>
  </si>
  <si>
    <t>0.75 ounces orgeat</t>
  </si>
  <si>
    <t>Daiquiri du Bresil</t>
  </si>
  <si>
    <t>Brevann</t>
  </si>
  <si>
    <t>7 oz Sours</t>
  </si>
  <si>
    <t>0.75 part Artichoke amaro</t>
  </si>
  <si>
    <t>Artichoke amaro</t>
  </si>
  <si>
    <t>Lemon Shot Glass</t>
  </si>
  <si>
    <t>Paring knife</t>
  </si>
  <si>
    <t>Pieces of Eight</t>
  </si>
  <si>
    <t>Carolina Dream</t>
  </si>
  <si>
    <t>16 oz crushed ice</t>
  </si>
  <si>
    <t>Cherry Fluster</t>
  </si>
  <si>
    <t>Flannel</t>
  </si>
  <si>
    <t>1 ounce cognac</t>
  </si>
  <si>
    <t>1 oz Butterscotch Schnapps</t>
  </si>
  <si>
    <t>5 oz Peach Liqueur</t>
  </si>
  <si>
    <t>0.5 oz cold-brew coffee</t>
  </si>
  <si>
    <t>Spiced rum 5 oz</t>
  </si>
  <si>
    <t>Irish Flag Jello Shots</t>
  </si>
  <si>
    <t>Garnish: Vanilla Salt</t>
  </si>
  <si>
    <t>Vanilla Salt</t>
  </si>
  <si>
    <t>Frozen Mudslide</t>
  </si>
  <si>
    <t>1 tblsp Grenadine</t>
  </si>
  <si>
    <t>tblsp</t>
  </si>
  <si>
    <t>Beautiful Disaster</t>
  </si>
  <si>
    <t>Don Julio Blanco y Sangrita</t>
  </si>
  <si>
    <t>Blue Grapes</t>
  </si>
  <si>
    <t>12.5ml Creme de Cassis</t>
  </si>
  <si>
    <t>Apple Cinnamon Mule</t>
  </si>
  <si>
    <t>10ml Cognac</t>
  </si>
  <si>
    <t>Hula Kula</t>
  </si>
  <si>
    <t>Jordan Valls Rusty Nail</t>
  </si>
  <si>
    <t>Badass New Years Champagne Punch</t>
  </si>
  <si>
    <t>Cookies and Cream Pudding Shots</t>
  </si>
  <si>
    <t>Milk 2 oz</t>
  </si>
  <si>
    <t>Mason Jar Bloody Mary</t>
  </si>
  <si>
    <t>1 Pinch black pepper</t>
  </si>
  <si>
    <t>Easy Watermelon Martini</t>
  </si>
  <si>
    <t>10.5 oz lavender-infused reposado tequila</t>
  </si>
  <si>
    <t>lavender-infused reposado tequila</t>
  </si>
  <si>
    <t>Coco Channel</t>
  </si>
  <si>
    <t>1 Shot Gin</t>
  </si>
  <si>
    <t>Raspberry Gimlet</t>
  </si>
  <si>
    <t>70ml Lemon-Lime Soda</t>
  </si>
  <si>
    <t>2 dashes Fee Brothers cardamom bitters</t>
  </si>
  <si>
    <t>Fee Brothers cardamom bitters</t>
  </si>
  <si>
    <t>Gin-Gin Mule</t>
  </si>
  <si>
    <t>10.5 parts Gin or Aged gin</t>
  </si>
  <si>
    <t>Silk Sheets</t>
  </si>
  <si>
    <t>0.75 part Elderflower liqueur</t>
  </si>
  <si>
    <t>Diplomat Cocktail</t>
  </si>
  <si>
    <t>1 dash simple syrup</t>
  </si>
  <si>
    <t>Whiskey Punch</t>
  </si>
  <si>
    <t>1.5 oz Lemon juice</t>
  </si>
  <si>
    <t>Smoked Martini</t>
  </si>
  <si>
    <t>Amaretto Paradise</t>
  </si>
  <si>
    <t>Doom Tiki Cocktail: Inside the Sun</t>
  </si>
  <si>
    <t>12 oz maraschino liqueur</t>
  </si>
  <si>
    <t>Lovage in the Garden</t>
  </si>
  <si>
    <t>2 ounces Hophead vodka</t>
  </si>
  <si>
    <t>Hophead vodka</t>
  </si>
  <si>
    <t>2 oz Irish Whiskey</t>
  </si>
  <si>
    <t>Paloma Tequila Cocktail</t>
  </si>
  <si>
    <t>Lime wedge, for optional rim</t>
  </si>
  <si>
    <t>, for optional rim</t>
  </si>
  <si>
    <t>Frozen Fuzzy</t>
  </si>
  <si>
    <t>Apricot Flip</t>
  </si>
  <si>
    <t>1ml Grapefruit Peel (Garnish)</t>
  </si>
  <si>
    <t>2 oz Irish whiskey</t>
  </si>
  <si>
    <t>Benedictine Cocktail</t>
  </si>
  <si>
    <t>1 Drop Lemon Juice</t>
  </si>
  <si>
    <t>0.5 to 0.75 ounce simple syrup, to taste</t>
  </si>
  <si>
    <t>0.5|0.75</t>
  </si>
  <si>
    <t>Sangria Liqueur The World`s Best</t>
  </si>
  <si>
    <t>1 Apple</t>
  </si>
  <si>
    <t>Brandy Fizz</t>
  </si>
  <si>
    <t>2 dashes aromatic bitters</t>
  </si>
  <si>
    <t>0.7 oz Bols Vodka</t>
  </si>
  <si>
    <t>2 oz of Crown Royal canadian whisky</t>
  </si>
  <si>
    <t>Crown Royal canadian whisky</t>
  </si>
  <si>
    <t>Sotol Milk Punch: La Lechedora</t>
  </si>
  <si>
    <t>1.5 oz sotol</t>
  </si>
  <si>
    <t>6 Ice Blocks</t>
  </si>
  <si>
    <t>Ice Blocks</t>
  </si>
  <si>
    <t>Bizzy Izzy</t>
  </si>
  <si>
    <t>1 part Dry sherry</t>
  </si>
  <si>
    <t>Johnnie Walker Ginger Toddy</t>
  </si>
  <si>
    <t>Chico</t>
  </si>
  <si>
    <t>Korean Paloma</t>
  </si>
  <si>
    <t>heavy 0.5 ounce gochujang syrup</t>
  </si>
  <si>
    <t>heavy gochujang syrup</t>
  </si>
  <si>
    <t>Shipwreck Daiquiri</t>
  </si>
  <si>
    <t>Aged rum 1.5 oz</t>
  </si>
  <si>
    <t>You Sexy Dog You</t>
  </si>
  <si>
    <t>1 barspoon rich Demerara syrup (2:1, Demerara sugar to water)</t>
  </si>
  <si>
    <t>Plum &amp; Vanilla Fizz</t>
  </si>
  <si>
    <t>25 ml Double Cream</t>
  </si>
  <si>
    <t>Meloncholy Baby</t>
  </si>
  <si>
    <t>3 oz Water</t>
  </si>
  <si>
    <t>Cranberry Smash</t>
  </si>
  <si>
    <t>1 barspoon Demerara sugar</t>
  </si>
  <si>
    <t>Demerara sugar</t>
  </si>
  <si>
    <t>Orange Buck</t>
  </si>
  <si>
    <t>lime slice</t>
  </si>
  <si>
    <t>For the garnish: olive or lemon peel</t>
  </si>
  <si>
    <t>olive|lemon peel</t>
  </si>
  <si>
    <t>25 ml Orange Juice</t>
  </si>
  <si>
    <t>Toasted Coconut White Russian</t>
  </si>
  <si>
    <t>2 ounces amaretto liqueur</t>
  </si>
  <si>
    <t>1.5 ounce vodka, or citrus vodka</t>
  </si>
  <si>
    <t>vodka|citrus vodka</t>
  </si>
  <si>
    <t>Incredible Hulk</t>
  </si>
  <si>
    <t>Hpnotiq 1 part</t>
  </si>
  <si>
    <t>Blue Blarney</t>
  </si>
  <si>
    <t>Caribbean Sunset 2</t>
  </si>
  <si>
    <t>Count Stroganoff</t>
  </si>
  <si>
    <t>0.25 part Brown sugar syrup</t>
  </si>
  <si>
    <t>Cherry juice 1 oz</t>
  </si>
  <si>
    <t>Flying Meister</t>
  </si>
  <si>
    <t>Dying Bastard</t>
  </si>
  <si>
    <t>3 parts Ginger beer</t>
  </si>
  <si>
    <t>.5 oz Sherry</t>
  </si>
  <si>
    <t>A Juneteenth "Cocktale", The Red Order No. 3</t>
  </si>
  <si>
    <t>1 slice dehydrated or candied lemon</t>
  </si>
  <si>
    <t>candied</t>
  </si>
  <si>
    <t>Brown Cow From Hell</t>
  </si>
  <si>
    <t>2 3 oz Coffee Liqueur</t>
  </si>
  <si>
    <t>Gram-Arita</t>
  </si>
  <si>
    <t>Flight to East Asia</t>
  </si>
  <si>
    <t>Liquid Breakfast</t>
  </si>
  <si>
    <t>Amaretto Liqueur</t>
  </si>
  <si>
    <t>.5 Cup Grain Alcohol</t>
  </si>
  <si>
    <t>Cucumber Royale</t>
  </si>
  <si>
    <t>0.25 oz Elderflower liqueur</t>
  </si>
  <si>
    <t>8 oz hot water</t>
  </si>
  <si>
    <t>Rosemary Stinger Cocktail</t>
  </si>
  <si>
    <t>Charaillon</t>
  </si>
  <si>
    <t>1.5 ounces Pineau des Charentes White</t>
  </si>
  <si>
    <t>Pineau des Charentes White</t>
  </si>
  <si>
    <t>Meyer Lemon Martini</t>
  </si>
  <si>
    <t>1 Meyer lemon, juiced and peeled</t>
  </si>
  <si>
    <t>Meyer lemon</t>
  </si>
  <si>
    <t>juiced|peeled</t>
  </si>
  <si>
    <t>Almond Joy</t>
  </si>
  <si>
    <t>0.5 oz white Creme de Cacao</t>
  </si>
  <si>
    <t>Gordon's Gin &amp; Tonic</t>
  </si>
  <si>
    <t>200ml Tonic</t>
  </si>
  <si>
    <t>Cape Cod 2</t>
  </si>
  <si>
    <t>3 oz Cranberry Vodka</t>
  </si>
  <si>
    <t>Cocobanana</t>
  </si>
  <si>
    <t>Austin Margarita (aka Mexican Martini)</t>
  </si>
  <si>
    <t>1 jigger freshly squeezed lemon juice</t>
  </si>
  <si>
    <t>0.5 oz orgeat</t>
  </si>
  <si>
    <t>Chocolate Gingerbread Martini</t>
  </si>
  <si>
    <t>75ml Half and half or milk</t>
  </si>
  <si>
    <t>Half and half|milk</t>
  </si>
  <si>
    <t>Multiverse</t>
  </si>
  <si>
    <t>0.38 ounce acid-adjusted orange juice</t>
  </si>
  <si>
    <t>acid-adjusted orange juice</t>
  </si>
  <si>
    <t>Classic Metropolitan Brandy Cocktail</t>
  </si>
  <si>
    <t>0.5 teaspoon simple syrup</t>
  </si>
  <si>
    <t>Almond Shrub</t>
  </si>
  <si>
    <t>rind of 1 Lemon</t>
  </si>
  <si>
    <t>rind Lemon</t>
  </si>
  <si>
    <t>Kusuri</t>
  </si>
  <si>
    <t>0.75 part Honey syrup</t>
  </si>
  <si>
    <t>AntiFreeze</t>
  </si>
  <si>
    <t>37.5 ml Blood Orange Vodka</t>
  </si>
  <si>
    <t>1 bottles Vodka</t>
  </si>
  <si>
    <t>2 Ice Cubes</t>
  </si>
  <si>
    <t>Jolly Rancher Skull Crusher Shot</t>
  </si>
  <si>
    <t>White zinfandel</t>
  </si>
  <si>
    <t>Negroni de Nubes</t>
  </si>
  <si>
    <t>0.75 ounce strawberry infused Suze-Cappelletti mixture (see Editor's Note)</t>
  </si>
  <si>
    <t>strawberry infused Suze-Cappelletti mixture</t>
  </si>
  <si>
    <t>Bailey`s Shake</t>
  </si>
  <si>
    <t>1 cups Ice Cream</t>
  </si>
  <si>
    <t>Irish Cream Chocolate Martini</t>
  </si>
  <si>
    <t>Chocolate liqueur 0.5 oz</t>
  </si>
  <si>
    <t>Alpine Sprite</t>
  </si>
  <si>
    <t>2 oz Peppermint Schnapps</t>
  </si>
  <si>
    <t>Caribbean Martini</t>
  </si>
  <si>
    <t>0.75 oz of Malibu coconut rum</t>
  </si>
  <si>
    <t>0.25 part Allspice dram</t>
  </si>
  <si>
    <t>Safe Passage</t>
  </si>
  <si>
    <t>20.5 parts Sparkling white wine</t>
  </si>
  <si>
    <t>1 ounce sour apple schnapps</t>
  </si>
  <si>
    <t>sour apple schnapps</t>
  </si>
  <si>
    <t>Dreamsicle Delight</t>
  </si>
  <si>
    <t>Triple Chocolate Shots</t>
  </si>
  <si>
    <t>Big Red Sun</t>
  </si>
  <si>
    <t>1 ounce Powers Irish whiskey</t>
  </si>
  <si>
    <t>Powers Irish whiskey</t>
  </si>
  <si>
    <t>Mexican Flag</t>
  </si>
  <si>
    <t>0.5 oz of Pisang Ambon or Midori</t>
  </si>
  <si>
    <t>Pisang Ambon|Midori</t>
  </si>
  <si>
    <t>of|or</t>
  </si>
  <si>
    <t>Strawberry Shivers</t>
  </si>
  <si>
    <t>1.5 cup Strawberries</t>
  </si>
  <si>
    <t>1 dash Dry Vermouth</t>
  </si>
  <si>
    <t>Tequila Cocktail: Part-Time Lover</t>
  </si>
  <si>
    <t>Toreador</t>
  </si>
  <si>
    <t>Sloe Gin Cocktail</t>
  </si>
  <si>
    <t>2 oz Sloe gin</t>
  </si>
  <si>
    <t>Bloody Bull</t>
  </si>
  <si>
    <t>2 parts Beef broth</t>
  </si>
  <si>
    <t>Beef broth</t>
  </si>
  <si>
    <t>10.25 parts Limoncello or Vanilla anise liqueur or Amaretto</t>
  </si>
  <si>
    <t>Limoncello|Vanilla anise liqueur|Amaretto</t>
  </si>
  <si>
    <t>Campari 1.5 oz</t>
  </si>
  <si>
    <t>3 parts Hornitos Reposado Tequila</t>
  </si>
  <si>
    <t>2 Dashes Bitters</t>
  </si>
  <si>
    <t>Haig Clubman Apple Mule</t>
  </si>
  <si>
    <t>75ml Ginger Beer</t>
  </si>
  <si>
    <t>0.5 cup sugar</t>
  </si>
  <si>
    <t>Honey Crush</t>
  </si>
  <si>
    <t>25ml Simple syrup</t>
  </si>
  <si>
    <t>Grapehound Dog</t>
  </si>
  <si>
    <t>70ml Ruby Red Grapefruit Juice</t>
  </si>
  <si>
    <t>Bronx Martini</t>
  </si>
  <si>
    <t>Australian Gin Sour</t>
  </si>
  <si>
    <t>1 part Orange Juice</t>
  </si>
  <si>
    <t>The Ballerina Wine Cocktail</t>
  </si>
  <si>
    <t>4 oz dry rose</t>
  </si>
  <si>
    <t>rose</t>
  </si>
  <si>
    <t>Chef John's "Sunset" Michelada</t>
  </si>
  <si>
    <t>1 Pinch of salt and pepper</t>
  </si>
  <si>
    <t>salt|pepper</t>
  </si>
  <si>
    <t>of|and</t>
  </si>
  <si>
    <t>151 proof rum 1 oz</t>
  </si>
  <si>
    <t>proof rum 1</t>
  </si>
  <si>
    <t>Electric Martini</t>
  </si>
  <si>
    <t>0.5 part Green herbal liqueur</t>
  </si>
  <si>
    <t>Green herbal liqueur</t>
  </si>
  <si>
    <t>Passion Drop</t>
  </si>
  <si>
    <t>10ml Triple Sec Liqueur</t>
  </si>
  <si>
    <t>Papaya Salad Daiquiri</t>
  </si>
  <si>
    <t>0.25 ounce Chareau aloe liqueur</t>
  </si>
  <si>
    <t>Chareau aloe liqueur</t>
  </si>
  <si>
    <t>Singapore Sling Cocktail Reicpe</t>
  </si>
  <si>
    <t>0.5 oz Lime Juice freshly squeezed</t>
  </si>
  <si>
    <t>3 leaves Sage</t>
  </si>
  <si>
    <t>leaves Sage</t>
  </si>
  <si>
    <t>Frozen Coconut Pineapple Margarita</t>
  </si>
  <si>
    <t>0.25 ounce Rothman &amp; Winter Orchard Apricot liqueur</t>
  </si>
  <si>
    <t>Rothman &amp; Winter Orchard Apricot liqueur</t>
  </si>
  <si>
    <t>Oye Como Va</t>
  </si>
  <si>
    <t>Mezcal 1 oz</t>
  </si>
  <si>
    <t>1 ounce amaretto</t>
  </si>
  <si>
    <t>Pompey Royale</t>
  </si>
  <si>
    <t>1 tsp Caster Sugar</t>
  </si>
  <si>
    <t>Caster Sugar</t>
  </si>
  <si>
    <t>Cantaloupe Mojito</t>
  </si>
  <si>
    <t>3 oz Beef Bouillon</t>
  </si>
  <si>
    <t>Beef Bouillon</t>
  </si>
  <si>
    <t>Commander White</t>
  </si>
  <si>
    <t>1 dash Pepper</t>
  </si>
  <si>
    <t>1 Tsp Caster Sugar</t>
  </si>
  <si>
    <t>37.5ml Roe &amp; Co Irish Whiskey</t>
  </si>
  <si>
    <t>Roe &amp; Co Irish Whiskey</t>
  </si>
  <si>
    <t>Lady Love Fizz</t>
  </si>
  <si>
    <t>45 ml Rye whiskey</t>
  </si>
  <si>
    <t>10 2-inch strips orange peel</t>
  </si>
  <si>
    <t>Gin Daisy</t>
  </si>
  <si>
    <t>Colonian Gin and Tonic</t>
  </si>
  <si>
    <t>6 black peppercorns</t>
  </si>
  <si>
    <t>black peppercorns</t>
  </si>
  <si>
    <t>Raspberry Red Wine Slushie</t>
  </si>
  <si>
    <t>Watermelon Cocktail with Gin</t>
  </si>
  <si>
    <t>1 oz of simple syrup</t>
  </si>
  <si>
    <t>Cherry Lover</t>
  </si>
  <si>
    <t>Fruity Slut</t>
  </si>
  <si>
    <t>.75 oz Herbal Liqueur</t>
  </si>
  <si>
    <t>Queens Road</t>
  </si>
  <si>
    <t>1 part Simple Syrup</t>
  </si>
  <si>
    <t>Cardhu Rosso</t>
  </si>
  <si>
    <t>Screwdriver Jello Shots</t>
  </si>
  <si>
    <t>French Pinnacle Fizz</t>
  </si>
  <si>
    <t>5ml Simple Syrup</t>
  </si>
  <si>
    <t>Ash Blonde</t>
  </si>
  <si>
    <t>3 oz White Wine</t>
  </si>
  <si>
    <t>1 ounce mango-pandan syrup</t>
  </si>
  <si>
    <t>mango-pandan syrup</t>
  </si>
  <si>
    <t>Wiz Fizz</t>
  </si>
  <si>
    <t>Mexican Madras</t>
  </si>
  <si>
    <t>0.5 oz aged Jamaican rum</t>
  </si>
  <si>
    <t>1 can frozen pineapple juice concentrate</t>
  </si>
  <si>
    <t>pineapple juice concentrate</t>
  </si>
  <si>
    <t>Lovers Revenge Shot</t>
  </si>
  <si>
    <t>curacao</t>
  </si>
  <si>
    <t>The Cleanse Cocktail</t>
  </si>
  <si>
    <t>French Hooker</t>
  </si>
  <si>
    <t>0.5 oz Raspberry Liqueur</t>
  </si>
  <si>
    <t>Love &amp; Murder</t>
  </si>
  <si>
    <t>Malena</t>
  </si>
  <si>
    <t>Garnish: orange half-wheel</t>
  </si>
  <si>
    <t>half-wheel</t>
  </si>
  <si>
    <t>0.75 oz Pineapple Juice</t>
  </si>
  <si>
    <t>Bantha Milk</t>
  </si>
  <si>
    <t>Grated chocolate, or cocoa powder, or crushed graham crackers, for rimming</t>
  </si>
  <si>
    <t>Grated chocolate|cocoa powder|graham crackers</t>
  </si>
  <si>
    <t>, or|, or|, for rimming</t>
  </si>
  <si>
    <t>Arigatou, Gomen Nasai</t>
  </si>
  <si>
    <t>The Classic</t>
  </si>
  <si>
    <t>120ml Premium tonic water</t>
  </si>
  <si>
    <t>Premium tonic water</t>
  </si>
  <si>
    <t>Fudge Slide</t>
  </si>
  <si>
    <t>1 oz Chocolate Vodka</t>
  </si>
  <si>
    <t>Angry Mule</t>
  </si>
  <si>
    <t>Smirnoff Kissed Caramel Spiced Tea</t>
  </si>
  <si>
    <t>60ml Chai tea (unsweetened)</t>
  </si>
  <si>
    <t>Chai tea (unsweetened)</t>
  </si>
  <si>
    <t>Bull Rider</t>
  </si>
  <si>
    <t>.5 oz Creme De Bananes</t>
  </si>
  <si>
    <t>Cobras Cove</t>
  </si>
  <si>
    <t>Jamaican rum 0.5 oz</t>
  </si>
  <si>
    <t>Long Tall Cowboy</t>
  </si>
  <si>
    <t>1 Cup Ice Cubes</t>
  </si>
  <si>
    <t>1 dashes lime juice</t>
  </si>
  <si>
    <t>Mel`s Swing</t>
  </si>
  <si>
    <t>1 oz Blackcurrant Liqueur</t>
  </si>
  <si>
    <t>Blackcurrant Liqueur</t>
  </si>
  <si>
    <t>25ml Coconut Water</t>
  </si>
  <si>
    <t>B-52 Cocktail Shot</t>
  </si>
  <si>
    <t>1 tablespoon Irish cream liqueur, such as Baileys</t>
  </si>
  <si>
    <t>, such as Baileys</t>
  </si>
  <si>
    <t>Cherry Breeze</t>
  </si>
  <si>
    <t>Prospector</t>
  </si>
  <si>
    <t>4 oz Cola</t>
  </si>
  <si>
    <t>Apple Sunrise</t>
  </si>
  <si>
    <t>2 3 Dashes Lemon Juice</t>
  </si>
  <si>
    <t>Ciroc Amaretto &amp; Tonic</t>
  </si>
  <si>
    <t>125ml Tonic Water</t>
  </si>
  <si>
    <t>Captain Spiced Toddy (H)</t>
  </si>
  <si>
    <t>Cherubs Cup</t>
  </si>
  <si>
    <t>top-up Brut Rose Sparkling Wine</t>
  </si>
  <si>
    <t>Brut Rose Sparkling Wine</t>
  </si>
  <si>
    <t xml:space="preserve">top-up </t>
  </si>
  <si>
    <t>Martini Milano</t>
  </si>
  <si>
    <t>1 tsp Bitters</t>
  </si>
  <si>
    <t>BTC</t>
  </si>
  <si>
    <t>2 oz of Cointreaux</t>
  </si>
  <si>
    <t>Cointreaux</t>
  </si>
  <si>
    <t>Singchelada</t>
  </si>
  <si>
    <t>1 bottle lager beer, preferably Singha</t>
  </si>
  <si>
    <t>lager beer</t>
  </si>
  <si>
    <t>, preferably Singha</t>
  </si>
  <si>
    <t>Blue Kool-Aid Jungle Juice</t>
  </si>
  <si>
    <t>Tequila 8 oz</t>
  </si>
  <si>
    <t>0.33 oz honey</t>
  </si>
  <si>
    <t>Mexico Fresh</t>
  </si>
  <si>
    <t>Don Julio Reposado</t>
  </si>
  <si>
    <t>fill with Cranberry Juice</t>
  </si>
  <si>
    <t>35ml Ketel One Vodka</t>
  </si>
  <si>
    <t>Carrot Cocktail: We Own That Door</t>
  </si>
  <si>
    <t>Splash of soda water</t>
  </si>
  <si>
    <t>Poolside Pleasure</t>
  </si>
  <si>
    <t>1 Can Bitter Beer</t>
  </si>
  <si>
    <t>Spumoni</t>
  </si>
  <si>
    <t>1 can frozen lemonade concentrate</t>
  </si>
  <si>
    <t>Berry Rum Rickey</t>
  </si>
  <si>
    <t>1 Dash Sugar Syrup</t>
  </si>
  <si>
    <t>1.5 parts Jim Beam Original</t>
  </si>
  <si>
    <t>Mozart Esprit</t>
  </si>
  <si>
    <t>4 6 oz Lemonade</t>
  </si>
  <si>
    <t>Reposado Old-Fashioned Cocktail</t>
  </si>
  <si>
    <t>3 slices nectarine, divided</t>
  </si>
  <si>
    <t>nectarine</t>
  </si>
  <si>
    <t>Merry Cherry</t>
  </si>
  <si>
    <t>Peanut Butter Cup Shots</t>
  </si>
  <si>
    <t>Ginger Apple Martini</t>
  </si>
  <si>
    <t>0.25 oz Ginger</t>
  </si>
  <si>
    <t>A Gilligan's Island</t>
  </si>
  <si>
    <t>Baldwin's (Easy) Sherry Colada</t>
  </si>
  <si>
    <t>Invisible Man</t>
  </si>
  <si>
    <t>Maggots</t>
  </si>
  <si>
    <t>Butterscotch Sour</t>
  </si>
  <si>
    <t>2 oz Bols Barrel Aged Genever</t>
  </si>
  <si>
    <t>Bols Barrel Aged Genever</t>
  </si>
  <si>
    <t>2 fluid ounces cola-flavored carbonated beverage</t>
  </si>
  <si>
    <t>0.5 oz of premium triple sec</t>
  </si>
  <si>
    <t>premium triple sec</t>
  </si>
  <si>
    <t>Hot Lemon</t>
  </si>
  <si>
    <t>2 oz Hot Water</t>
  </si>
  <si>
    <t>Cranberry-Pomegranate Mimosa</t>
  </si>
  <si>
    <t>4 oz fresh cranberries</t>
  </si>
  <si>
    <t>Sipsmith Martini</t>
  </si>
  <si>
    <t>Fire Apple</t>
  </si>
  <si>
    <t>1 part Jim Beam Kentucky Fire</t>
  </si>
  <si>
    <t>Jim Beam Kentucky Fire</t>
  </si>
  <si>
    <t>Pomegranate Blood Orange Margarita</t>
  </si>
  <si>
    <t>0.75 oz Agave Nectar</t>
  </si>
  <si>
    <t>Provence Martini</t>
  </si>
  <si>
    <t>1 heaping Tbsp. Herbs de Provence</t>
  </si>
  <si>
    <t>heaping Tbsp.</t>
  </si>
  <si>
    <t>Herbs de Provence</t>
  </si>
  <si>
    <t>Tickled Pink</t>
  </si>
  <si>
    <t>Purple Jesus 3</t>
  </si>
  <si>
    <t>2 oz White Wine</t>
  </si>
  <si>
    <t>Deke Dunnes Widows Kiss</t>
  </si>
  <si>
    <t>Brandy Blazer</t>
  </si>
  <si>
    <t>Twist Lemon</t>
  </si>
  <si>
    <t>Chocolate vodka 1 part</t>
  </si>
  <si>
    <t>Mangorita</t>
  </si>
  <si>
    <t>4 ice cubes</t>
  </si>
  <si>
    <t>The Ultimate Ketel One Mojito</t>
  </si>
  <si>
    <t>Brandied Egg Sour</t>
  </si>
  <si>
    <t>Perfect Lemon Drop Martini Cocktail</t>
  </si>
  <si>
    <t>2 oz vodka</t>
  </si>
  <si>
    <t>Kiwi Mule</t>
  </si>
  <si>
    <t>4.5 oz Ginger Ale</t>
  </si>
  <si>
    <t>Orange juice 1 oz</t>
  </si>
  <si>
    <t>Gin-Cassis Fizz</t>
  </si>
  <si>
    <t>.5 oz Blackcurrant Liqueur</t>
  </si>
  <si>
    <t>1 fluid ounce vodka</t>
  </si>
  <si>
    <t>Basil Hayden Boulevardier</t>
  </si>
  <si>
    <t>Sweet Temptation</t>
  </si>
  <si>
    <t>20 ml Whipped Cream</t>
  </si>
  <si>
    <t>Trinidad</t>
  </si>
  <si>
    <t>Jeffrey Morgenthalers Eggnog Recipe</t>
  </si>
  <si>
    <t>12 large eggs</t>
  </si>
  <si>
    <t>Salmoncito</t>
  </si>
  <si>
    <t>4 to 5 ounces tonic water</t>
  </si>
  <si>
    <t>Smokey Martini</t>
  </si>
  <si>
    <t>1 cl Ardbeg 10 y.o.</t>
  </si>
  <si>
    <t>Ardbeg 10 y.o.</t>
  </si>
  <si>
    <t>0.5 ounce honey or pure maple syrup</t>
  </si>
  <si>
    <t>honey|pure maple syrup</t>
  </si>
  <si>
    <t>Aviator Fuel</t>
  </si>
  <si>
    <t>1 Part Lemonade</t>
  </si>
  <si>
    <t>Apple juice 6 oz</t>
  </si>
  <si>
    <t>Abracadabra</t>
  </si>
  <si>
    <t>Spiked Apple Cider With Caramelized Oranges Recipe</t>
  </si>
  <si>
    <t>3 ounces unfiltered apple cider</t>
  </si>
  <si>
    <t>unfiltered</t>
  </si>
  <si>
    <t>50ml Don Julio Tequila</t>
  </si>
  <si>
    <t>Don Julio Tequila</t>
  </si>
  <si>
    <t>Lemon Shot</t>
  </si>
  <si>
    <t>wedge Lemon</t>
  </si>
  <si>
    <t>Dirty Rocky Road Milkshake Shooters</t>
  </si>
  <si>
    <t>Devils Thanksgiving Jungle Juice</t>
  </si>
  <si>
    <t>Vodka 2 bottles</t>
  </si>
  <si>
    <t>1 part of milk</t>
  </si>
  <si>
    <t>The Real Harvey Wallbanger Cocktail</t>
  </si>
  <si>
    <t>4 ounces orange juice</t>
  </si>
  <si>
    <t>Beerita</t>
  </si>
  <si>
    <t>Koji-San</t>
  </si>
  <si>
    <t>5 teaspoons simple syrup</t>
  </si>
  <si>
    <t>Nutty Italian</t>
  </si>
  <si>
    <t>Dye House</t>
  </si>
  <si>
    <t>10.5 parts Gin or Aged gin or Botanical gin</t>
  </si>
  <si>
    <t>0.12 tsp. Ground cinnamon</t>
  </si>
  <si>
    <t>Honeydew Margarita</t>
  </si>
  <si>
    <t>Honeydew puree 2 oz</t>
  </si>
  <si>
    <t>Honeydew puree</t>
  </si>
  <si>
    <t>Madras</t>
  </si>
  <si>
    <t>Cranberry juice 3 oz</t>
  </si>
  <si>
    <t>Lovely Lauren</t>
  </si>
  <si>
    <t>3 oz Strawberry Daiquiri Mix</t>
  </si>
  <si>
    <t>Vermouth Cassis</t>
  </si>
  <si>
    <t>0.75 oz Creme de Cassis</t>
  </si>
  <si>
    <t>Stone Cherry Tea</t>
  </si>
  <si>
    <t>Abigail Gullo's Boulevardier</t>
  </si>
  <si>
    <t>0.75 ounces sweet vermouth, preferably La Quintinye Vermouth Rouge</t>
  </si>
  <si>
    <t>, preferably La Quintinye Vermouth Rouge</t>
  </si>
  <si>
    <t>Gerry's Margarita</t>
  </si>
  <si>
    <t>2 jiggers reposado tequila</t>
  </si>
  <si>
    <t>Ginger Buck</t>
  </si>
  <si>
    <t>0.33 part Simple Syrup</t>
  </si>
  <si>
    <t>The Baja Blast Mojito</t>
  </si>
  <si>
    <t>Baileys Glamour Shot</t>
  </si>
  <si>
    <t>Dirty South 2</t>
  </si>
  <si>
    <t>Gin Sonic</t>
  </si>
  <si>
    <t>Yuzu Twist Garnish:</t>
  </si>
  <si>
    <t>Yuzu</t>
  </si>
  <si>
    <t>Planter's Punch Cocktail</t>
  </si>
  <si>
    <t>1.5 ounces dark rum</t>
  </si>
  <si>
    <t>Lychee Rose</t>
  </si>
  <si>
    <t>1.5 ounces reposado tequila , like Tequila Komos Reposado Rosa</t>
  </si>
  <si>
    <t>, like Tequila Komos Reposado Rosa</t>
  </si>
  <si>
    <t>Italian Margarita</t>
  </si>
  <si>
    <t>0.5 oz Gold Tequila</t>
  </si>
  <si>
    <t>Peachy Pachacuti</t>
  </si>
  <si>
    <t>1 bottles [yellow tail] Pure Bright Pinot Grigio</t>
  </si>
  <si>
    <t>Pure Bright Pinot Grigio</t>
  </si>
  <si>
    <t>Black n Tan</t>
  </si>
  <si>
    <t>200 ml Pale Ale Beer</t>
  </si>
  <si>
    <t>Pale Ale Beer</t>
  </si>
  <si>
    <t>Kiwi Shot Glass</t>
  </si>
  <si>
    <t>Melon</t>
  </si>
  <si>
    <t>Kinky pink liqueur 1 oz</t>
  </si>
  <si>
    <t>Kinky pink liqueur</t>
  </si>
  <si>
    <t>Autumn Old Fashioned</t>
  </si>
  <si>
    <t>0.25 oz maple syrup</t>
  </si>
  <si>
    <t>Clover Leaf Cocktail</t>
  </si>
  <si>
    <t>37.5ml Smirnoff Red Label Vodka</t>
  </si>
  <si>
    <t>Smirnoff Red Label Vodka</t>
  </si>
  <si>
    <t>For the garnish: orange slice, fresh rosemary sprig</t>
  </si>
  <si>
    <t>orange|rosemary</t>
  </si>
  <si>
    <t>For the garnish:|</t>
  </si>
  <si>
    <t>Godiva Sultry Silhouette</t>
  </si>
  <si>
    <t>Bubblegum Cosmo</t>
  </si>
  <si>
    <t>Hubba -Bubba Gum</t>
  </si>
  <si>
    <t>Douchebag</t>
  </si>
  <si>
    <t>1 half Lime cut into quarters</t>
  </si>
  <si>
    <t>1|half</t>
  </si>
  <si>
    <t>quarters</t>
  </si>
  <si>
    <t>cut into</t>
  </si>
  <si>
    <t>0.25 oz creme de peche</t>
  </si>
  <si>
    <t>creme de peche</t>
  </si>
  <si>
    <t>Apple Pie Cocktail</t>
  </si>
  <si>
    <t>Derby Girl</t>
  </si>
  <si>
    <t>1 Mint sprig</t>
  </si>
  <si>
    <t>Yuki Ringo</t>
  </si>
  <si>
    <t>Gaz Regan's Negroni</t>
  </si>
  <si>
    <t>1 ounce sweet vermouth, preferably Dolin</t>
  </si>
  <si>
    <t>Mr. Frosty</t>
  </si>
  <si>
    <t>Jolly ranchers</t>
  </si>
  <si>
    <t>Piledriver</t>
  </si>
  <si>
    <t>Bubblegum Shaker</t>
  </si>
  <si>
    <t>Sweet Basil</t>
  </si>
  <si>
    <t>0.5 part Gin</t>
  </si>
  <si>
    <t>20 ml Green Creme de Menthe</t>
  </si>
  <si>
    <t>Green Creme de Menthe</t>
  </si>
  <si>
    <t>Kiwi Sparkle</t>
  </si>
  <si>
    <t>1 oz Kiwi Fruit Juice</t>
  </si>
  <si>
    <t>Kiwi Fruit Juice</t>
  </si>
  <si>
    <t>Nacional Daquiri</t>
  </si>
  <si>
    <t>1 oz Bols Apricot Brandy</t>
  </si>
  <si>
    <t>Bols Apricot Brandy</t>
  </si>
  <si>
    <t>Bourbon Rose</t>
  </si>
  <si>
    <t>NOgroni</t>
  </si>
  <si>
    <t>25ml Seedlip Spice</t>
  </si>
  <si>
    <t>Seedlip Spice</t>
  </si>
  <si>
    <t>Australian Southside</t>
  </si>
  <si>
    <t>45ml Aviation Gin</t>
  </si>
  <si>
    <t>Aviation Gin</t>
  </si>
  <si>
    <t>QF</t>
  </si>
  <si>
    <t>1 part of Kahlua</t>
  </si>
  <si>
    <t>Gooney Goo-Goo</t>
  </si>
  <si>
    <t>1 part Port or White Port</t>
  </si>
  <si>
    <t>Port or White Port</t>
  </si>
  <si>
    <t>0.5 teaspoon dried gentian root</t>
  </si>
  <si>
    <t>gentian root</t>
  </si>
  <si>
    <t>Spooky Spiced Espresso Martini</t>
  </si>
  <si>
    <t>25ml Fresh Espresso</t>
  </si>
  <si>
    <t>Summer Berry Sling</t>
  </si>
  <si>
    <t>10 ml Elderflower Cordial</t>
  </si>
  <si>
    <t>Anais Nin</t>
  </si>
  <si>
    <t>1 ounce creme de banane liqueur (such as Giffard)</t>
  </si>
  <si>
    <t>creme de banane liqueu</t>
  </si>
  <si>
    <t>(such as Giffard)</t>
  </si>
  <si>
    <t>Rose City</t>
  </si>
  <si>
    <t>1 ounce dry vermouth, preferably Dolin</t>
  </si>
  <si>
    <t>0.33 oz Lemon Juice</t>
  </si>
  <si>
    <t>Princess Pleasure Cocktail</t>
  </si>
  <si>
    <t>2 oz Coconut Cream</t>
  </si>
  <si>
    <t>3 cubes ice</t>
  </si>
  <si>
    <t>2 parts Maker's Mark Bourbon</t>
  </si>
  <si>
    <t>Afterglow</t>
  </si>
  <si>
    <t>1 part Grenadine</t>
  </si>
  <si>
    <t>2 tablespoons hot water</t>
  </si>
  <si>
    <t>Australian Negroni</t>
  </si>
  <si>
    <t>30ml Campari</t>
  </si>
  <si>
    <t>Ladies of Manhattan</t>
  </si>
  <si>
    <t>Spiced cherry bitters 4 drops</t>
  </si>
  <si>
    <t>Spiced cherry bitters</t>
  </si>
  <si>
    <t>Fresh Air</t>
  </si>
  <si>
    <t>1 Gin</t>
  </si>
  <si>
    <t>Jolly Rancher Shot Glasses</t>
  </si>
  <si>
    <t>Baileys Comet Shot</t>
  </si>
  <si>
    <t>151 proof rum 1 splash</t>
  </si>
  <si>
    <t>Bubble Gum Shot</t>
  </si>
  <si>
    <t>Sweet and sour 1 part</t>
  </si>
  <si>
    <t>Gin Smash</t>
  </si>
  <si>
    <t>1 cube Sugar</t>
  </si>
  <si>
    <t>cube Sugar</t>
  </si>
  <si>
    <t>Cradle to the Grave</t>
  </si>
  <si>
    <t>Dan Sabo's Whiskey Sour</t>
  </si>
  <si>
    <t>0.5 ounce rich simple syrup (2:1, sugar:water)</t>
  </si>
  <si>
    <t>(2:1, sugar:water)</t>
  </si>
  <si>
    <t>Jello Pumpkin Pie</t>
  </si>
  <si>
    <t>Heavy whipping cream 4 oz</t>
  </si>
  <si>
    <t>Scorpion Bowl</t>
  </si>
  <si>
    <t>Kings of Winter</t>
  </si>
  <si>
    <t>0.25tsp grate fresh nutmeg</t>
  </si>
  <si>
    <t>grate</t>
  </si>
  <si>
    <t>Bimbo Juice</t>
  </si>
  <si>
    <t>1 qt Lemonade</t>
  </si>
  <si>
    <t>The Leap Frog</t>
  </si>
  <si>
    <t>Bakunin</t>
  </si>
  <si>
    <t>.5 Pint Cider Beer</t>
  </si>
  <si>
    <t>Cider Beer</t>
  </si>
  <si>
    <t>Frozen Angelo Azzurro</t>
  </si>
  <si>
    <t>2.5 ounces gin, preferably Dorothy Parker</t>
  </si>
  <si>
    <t>, preferably Dorothy Parker</t>
  </si>
  <si>
    <t>6 basil leaves</t>
  </si>
  <si>
    <t>Chocolate Espresso</t>
  </si>
  <si>
    <t>0.25 oz Chocolate Liqueur</t>
  </si>
  <si>
    <t>Run the Julius</t>
  </si>
  <si>
    <t>1.5 ounces Topo Chico</t>
  </si>
  <si>
    <t>Milli Vanilli</t>
  </si>
  <si>
    <t>3-5 oz Cola</t>
  </si>
  <si>
    <t>Sound &amp; Fury</t>
  </si>
  <si>
    <t>0.5 ounce tomatillo juice</t>
  </si>
  <si>
    <t>tomatillo juice</t>
  </si>
  <si>
    <t>Clover Fizz</t>
  </si>
  <si>
    <t>3 Mint leaves</t>
  </si>
  <si>
    <t>Ice, for serving (like clear ice )</t>
  </si>
  <si>
    <t>, for serving (like clear ice )</t>
  </si>
  <si>
    <t>Joe Campanales Negroni Sbagliato</t>
  </si>
  <si>
    <t>1 ounce sparkling water</t>
  </si>
  <si>
    <t>3 cups pinot grigio, divided</t>
  </si>
  <si>
    <t>pinot grigio</t>
  </si>
  <si>
    <t>Frozen Dreamsicle</t>
  </si>
  <si>
    <t>High Ball Stepper</t>
  </si>
  <si>
    <t>1 can Berry Flavored sparkling water</t>
  </si>
  <si>
    <t>Berry Flavored sparkling water</t>
  </si>
  <si>
    <t>0.25 cup cold club soda</t>
  </si>
  <si>
    <t>Fernet Swizzle</t>
  </si>
  <si>
    <t>Dickheads Delight</t>
  </si>
  <si>
    <t>1 Pinch Cinnamon</t>
  </si>
  <si>
    <t>Black Cossack</t>
  </si>
  <si>
    <t>Cocktail Artist Easy Frozen Margarita</t>
  </si>
  <si>
    <t>0.75 cl agave sirup</t>
  </si>
  <si>
    <t>agave sirup</t>
  </si>
  <si>
    <t>1 quart water</t>
  </si>
  <si>
    <t>quart water</t>
  </si>
  <si>
    <t>T &amp; Tea</t>
  </si>
  <si>
    <t>1 Dash of Angostura Bitters</t>
  </si>
  <si>
    <t>Harlem World Seven</t>
  </si>
  <si>
    <t>fill with Gin</t>
  </si>
  <si>
    <t>Bazooka Joe Bomb</t>
  </si>
  <si>
    <t>3 dashes Creole bitters or Aromatic bitters or Cardamom bitters or Orange bitters</t>
  </si>
  <si>
    <t>Creole bitters|Aromatic bitters|Cardamom bitters|Orange bitters</t>
  </si>
  <si>
    <t>0.5 ounce green olive brine, from the jar</t>
  </si>
  <si>
    <t>green olive brine</t>
  </si>
  <si>
    <t>, from the jar</t>
  </si>
  <si>
    <t>1 tablespoons pumpkin puree</t>
  </si>
  <si>
    <t>pumpkin puree</t>
  </si>
  <si>
    <t>Room for Improvements Oaxaca Old-Fashioned</t>
  </si>
  <si>
    <t>0.5 ounce mezcal, preferably Banhez</t>
  </si>
  <si>
    <t>, preferably Banhez</t>
  </si>
  <si>
    <t>Orange Bitters Martini</t>
  </si>
  <si>
    <t>1 olive, for garnish</t>
  </si>
  <si>
    <t>olive</t>
  </si>
  <si>
    <t>Elderflower and Gin Soda</t>
  </si>
  <si>
    <t>Halloween Margarita</t>
  </si>
  <si>
    <t>4 cups apple cider</t>
  </si>
  <si>
    <t>Saisonniere</t>
  </si>
  <si>
    <t>0.75 part Pear brandy</t>
  </si>
  <si>
    <t>Pear brandy</t>
  </si>
  <si>
    <t>White Tea Sangria</t>
  </si>
  <si>
    <t>2 kiwis, washed and sliced</t>
  </si>
  <si>
    <t>kiwis</t>
  </si>
  <si>
    <t>, washed and</t>
  </si>
  <si>
    <t>0.33 cups Lemon Juice</t>
  </si>
  <si>
    <t>French Toast Flip</t>
  </si>
  <si>
    <t>1 cup Orange juice</t>
  </si>
  <si>
    <t>2 teaspoons prepared horseradish</t>
  </si>
  <si>
    <t>Naughty Neapolitan Shots</t>
  </si>
  <si>
    <t>Under the Host Martini From Superfrico</t>
  </si>
  <si>
    <t>1 oz house olive brine</t>
  </si>
  <si>
    <t>house olive brine</t>
  </si>
  <si>
    <t>Mexican Chocolate Old-Fashioned</t>
  </si>
  <si>
    <t>2 Dashes of Chocolate Bitters</t>
  </si>
  <si>
    <t>Don`s Rusty Nail</t>
  </si>
  <si>
    <t>Camparijito</t>
  </si>
  <si>
    <t>3 big strawberries</t>
  </si>
  <si>
    <t>big strawberries</t>
  </si>
  <si>
    <t>1.5 to 2 ounces tequila</t>
  </si>
  <si>
    <t>The Huntsman</t>
  </si>
  <si>
    <t>Spiced Sangria</t>
  </si>
  <si>
    <t>Fever-Tree Spiced Orange Ginger Ale</t>
  </si>
  <si>
    <t>Jack Daniel's Lynchburg Lemonade</t>
  </si>
  <si>
    <t>1.5 ounces Tennessee whiskey</t>
  </si>
  <si>
    <t>Tennessee whiskey</t>
  </si>
  <si>
    <t>Cock-A-Bendy</t>
  </si>
  <si>
    <t>Hibiscus Syrup</t>
  </si>
  <si>
    <t>1 lemon, zested</t>
  </si>
  <si>
    <t>zested</t>
  </si>
  <si>
    <t>30ml Tanqueray London Dry Gin</t>
  </si>
  <si>
    <t>Bonnie's Long Island Iced Tea</t>
  </si>
  <si>
    <t>6 ounces cola, preferably Mexican Coca-Cola</t>
  </si>
  <si>
    <t>, preferably Mexican Coca-Cola</t>
  </si>
  <si>
    <t>8 oz lemon or lemon-lime soda</t>
  </si>
  <si>
    <t>lemon or lemon-lime soda</t>
  </si>
  <si>
    <t>Cinnamon Apple Pie</t>
  </si>
  <si>
    <t>Sweet &amp; sour 1 oz</t>
  </si>
  <si>
    <t>Bruce Doucet</t>
  </si>
  <si>
    <t>Island Daiquiri</t>
  </si>
  <si>
    <t>Belmont Jewel</t>
  </si>
  <si>
    <t>1 oz pomegranate juice</t>
  </si>
  <si>
    <t>Blue Zero</t>
  </si>
  <si>
    <t>Trader Vics Grog</t>
  </si>
  <si>
    <t>1 part Passion fruit syrup or Passion fruit puree or Passion fruit juice</t>
  </si>
  <si>
    <t>Passion fruit syrup|Passion fruit puree|Passion fruit juice</t>
  </si>
  <si>
    <t>Dry Rob Roy</t>
  </si>
  <si>
    <t>2.5 oz Scotch</t>
  </si>
  <si>
    <t>Cioccolato e Cocco</t>
  </si>
  <si>
    <t>Rum &amp; Coke</t>
  </si>
  <si>
    <t>2 ounces rum</t>
  </si>
  <si>
    <t>Royale</t>
  </si>
  <si>
    <t>3 parts Ginger ale</t>
  </si>
  <si>
    <t>La Paloma Suprema</t>
  </si>
  <si>
    <t>125ml Grapefruit soda</t>
  </si>
  <si>
    <t>0.5 lime</t>
  </si>
  <si>
    <t>Victor</t>
  </si>
  <si>
    <t>Cointreau (or triple sec) 1 oz</t>
  </si>
  <si>
    <t>Cointreau|triple sec</t>
  </si>
  <si>
    <t>Rangpur Gimlet</t>
  </si>
  <si>
    <t>0.5 cups Caster Sugar</t>
  </si>
  <si>
    <t>10.5 oz dry gin</t>
  </si>
  <si>
    <t>Bliss</t>
  </si>
  <si>
    <t>170 grams crushed ice</t>
  </si>
  <si>
    <t>Slammin` Sammy</t>
  </si>
  <si>
    <t>Cranberry-Apple Juice</t>
  </si>
  <si>
    <t>Whiskey Passion Cocktail</t>
  </si>
  <si>
    <t>1.5 oz rye whiskey</t>
  </si>
  <si>
    <t>Berry White</t>
  </si>
  <si>
    <t>0.25 part Strawberry Lemon Shrub</t>
  </si>
  <si>
    <t>Strawberry Lemon Shrub</t>
  </si>
  <si>
    <t>2 dashes Orange bitters or Cherry bitters</t>
  </si>
  <si>
    <t>Orange bitters|Cherry bitters</t>
  </si>
  <si>
    <t>Blanco Spiced Citrus</t>
  </si>
  <si>
    <t>70ml Club soda</t>
  </si>
  <si>
    <t>Triple sec 2 oz</t>
  </si>
  <si>
    <t>Baileys Bash</t>
  </si>
  <si>
    <t>Heart of Glass</t>
  </si>
  <si>
    <t>15ml Hard Dry Cider</t>
  </si>
  <si>
    <t>Hard Dry Cider</t>
  </si>
  <si>
    <t>Feeling Without Touching</t>
  </si>
  <si>
    <t>0.25 ounce arak, preferably Kafroun</t>
  </si>
  <si>
    <t>arak</t>
  </si>
  <si>
    <t>, preferably Kafroun</t>
  </si>
  <si>
    <t>0.33 ounce falernum, preferably John D Taylors Velvet Falernum</t>
  </si>
  <si>
    <t>, preferably John D Taylors Velvet Falernum</t>
  </si>
  <si>
    <t>Rob Roy Cocktail</t>
  </si>
  <si>
    <t>1.5 fluid ounces Scotch whisky</t>
  </si>
  <si>
    <t>1.5 ounces orange juice, freshly squeezed</t>
  </si>
  <si>
    <t>0.5 shot Cognac</t>
  </si>
  <si>
    <t>0.25 teaspoon coriander seeds</t>
  </si>
  <si>
    <t>Grinchhopper: A Grasshopper Recipe</t>
  </si>
  <si>
    <t>Zig Zags Hot Buttered Rum Recipe</t>
  </si>
  <si>
    <t>3 Tbsp. hot buttered rum batter</t>
  </si>
  <si>
    <t>buttered rum batter</t>
  </si>
  <si>
    <t>Very Berry Sangria</t>
  </si>
  <si>
    <t>Caribbean Mule</t>
  </si>
  <si>
    <t>Captain and Tonic</t>
  </si>
  <si>
    <t>Leanne Favres Oaxaca Old-Fashioned</t>
  </si>
  <si>
    <t>scant teaspoon amber blue agave nectar</t>
  </si>
  <si>
    <t>amber blue agave nectar</t>
  </si>
  <si>
    <t xml:space="preserve">scant </t>
  </si>
  <si>
    <t>0.25 cup club soda, or as needed</t>
  </si>
  <si>
    <t>0.5 part fresh Lemon Juice</t>
  </si>
  <si>
    <t>0.25 tsp. edible pearl dust (optional)</t>
  </si>
  <si>
    <t>edible pearl dust</t>
  </si>
  <si>
    <t>(optional)</t>
  </si>
  <si>
    <t>2 tbsp White Creme De Cacao</t>
  </si>
  <si>
    <t>Ode to Viceroy Scotch Cocktail</t>
  </si>
  <si>
    <t>1.5 oz blended scotch</t>
  </si>
  <si>
    <t>1 oz Peach &amp; Cinnamon Whiskey</t>
  </si>
  <si>
    <t>Peach &amp; Cinnamon Whiskey</t>
  </si>
  <si>
    <t>Oatmeal cookies</t>
  </si>
  <si>
    <t>1 shot Egg White</t>
  </si>
  <si>
    <t>Jardin Epice</t>
  </si>
  <si>
    <t>0.5 part Elderflower liqueur</t>
  </si>
  <si>
    <t>Saffron Freezer Martini</t>
  </si>
  <si>
    <t>750 milliliters saffron-infused gin</t>
  </si>
  <si>
    <t>saffron-infused gin</t>
  </si>
  <si>
    <t>50 ml of Gin</t>
  </si>
  <si>
    <t>50ml White Grape Juice or Apple Juice</t>
  </si>
  <si>
    <t>White Grape Juice|Apple Juice</t>
  </si>
  <si>
    <t>20 ml Sweet Vermouth</t>
  </si>
  <si>
    <t>30 ml Peach Schnapps</t>
  </si>
  <si>
    <t>0.12 teaspoon onion powder</t>
  </si>
  <si>
    <t>onion powder</t>
  </si>
  <si>
    <t>1 fluid ounce tequila</t>
  </si>
  <si>
    <t>to with Soda Water</t>
  </si>
  <si>
    <t>to with</t>
  </si>
  <si>
    <t>1.5 oz Grain Alcohol</t>
  </si>
  <si>
    <t>Nice (by Way of Antibes)</t>
  </si>
  <si>
    <t>2 parts Gin or Aged gin or Botanical gin</t>
  </si>
  <si>
    <t>White Negroni Daiquiri</t>
  </si>
  <si>
    <t>3 dashes orange bitters</t>
  </si>
  <si>
    <t>Midori Pot of Gold</t>
  </si>
  <si>
    <t>0.5 ounce rich simple syrup (2:1, sugar to water)</t>
  </si>
  <si>
    <t>.5 oz Watermelon Schnapps</t>
  </si>
  <si>
    <t>4 6 oz Hot Chocolate</t>
  </si>
  <si>
    <t>Kapre</t>
  </si>
  <si>
    <t>50ml Ketel One Vodka - infused with toasted coconut, dill, caraway, anise &amp; lemon</t>
  </si>
  <si>
    <t xml:space="preserve"> - infused with toasted coconut, dill, caraway, anise &amp; lemon</t>
  </si>
  <si>
    <t>Of salt 1 dash</t>
  </si>
  <si>
    <t>Melon Ball</t>
  </si>
  <si>
    <t>2 parts Midori Melon Liqueur</t>
  </si>
  <si>
    <t>Midori Melon Liqueur</t>
  </si>
  <si>
    <t>Thai Basil Mojito</t>
  </si>
  <si>
    <t>Classic Gimlet Cocktail</t>
  </si>
  <si>
    <t>0.75 ounce lime cordial</t>
  </si>
  <si>
    <t>lime cordial</t>
  </si>
  <si>
    <t>4 ounces fresh ginger , peeled and sliced</t>
  </si>
  <si>
    <t>ginger</t>
  </si>
  <si>
    <t>peeled|sliced</t>
  </si>
  <si>
    <t>Baileys Pudding Pop</t>
  </si>
  <si>
    <t>Whipped topping 0.5 cup</t>
  </si>
  <si>
    <t>Drunken Vodka Popsicle Slushie</t>
  </si>
  <si>
    <t>Red popsicles</t>
  </si>
  <si>
    <t>.33 oz Cinnamon Schnapps</t>
  </si>
  <si>
    <t>0.5 parts Barsmith Old Fashioned Syrup</t>
  </si>
  <si>
    <t>Barsmith Old Fashioned Syrup</t>
  </si>
  <si>
    <t>Matthew Belangers Painkiller</t>
  </si>
  <si>
    <t>0.75 ounce overproof Jamaican rum, preferably Smith &amp; Cross</t>
  </si>
  <si>
    <t>White Sangria</t>
  </si>
  <si>
    <t>1 medium peach , pitted and sliced</t>
  </si>
  <si>
    <t>pitted|sliced</t>
  </si>
  <si>
    <t>Blueberry Mule</t>
  </si>
  <si>
    <t>12.5 ml Blueberry Puree</t>
  </si>
  <si>
    <t>Fuck Me Over Again</t>
  </si>
  <si>
    <t>Attaboys Dark n Stormy</t>
  </si>
  <si>
    <t>3 ounces soda water</t>
  </si>
  <si>
    <t>Sepultura Bomb</t>
  </si>
  <si>
    <t>Absinthe 0.5 shot</t>
  </si>
  <si>
    <t>All Night Long</t>
  </si>
  <si>
    <t>Pisang Garuda</t>
  </si>
  <si>
    <t>Drunken Smores</t>
  </si>
  <si>
    <t>Heavy whipping cream 1 oz</t>
  </si>
  <si>
    <t>Russian-Irish Coffee</t>
  </si>
  <si>
    <t>Australian Refresh Button</t>
  </si>
  <si>
    <t>15ml Egg White</t>
  </si>
  <si>
    <t>2 to 3 ounces ginger ale, to taste</t>
  </si>
  <si>
    <t>Woo-Woo</t>
  </si>
  <si>
    <t>Good Stuff</t>
  </si>
  <si>
    <t>3 oz Grape Juice</t>
  </si>
  <si>
    <t>Hot buttered rum</t>
  </si>
  <si>
    <t>2 tsp Brown Sugar</t>
  </si>
  <si>
    <t>Brandy Slapper</t>
  </si>
  <si>
    <t>.5 tbsp Sugar</t>
  </si>
  <si>
    <t>Rum Old-Fashioned</t>
  </si>
  <si>
    <t>White Russian Cocktail</t>
  </si>
  <si>
    <t>Piston Bully</t>
  </si>
  <si>
    <t>6 oz of coffee</t>
  </si>
  <si>
    <t>Joe's Perfect Anti-Sour Mix Margarita</t>
  </si>
  <si>
    <t>2 cups ice cubes, or as needed, divided</t>
  </si>
  <si>
    <t>, or as needed, divided</t>
  </si>
  <si>
    <t>3 ounces ginger beer</t>
  </si>
  <si>
    <t>Donkey Punch</t>
  </si>
  <si>
    <t>3 Part Orange Juice</t>
  </si>
  <si>
    <t>Kiss Of An Angel</t>
  </si>
  <si>
    <t>Dessert Cocktail: ame sur</t>
  </si>
  <si>
    <t>1.25 oz cold-brew coffee</t>
  </si>
  <si>
    <t>0.75 oz of campari</t>
  </si>
  <si>
    <t>campari</t>
  </si>
  <si>
    <t>Lone Ranger</t>
  </si>
  <si>
    <t>1.75oz Don Julio Anejo Tequila</t>
  </si>
  <si>
    <t>Don Julio Anejo Tequila</t>
  </si>
  <si>
    <t>My Perfect Lady</t>
  </si>
  <si>
    <t>1 Dash of lavender bitters</t>
  </si>
  <si>
    <t>lavender bitters</t>
  </si>
  <si>
    <t>Iced Coffee</t>
  </si>
  <si>
    <t>0.25 cup hot Water</t>
  </si>
  <si>
    <t>Spiked Hot Apple Cider</t>
  </si>
  <si>
    <t>1 Orange Peel</t>
  </si>
  <si>
    <t>Classic Whiskey Ginger</t>
  </si>
  <si>
    <t>2 ounces rye whiskey (or bourbon or Irish whiskey)</t>
  </si>
  <si>
    <t>rye whiskey|bourbon|Irish whiskey</t>
  </si>
  <si>
    <t>Latitude 29s Mr. Curtis Recipe</t>
  </si>
  <si>
    <t>0.75 oz Plantation O.F.T.D. Overproof rum</t>
  </si>
  <si>
    <t>Plantation O.F.T.D. Overproof rum</t>
  </si>
  <si>
    <t>1 oz Elderflower Liqueur</t>
  </si>
  <si>
    <t>0.5 ounce fino sherry, preferably Cesar Florido</t>
  </si>
  <si>
    <t>, preferably Cesar Florido</t>
  </si>
  <si>
    <t>50ml Ketel One Citroen</t>
  </si>
  <si>
    <t>Ketel One Citroen</t>
  </si>
  <si>
    <t>Santoni Negroni</t>
  </si>
  <si>
    <t>1 parts Grassotti Vermouth di Torino Rosso</t>
  </si>
  <si>
    <t>Grassotti Vermouth di Torino Rosso</t>
  </si>
  <si>
    <t>4 oz Lime Juice</t>
  </si>
  <si>
    <t>Salt &amp; Ash</t>
  </si>
  <si>
    <t>Gordons Sicilian Lemon Gin Spritz</t>
  </si>
  <si>
    <t>1 Lemon wheel</t>
  </si>
  <si>
    <t>Tangerine Chiller</t>
  </si>
  <si>
    <t>10ml Double Cream</t>
  </si>
  <si>
    <t>Caribbean Milk Punch</t>
  </si>
  <si>
    <t>Dash of Angostura Bitters</t>
  </si>
  <si>
    <t>Everclear 1 bottle</t>
  </si>
  <si>
    <t>A Wish for Grace</t>
  </si>
  <si>
    <t>10.5 parts Aged rum or Spiced rum</t>
  </si>
  <si>
    <t>Aged rum or Spiced rum</t>
  </si>
  <si>
    <t>2 parts Cruzan Aged Light Rum</t>
  </si>
  <si>
    <t>Margarita Popsicles</t>
  </si>
  <si>
    <t>5 cups white sugar</t>
  </si>
  <si>
    <t>Mango Seltzer Sunrise</t>
  </si>
  <si>
    <t>Mint leaf and mango wedge, for garnish</t>
  </si>
  <si>
    <t>Mint leaf|mango wedge</t>
  </si>
  <si>
    <t>Clubman Winter Spiced Espresso Martini</t>
  </si>
  <si>
    <t>25ml Creme de Cacao</t>
  </si>
  <si>
    <t>Cacique Long Island Iced Tea</t>
  </si>
  <si>
    <t>10ml Smirnoff</t>
  </si>
  <si>
    <t>Fishbowl Shots</t>
  </si>
  <si>
    <t>Maraschino Spritz</t>
  </si>
  <si>
    <t>Smurf Shots</t>
  </si>
  <si>
    <t>Pussy Juice</t>
  </si>
  <si>
    <t>1 tsp of Lime Juice</t>
  </si>
  <si>
    <t>4 whole allspice</t>
  </si>
  <si>
    <t>Ketel Oranje Cosmopolitan</t>
  </si>
  <si>
    <t>40ml Cranberry juice</t>
  </si>
  <si>
    <t>Blue Dog Zombie</t>
  </si>
  <si>
    <t>25 Pineapple Juice</t>
  </si>
  <si>
    <t>Vodka Gummy Bear Popsicles</t>
  </si>
  <si>
    <t>0.5 oz maraschino liqueur</t>
  </si>
  <si>
    <t>Adult Hot Chocolate</t>
  </si>
  <si>
    <t>1.5 oz Peppermint Schnapps</t>
  </si>
  <si>
    <t>Scorpion</t>
  </si>
  <si>
    <t>4 oz unsweetened iced tea</t>
  </si>
  <si>
    <t>Reposado tequila 0.5 oz</t>
  </si>
  <si>
    <t>Vodka Cranberry (New &amp; Improved!)</t>
  </si>
  <si>
    <t>3 ounces 100% unsweetened cranberry juice (do not use sweetened!)</t>
  </si>
  <si>
    <t>100% unsweetened cranberry juice</t>
  </si>
  <si>
    <t>(do not use sweetened!)</t>
  </si>
  <si>
    <t>Wild White Slippery Mudslide</t>
  </si>
  <si>
    <t>Grizzly Bear</t>
  </si>
  <si>
    <t>25ml Gordon's Sloe Gin</t>
  </si>
  <si>
    <t>Gordon's Sloe Gin</t>
  </si>
  <si>
    <t>3- 4 oz Brandy</t>
  </si>
  <si>
    <t>1 teaspoon acid lime cordial (see Editor's Note)</t>
  </si>
  <si>
    <t>acid lime cordial</t>
  </si>
  <si>
    <t>Whiskey Milk Punch</t>
  </si>
  <si>
    <t>8 oz Milk</t>
  </si>
  <si>
    <t>Tuxedo</t>
  </si>
  <si>
    <t>Gorilla Milk 2</t>
  </si>
  <si>
    <t>Norteno: A Spicy Vodka Cocktail</t>
  </si>
  <si>
    <t>2 oz St. George Spirits Green Chile Vodka</t>
  </si>
  <si>
    <t>St. George Spirits Green Chile Vodka</t>
  </si>
  <si>
    <t>1 Lemon Wheel</t>
  </si>
  <si>
    <t>1 oz simple syrup , to taste</t>
  </si>
  <si>
    <t>Chilled Chocolate Grasshopper</t>
  </si>
  <si>
    <t>1 oz Peppermint Schnapps</t>
  </si>
  <si>
    <t>Zentini</t>
  </si>
  <si>
    <t>Time For Tea</t>
  </si>
  <si>
    <t>Banana Bliss</t>
  </si>
  <si>
    <t>Orange blossom water , to mist</t>
  </si>
  <si>
    <t>Orange blossom water</t>
  </si>
  <si>
    <t xml:space="preserve"> , to mist</t>
  </si>
  <si>
    <t>Ward 8 Cocktail</t>
  </si>
  <si>
    <t>Beer Snow Cones</t>
  </si>
  <si>
    <t>Chippy</t>
  </si>
  <si>
    <t>1-2 Splash Lime Juice</t>
  </si>
  <si>
    <t>Demogorgon cocktail</t>
  </si>
  <si>
    <t>1 cups Mixed Berries</t>
  </si>
  <si>
    <t>1.25 ounces vodka , like J. Riegers Premium Wheat Vodka</t>
  </si>
  <si>
    <t>, like J. Riegers Premium Wheat Vodka</t>
  </si>
  <si>
    <t>4 large fresh peaches - peeled, pitted, and sliced</t>
  </si>
  <si>
    <t xml:space="preserve">peaches </t>
  </si>
  <si>
    <t>peeled|pitted|sliced</t>
  </si>
  <si>
    <t>.5 oz Kiwi Fruit Juice</t>
  </si>
  <si>
    <t>Cocktail Artist Strawberry Margarita Jello Shots</t>
  </si>
  <si>
    <t>Pink Flamingo 2</t>
  </si>
  <si>
    <t>0.25 ounce creme de cacao liqueur, optional</t>
  </si>
  <si>
    <t>creme de cacao liqueur</t>
  </si>
  <si>
    <t>2 ice cubes</t>
  </si>
  <si>
    <t>Holiday Rush Mocktail</t>
  </si>
  <si>
    <t>Cucumber Gin Fizz</t>
  </si>
  <si>
    <t>Splenda zero stevia liquid sweetener 0.25 oz</t>
  </si>
  <si>
    <t>Splenda zero stevia liquid sweetener</t>
  </si>
  <si>
    <t>Cranberry juice 1 oz</t>
  </si>
  <si>
    <t>Flaming Jagerbomb</t>
  </si>
  <si>
    <t>1 Can Energy Soda</t>
  </si>
  <si>
    <t>Red Headed Ginger</t>
  </si>
  <si>
    <t>1 oz Bols Genever 21</t>
  </si>
  <si>
    <t>Bols Genever 21</t>
  </si>
  <si>
    <t>Andes Ratt</t>
  </si>
  <si>
    <t>5ml Dry Vermouth</t>
  </si>
  <si>
    <t>30 ml Gomme Syrup</t>
  </si>
  <si>
    <t>Gomme Syrup</t>
  </si>
  <si>
    <t>Snake Bit Sprout: A Chamomile Cocktail</t>
  </si>
  <si>
    <t>10.5 oz dry cider</t>
  </si>
  <si>
    <t>dry cider</t>
  </si>
  <si>
    <t>1 Egg white</t>
  </si>
  <si>
    <t>Suze in Paradise</t>
  </si>
  <si>
    <t>0.5 ounce creme de framboise or creme de cassis</t>
  </si>
  <si>
    <t>creme de framboise or creme de cassis</t>
  </si>
  <si>
    <t>Grated chocolate, for garnish</t>
  </si>
  <si>
    <t>Grated chocolate</t>
  </si>
  <si>
    <t>Gold Label Reserve Gold Dust</t>
  </si>
  <si>
    <t>15ml Peach Schnapps</t>
  </si>
  <si>
    <t>Non-Alcoholic Old Fashioned</t>
  </si>
  <si>
    <t>0.5 parts Old Fashioned syrup</t>
  </si>
  <si>
    <t>Old Fashioned syrup</t>
  </si>
  <si>
    <t>Blue In The Face</t>
  </si>
  <si>
    <t>Tight Snatch</t>
  </si>
  <si>
    <t>Firish Cream</t>
  </si>
  <si>
    <t>Green creme de menthe 1 part</t>
  </si>
  <si>
    <t>Green creme de menthe</t>
  </si>
  <si>
    <t>Amethyst Mist</t>
  </si>
  <si>
    <t>Cherry Pucker</t>
  </si>
  <si>
    <t>2 oz Cherry Brandy</t>
  </si>
  <si>
    <t>Stiletta Negroni-Inspired Recipe</t>
  </si>
  <si>
    <t>1 oz star anise-infused Campari</t>
  </si>
  <si>
    <t>star anise-infused Campari</t>
  </si>
  <si>
    <t>1.5 ounces Brew Dr. Ginger lemon kombucha</t>
  </si>
  <si>
    <t>Brew Dr. Ginger lemon kombucha</t>
  </si>
  <si>
    <t>4 parts Jim Beam Original</t>
  </si>
  <si>
    <t>0.33 oz Sugar Syrup (2:1)</t>
  </si>
  <si>
    <t>(2:1)</t>
  </si>
  <si>
    <t>4 oz Ginger Ale</t>
  </si>
  <si>
    <t>Shochu Bloody Mary</t>
  </si>
  <si>
    <t>1 pinch sea salt</t>
  </si>
  <si>
    <t>Enchanted Rose</t>
  </si>
  <si>
    <t>Whiskey 1.5 oz</t>
  </si>
  <si>
    <t>Careful Cat</t>
  </si>
  <si>
    <t>1 milliliter (a scant 0.25 teaspoon) rose water</t>
  </si>
  <si>
    <t>mililter</t>
  </si>
  <si>
    <t>rose water</t>
  </si>
  <si>
    <t>(a scant 0.25 teaspoon)</t>
  </si>
  <si>
    <t>0.75 part Blanco tequila or Aged tequila</t>
  </si>
  <si>
    <t>The Mexican Rose</t>
  </si>
  <si>
    <t>10ml Fino Sherry</t>
  </si>
  <si>
    <t>Fino Sherry</t>
  </si>
  <si>
    <t>45ml Captain Morgan White Rum</t>
  </si>
  <si>
    <t>Captain Morgan White Rum</t>
  </si>
  <si>
    <t>1 cup Yoghurt</t>
  </si>
  <si>
    <t>Bitchin Orange</t>
  </si>
  <si>
    <t>Spice Espresso Martini</t>
  </si>
  <si>
    <t>3 coffee beans, for garnish</t>
  </si>
  <si>
    <t>Neal Bodenheimers Old Hickory</t>
  </si>
  <si>
    <t>1 dash Regans' orange bitters</t>
  </si>
  <si>
    <t>Regans' orange bitters</t>
  </si>
  <si>
    <t>Rudolph the Red Nose Reindeer</t>
  </si>
  <si>
    <t>Aperitivo</t>
  </si>
  <si>
    <t>2.25 oz Gin</t>
  </si>
  <si>
    <t>Orange juice 0.5 oz</t>
  </si>
  <si>
    <t>Bahia Breeze</t>
  </si>
  <si>
    <t>1.5 oz of Cranberry Juice</t>
  </si>
  <si>
    <t>The Negroni Cocktail</t>
  </si>
  <si>
    <t>1 ounce gin</t>
  </si>
  <si>
    <t>Bar Agricoles El Presidente Cocktail</t>
  </si>
  <si>
    <t>0.5 oz blanc vermouth</t>
  </si>
  <si>
    <t>30ml Cranberry Juice</t>
  </si>
  <si>
    <t>Malibu-Bailey's Colada</t>
  </si>
  <si>
    <t>0.5 cup Irish cream liqueur</t>
  </si>
  <si>
    <t>0.5 ounce Somrus Mango Cream Liqueur</t>
  </si>
  <si>
    <t>Somrus Mango Cream Liqueur</t>
  </si>
  <si>
    <t>Woo-Woo Royale</t>
  </si>
  <si>
    <t>25ml Smirnoff No.21 Vodka</t>
  </si>
  <si>
    <t>Smirnoff No.21 Vodka</t>
  </si>
  <si>
    <t>MARTINI &amp; ROSSI Vermuttino</t>
  </si>
  <si>
    <t>1 ounce MARTINI &amp; ROSSI Riserva Speciale Ambrato Vermouth</t>
  </si>
  <si>
    <t>MARTINI &amp; ROSSI Riserva Speciale Ambrato Vermouth</t>
  </si>
  <si>
    <t>Coconut Willie From Hawaiian Room</t>
  </si>
  <si>
    <t>0.5 tsp fine sugar</t>
  </si>
  <si>
    <t>fine sugar</t>
  </si>
  <si>
    <t>Elven Blood</t>
  </si>
  <si>
    <t>5 oz Cranberry-Raspberry juice</t>
  </si>
  <si>
    <t>Cranberry-Raspberry juice</t>
  </si>
  <si>
    <t>Vermut Preparado</t>
  </si>
  <si>
    <t>0.25 oz curacao</t>
  </si>
  <si>
    <t>1.5 ounces orange juice</t>
  </si>
  <si>
    <t>Pisco Negroni: Oro en Paz</t>
  </si>
  <si>
    <t>1 oz Carpano Bianco</t>
  </si>
  <si>
    <t>Carpano Bianco</t>
  </si>
  <si>
    <t>Elks Own</t>
  </si>
  <si>
    <t>1 part Port</t>
  </si>
  <si>
    <t>Port</t>
  </si>
  <si>
    <t>Royal Bermuda Yacht Club</t>
  </si>
  <si>
    <t>2 parts Aged rum or Demerara rum or Light rum</t>
  </si>
  <si>
    <t>Aged rum|Demerara rum|Light rum</t>
  </si>
  <si>
    <t>Key West Song</t>
  </si>
  <si>
    <t>Godiva Chocolate Freeze</t>
  </si>
  <si>
    <t>10ml Godiva Chocolate Liqueur</t>
  </si>
  <si>
    <t>Godiva Chocolate Liqueur</t>
  </si>
  <si>
    <t>Smirnoff Vodka White Russian</t>
  </si>
  <si>
    <t>Classic Bijou Cocktail</t>
  </si>
  <si>
    <t>Bulleit Derby</t>
  </si>
  <si>
    <t>10ml Orange Liqueur</t>
  </si>
  <si>
    <t>Blue Cosmo</t>
  </si>
  <si>
    <t>3 oz white sugar</t>
  </si>
  <si>
    <t>Strawberries &amp; cream irish cream 1 part</t>
  </si>
  <si>
    <t>Strawberries &amp; cream irish cream</t>
  </si>
  <si>
    <t>Arago</t>
  </si>
  <si>
    <t>1.25 oz Whipping Cream</t>
  </si>
  <si>
    <t>Cold-Brew Cocktail: All Fathers Eye</t>
  </si>
  <si>
    <t>0.75 oz cold-brew coffee</t>
  </si>
  <si>
    <t>Irish Milkshake</t>
  </si>
  <si>
    <t>Early Morning Breeze</t>
  </si>
  <si>
    <t>0.25 ounce mezcal</t>
  </si>
  <si>
    <t>Worlds Best Bonsai Margarita Riff</t>
  </si>
  <si>
    <t>pinch of salt</t>
  </si>
  <si>
    <t>Apricot Babe</t>
  </si>
  <si>
    <t>4 to 6 ounces tonic water, to taste</t>
  </si>
  <si>
    <t>Absent Friend</t>
  </si>
  <si>
    <t>0.33 msr Grenadine Syrup</t>
  </si>
  <si>
    <t>msr Grenadine Syrup</t>
  </si>
  <si>
    <t>The Caribou Lou Shot</t>
  </si>
  <si>
    <t>.25 tsp Vanilla Extract</t>
  </si>
  <si>
    <t>Mezcal Blood &amp; Sand</t>
  </si>
  <si>
    <t>1 oz Mezcal</t>
  </si>
  <si>
    <t>El Morocco Cocktail</t>
  </si>
  <si>
    <t>2 tablespoons uncooked rice</t>
  </si>
  <si>
    <t>uncooked rice</t>
  </si>
  <si>
    <t>Bloody Maru</t>
  </si>
  <si>
    <t>Harrison Ginsbergs Martinez</t>
  </si>
  <si>
    <t>1 teaspoon maraschino liqueur, preferably Bordiga</t>
  </si>
  <si>
    <t>, preferably Bordiga</t>
  </si>
  <si>
    <t>Miel Picante Punch</t>
  </si>
  <si>
    <t>3 oz jalapeno-rum honey</t>
  </si>
  <si>
    <t>jalapeno-rum honey</t>
  </si>
  <si>
    <t>Sleepwalker: A Coffee Cocktail</t>
  </si>
  <si>
    <t>Planter's Punch (Orange/Pineapple)</t>
  </si>
  <si>
    <t>3 dash of bitters</t>
  </si>
  <si>
    <t>1.5 parts Pink Gin</t>
  </si>
  <si>
    <t>1 part Rye whiskey or Bourbon</t>
  </si>
  <si>
    <t>Green Tea Highball</t>
  </si>
  <si>
    <t>2 ounces brewed green tea , cooled</t>
  </si>
  <si>
    <t>cooled</t>
  </si>
  <si>
    <t>Golden Screw</t>
  </si>
  <si>
    <t>Green Lemonade</t>
  </si>
  <si>
    <t>4 peeled Kiwi slices</t>
  </si>
  <si>
    <t>peeled|slices</t>
  </si>
  <si>
    <t>Love Heart Shots</t>
  </si>
  <si>
    <t>Don Julio &amp; Ginger</t>
  </si>
  <si>
    <t>2-3 dashes peach bitters</t>
  </si>
  <si>
    <t>peach bitters</t>
  </si>
  <si>
    <t>Abbot`s Dream</t>
  </si>
  <si>
    <t>Sweetened condensed milk 0.33 can</t>
  </si>
  <si>
    <t>New Pal</t>
  </si>
  <si>
    <t>Absolute Monster</t>
  </si>
  <si>
    <t>4 oz Ice Cubes</t>
  </si>
  <si>
    <t>1.25 fluid ounces freshly squeezed orange juice</t>
  </si>
  <si>
    <t>35ml Of Johnnie Walker Gold Label Reserve</t>
  </si>
  <si>
    <t>Johnnie Walker Gold Label Reserve</t>
  </si>
  <si>
    <t>420 Liquid Marijuana Jello Shots</t>
  </si>
  <si>
    <t>Dusty Trails</t>
  </si>
  <si>
    <t>2 dashes Rhubarb bitters</t>
  </si>
  <si>
    <t>Rhubarb bitters</t>
  </si>
  <si>
    <t>2 dashes chocolate or Mole bitters</t>
  </si>
  <si>
    <t>chocolate or Mole bitters</t>
  </si>
  <si>
    <t>Crushing It</t>
  </si>
  <si>
    <t>1.5 oz Citron Vodka</t>
  </si>
  <si>
    <t>Citron Vodka</t>
  </si>
  <si>
    <t>4 cups crushed ice, or as needed</t>
  </si>
  <si>
    <t>6 Ceylon cinnamon sticks, broken</t>
  </si>
  <si>
    <t>Ceylon cinnamon sticks</t>
  </si>
  <si>
    <t>broken</t>
  </si>
  <si>
    <t>Pirates Blood</t>
  </si>
  <si>
    <t>Nutty Martini</t>
  </si>
  <si>
    <t>0.5 oz Hazelnut Liqueur</t>
  </si>
  <si>
    <t>Harvey Wallbanger Frappe</t>
  </si>
  <si>
    <t>0.5 ounce dry Curacao</t>
  </si>
  <si>
    <t>Boozy Lavender Lemonade</t>
  </si>
  <si>
    <t>Berrytini</t>
  </si>
  <si>
    <t>Earl Grey Marteani</t>
  </si>
  <si>
    <t>1.5 ounces Earl Grey tea-infused gin</t>
  </si>
  <si>
    <t>Earl Grey tea-infused gin</t>
  </si>
  <si>
    <t>1 teaspoon grated nutmeg</t>
  </si>
  <si>
    <t>grated nutmeg</t>
  </si>
  <si>
    <t>6 tablespoons prepared horseradish</t>
  </si>
  <si>
    <t>Strawberries 2 oz</t>
  </si>
  <si>
    <t>Horses Neck</t>
  </si>
  <si>
    <t>2 parts Bourbon or Rye whiskey or Blended whiskey or Brandy or Cognac</t>
  </si>
  <si>
    <t>Bourbon|Rye whiskey|Blended whiskey|Brandy|Cognac</t>
  </si>
  <si>
    <t>0.75 part Aged rhum agricole or Unaged rhum agricole</t>
  </si>
  <si>
    <t>0.25 part Aromatic bitters</t>
  </si>
  <si>
    <t>0.5 ounce elderflower liqueur</t>
  </si>
  <si>
    <t>1.5 oz of Bacardi white rum</t>
  </si>
  <si>
    <t>Bacardi white rum</t>
  </si>
  <si>
    <t>Apple Pie Bomb</t>
  </si>
  <si>
    <t>Baltic Breeze</t>
  </si>
  <si>
    <t>37.5 ml Raspberry Vodka</t>
  </si>
  <si>
    <t>0.5 ounce cinnamon syrup (see Editor's Note)</t>
  </si>
  <si>
    <t>Grandmas Apple Pie #2</t>
  </si>
  <si>
    <t>Second Wind</t>
  </si>
  <si>
    <t>1 oz plum-infused Campari</t>
  </si>
  <si>
    <t>plum-infused Campari</t>
  </si>
  <si>
    <t>150ml Lemon-lime soda</t>
  </si>
  <si>
    <t>6 Strawberries</t>
  </si>
  <si>
    <t>Skinny Cosmopolitan</t>
  </si>
  <si>
    <t>0.5 ounce unsweetened pomegranate juice</t>
  </si>
  <si>
    <t>unsweetened pomegranate juice</t>
  </si>
  <si>
    <t>Breckenridge Mud Slide</t>
  </si>
  <si>
    <t>0.5 oz of Kahlua coffee liqueur</t>
  </si>
  <si>
    <t>0.75 oz Averna</t>
  </si>
  <si>
    <t>La Bomba</t>
  </si>
  <si>
    <t>The Panem-anian Soother</t>
  </si>
  <si>
    <t>.5 cups Orange Juice</t>
  </si>
  <si>
    <t>Kansai Kick</t>
  </si>
  <si>
    <t>0.75 part Madeira</t>
  </si>
  <si>
    <t>Chocolatini Cocktail</t>
  </si>
  <si>
    <t>Chocolate shavings, for garnish</t>
  </si>
  <si>
    <t>Chocolate shavings</t>
  </si>
  <si>
    <t>0.5 part Vanilla syrup</t>
  </si>
  <si>
    <t>Vanilla syrup</t>
  </si>
  <si>
    <t>Sauza Razzmatazz Margarita</t>
  </si>
  <si>
    <t>Garnish: Lime Wedge, Salt</t>
  </si>
  <si>
    <t>25ml Egg White</t>
  </si>
  <si>
    <t>Honey Nuts</t>
  </si>
  <si>
    <t>1.5 oz Advocaat Liqueur</t>
  </si>
  <si>
    <t>Flor de Pina</t>
  </si>
  <si>
    <t>Cabo</t>
  </si>
  <si>
    <t>Molto Facile</t>
  </si>
  <si>
    <t>1 part Blood Orange juice</t>
  </si>
  <si>
    <t>Blood Orange juice</t>
  </si>
  <si>
    <t>1 lime, cut into 4 wedges</t>
  </si>
  <si>
    <t>, cut into 4</t>
  </si>
  <si>
    <t>0.5 ounce Scotch whisky, preferably Compass Box Artist Blend Scotch</t>
  </si>
  <si>
    <t>, preferably Compass Box Artist Blend Scotch</t>
  </si>
  <si>
    <t>Mango Margarita Shot</t>
  </si>
  <si>
    <t>Here Comes the Sun</t>
  </si>
  <si>
    <t>1 ounce Port City Brewing Optimal Wit (or other wheat beer )</t>
  </si>
  <si>
    <t>Port City Brewing Optimal Wit|wheat beer</t>
  </si>
  <si>
    <t>(or other|)</t>
  </si>
  <si>
    <t>Oyster Shooter</t>
  </si>
  <si>
    <t>Raw oyster</t>
  </si>
  <si>
    <t>Gin Basil Smash</t>
  </si>
  <si>
    <t>0.5 part Simple Syrup</t>
  </si>
  <si>
    <t>5 to 8 torn fresh mint leaves, plus whole leaves for garnish</t>
  </si>
  <si>
    <t>5|8</t>
  </si>
  <si>
    <t>torn|whole</t>
  </si>
  <si>
    <t>to|,|plus|leaves for garnish</t>
  </si>
  <si>
    <t>6 dashes smoked cherry bitters</t>
  </si>
  <si>
    <t>smoked cherry bitters</t>
  </si>
  <si>
    <t>1 teaspoon allspice dram</t>
  </si>
  <si>
    <t>Caribbean</t>
  </si>
  <si>
    <t>Munich Mule</t>
  </si>
  <si>
    <t>5 cl Gin</t>
  </si>
  <si>
    <t>Jun Daiti Soda</t>
  </si>
  <si>
    <t>A Gai Khalled Tom</t>
  </si>
  <si>
    <t>0.5 oz fermented blueberry syrup or salted blueberry simple syrup</t>
  </si>
  <si>
    <t>fermented blueberry syrup|salted blueberry simple syrup</t>
  </si>
  <si>
    <t>Daiquiri Rethought</t>
  </si>
  <si>
    <t>1 teaspoon Citric Acid</t>
  </si>
  <si>
    <t>Citric Acid</t>
  </si>
  <si>
    <t>Smirnoff Hypno Tini</t>
  </si>
  <si>
    <t>15ml Hypnotiq Exotic Liqueur</t>
  </si>
  <si>
    <t>Hypnotiq Exotic Liqueur</t>
  </si>
  <si>
    <t>DIY Glitter Champagne Bottle</t>
  </si>
  <si>
    <t>Ciroc French 74</t>
  </si>
  <si>
    <t>Palmetto</t>
  </si>
  <si>
    <t>0.5 ounce Jamaican rum, preferably Smith &amp; Cross</t>
  </si>
  <si>
    <t>Godiva Cherry Chocolatini</t>
  </si>
  <si>
    <t>1 Brandy Cherry (Garnish)</t>
  </si>
  <si>
    <t>Brandy Cherry</t>
  </si>
  <si>
    <t>Kismet Hardy</t>
  </si>
  <si>
    <t>Frozen Watermelon Margarita</t>
  </si>
  <si>
    <t>0.33 part Orange juice</t>
  </si>
  <si>
    <t>Passion Fruit Mojito with Ketel One</t>
  </si>
  <si>
    <t>50ml Soda</t>
  </si>
  <si>
    <t>0.75 oz Cranberry Juice</t>
  </si>
  <si>
    <t>Kamikaze Shot</t>
  </si>
  <si>
    <t>Dash of lime juice, plus a lime slice for serving</t>
  </si>
  <si>
    <t>of|, plus a lime slice for serving</t>
  </si>
  <si>
    <t>Screwdriver Boricua</t>
  </si>
  <si>
    <t>Soweto Toilet</t>
  </si>
  <si>
    <t>Dark creme de cacao 4 dashes</t>
  </si>
  <si>
    <t>Dark creme de cacao</t>
  </si>
  <si>
    <t>Tropical Christmas</t>
  </si>
  <si>
    <t>3 parts Guava nectar</t>
  </si>
  <si>
    <t>Rossini</t>
  </si>
  <si>
    <t>Plaza Martini</t>
  </si>
  <si>
    <t>Watermelon Frose</t>
  </si>
  <si>
    <t>1 bottles rose wine</t>
  </si>
  <si>
    <t>Caramel Apple Shots</t>
  </si>
  <si>
    <t>4 ounces white rum</t>
  </si>
  <si>
    <t>2 parts Dark rum or Light rum or Spiced rum or Coconut rum or Aged rum</t>
  </si>
  <si>
    <t>Dark rum|Light rum|Spiced rum|Coconut rum|Aged rum</t>
  </si>
  <si>
    <t>Jeremiah Sweet Tea &amp; Lemonade - Original</t>
  </si>
  <si>
    <t>Ginger-Peach Smash</t>
  </si>
  <si>
    <t>4 sprigs fresh mint, divided, or as needed</t>
  </si>
  <si>
    <t>, divided, or as needed</t>
  </si>
  <si>
    <t>0.75 oz Catch Fire Apple &amp; Cinnamon</t>
  </si>
  <si>
    <t>Catch Fire Apple &amp; Cinnamon</t>
  </si>
  <si>
    <t>Pedro Martinez Cocktail</t>
  </si>
  <si>
    <t>10 drops aromatic bitters</t>
  </si>
  <si>
    <t>Blue Arrow</t>
  </si>
  <si>
    <t>Dressed Up Like A Dogs Dinner</t>
  </si>
  <si>
    <t>Eierlikoer German Egg Liqueur</t>
  </si>
  <si>
    <t>Milk 7 oz</t>
  </si>
  <si>
    <t>Vesper Martini</t>
  </si>
  <si>
    <t>10ml Lillet Blanc</t>
  </si>
  <si>
    <t>Passion Punch</t>
  </si>
  <si>
    <t>1 oz Grape Juice</t>
  </si>
  <si>
    <t>LAlaska</t>
  </si>
  <si>
    <t>600 milliliters gin, preferably Monkey 47 Schwarzwald dry gin</t>
  </si>
  <si>
    <t>, preferably Monkey 47 Schwarzwald dry gin</t>
  </si>
  <si>
    <t>Island Fishbowl</t>
  </si>
  <si>
    <t>10.5 parts Bourbon or Rye whiskey</t>
  </si>
  <si>
    <t>Honey Bunny</t>
  </si>
  <si>
    <t>King Cake Shot</t>
  </si>
  <si>
    <t>Candy Cane 3</t>
  </si>
  <si>
    <t>Honey Toddy</t>
  </si>
  <si>
    <t>1 part Jim Beam Honey</t>
  </si>
  <si>
    <t>Jim Beam Honey</t>
  </si>
  <si>
    <t>Bronx</t>
  </si>
  <si>
    <t>12.5 ml Dry Vermouth</t>
  </si>
  <si>
    <t>Zitalicus Al Pesto</t>
  </si>
  <si>
    <t>tomato soda, to top</t>
  </si>
  <si>
    <t>tomato soda</t>
  </si>
  <si>
    <t>Tito's Bloody Mary</t>
  </si>
  <si>
    <t>1.5 ounces Tito's Handmade Vodka</t>
  </si>
  <si>
    <t>Pinch of ground nutmeg</t>
  </si>
  <si>
    <t>Jamaica Shake</t>
  </si>
  <si>
    <t>1.5 oz of Dark rum</t>
  </si>
  <si>
    <t>Drinking Caramel</t>
  </si>
  <si>
    <t>23 cup granulated sugar</t>
  </si>
  <si>
    <t>Base Camp from Dutch Kills</t>
  </si>
  <si>
    <t>38 oz smoky single malt scotch</t>
  </si>
  <si>
    <t>smoky single malt scotch</t>
  </si>
  <si>
    <t>Monte Carlo Cocktail</t>
  </si>
  <si>
    <t>Double Fudge Martini</t>
  </si>
  <si>
    <t>2 ounces brandy-based orange liqueur</t>
  </si>
  <si>
    <t>Apricot brandy 0.75 oz</t>
  </si>
  <si>
    <t>3 drops The Bitter End curry bitters</t>
  </si>
  <si>
    <t>The Bitter End curry bitters</t>
  </si>
  <si>
    <t>Salted Caramel Ice Cream Shooters</t>
  </si>
  <si>
    <t>Coarse salt 1 dash</t>
  </si>
  <si>
    <t>Coarse salt</t>
  </si>
  <si>
    <t>Jersey Shore Cherry Lemonade</t>
  </si>
  <si>
    <t>Candy Cane Jello Shots</t>
  </si>
  <si>
    <t>Peppermint schnapps 0.5 cup</t>
  </si>
  <si>
    <t>1 jigger chocolate liqueur</t>
  </si>
  <si>
    <t>1 Orange Wheel garnish</t>
  </si>
  <si>
    <t>Shimmertini Cocktail</t>
  </si>
  <si>
    <t>Long Island Coquito</t>
  </si>
  <si>
    <t>Coconut vodka 2 oz</t>
  </si>
  <si>
    <t>Coconut vodka</t>
  </si>
  <si>
    <t>Thanksgiving Punch</t>
  </si>
  <si>
    <t>24 ounces soda water</t>
  </si>
  <si>
    <t>0.5 cup fresh mint, garnish</t>
  </si>
  <si>
    <t>1 part cardamom-honey syrup</t>
  </si>
  <si>
    <t>cardamom-honey syrup</t>
  </si>
  <si>
    <t>Dani's Butt Kickin' Bloody Mary Mix</t>
  </si>
  <si>
    <t>1 bottle tomato-vegetable juice cocktail</t>
  </si>
  <si>
    <t>tomato-vegetable juice cocktail</t>
  </si>
  <si>
    <t>Fluttershy Highball</t>
  </si>
  <si>
    <t>1.5 ounces Strawberry Blanc Vermouth</t>
  </si>
  <si>
    <t>Strawberry Blanc Vermouth</t>
  </si>
  <si>
    <t>BURT REYNOLDS MUSTACHE COCKTAIL RECIPE</t>
  </si>
  <si>
    <t>200ml Ginger Ale</t>
  </si>
  <si>
    <t>Long Island Iced Tea Shot</t>
  </si>
  <si>
    <t>Tequila 1 part</t>
  </si>
  <si>
    <t>Bee Breeze</t>
  </si>
  <si>
    <t>1 tsp of honey</t>
  </si>
  <si>
    <t>Melon Spritz</t>
  </si>
  <si>
    <t>Daybreaker</t>
  </si>
  <si>
    <t>50ml Gin</t>
  </si>
  <si>
    <t>Sweet white wine (frozen into cubes) 750 ml</t>
  </si>
  <si>
    <t>Sweet white wine</t>
  </si>
  <si>
    <t>Creamsicle</t>
  </si>
  <si>
    <t>1.5 oz Vanilla Liqueur</t>
  </si>
  <si>
    <t>Johnnie Walker Gold Label Reserve Peach Tea</t>
  </si>
  <si>
    <t>12.5ml Gomme (or Sugar Syrup)</t>
  </si>
  <si>
    <t>Gomme|Sugar Syrup</t>
  </si>
  <si>
    <t>The Ultimate Ketel One Cantaloupe Martini</t>
  </si>
  <si>
    <t>10ml Orange Juice</t>
  </si>
  <si>
    <t>2 parts DeKuyper Pucker Sour Apple Schnapps</t>
  </si>
  <si>
    <t>Bali Punch</t>
  </si>
  <si>
    <t>0.75 ounce bottled-in-bond rye</t>
  </si>
  <si>
    <t>bottled-in-bond rye</t>
  </si>
  <si>
    <t>Rogue one: Darth Vader Shots</t>
  </si>
  <si>
    <t>Gin 1 splash</t>
  </si>
  <si>
    <t>Mint-Cucumber Mojitos</t>
  </si>
  <si>
    <t>6 cubes ice, or as needed</t>
  </si>
  <si>
    <t>Peaches and Cream</t>
  </si>
  <si>
    <t>Eric`s Bloody Bull</t>
  </si>
  <si>
    <t>2 Sticks Celery</t>
  </si>
  <si>
    <t>Sticks Celery</t>
  </si>
  <si>
    <t>1 Edible flower for garnish</t>
  </si>
  <si>
    <t>Edible flower</t>
  </si>
  <si>
    <t>57 Chevy</t>
  </si>
  <si>
    <t>Tennessee Roots</t>
  </si>
  <si>
    <t>10ml Pineapple Juice</t>
  </si>
  <si>
    <t>2 teaspoons grapefruit juice</t>
  </si>
  <si>
    <t>30ml Pineapple Juice</t>
  </si>
  <si>
    <t>R&amp;D</t>
  </si>
  <si>
    <t>1.5 ounces rye, preferably Rittenhouse</t>
  </si>
  <si>
    <t>Hoffman House Martini</t>
  </si>
  <si>
    <t>4 Dash Orange Bitters</t>
  </si>
  <si>
    <t>Country Margaritas</t>
  </si>
  <si>
    <t>1.5 ounces blanco tequila, preferably Corazon</t>
  </si>
  <si>
    <t>, preferably Corazon</t>
  </si>
  <si>
    <t>Seltzer Slushie</t>
  </si>
  <si>
    <t>1 cups frozen strawberries and mango</t>
  </si>
  <si>
    <t>strawberries|mango</t>
  </si>
  <si>
    <t>1 barspoon green Chartreuse</t>
  </si>
  <si>
    <t>1 cup whole garlic cloves, peeled</t>
  </si>
  <si>
    <t>garlic cloves</t>
  </si>
  <si>
    <t>whole|peeled</t>
  </si>
  <si>
    <t>Cool whip 4 oz</t>
  </si>
  <si>
    <t>Citius, Altius, Fortius</t>
  </si>
  <si>
    <t>2 Liter Lemonade</t>
  </si>
  <si>
    <t>Frozen Pineapple Daiquiri</t>
  </si>
  <si>
    <t>Ice 1 cup</t>
  </si>
  <si>
    <t>The B-52 Shot</t>
  </si>
  <si>
    <t>0.5 ounce Baileys Irish cream liqueur</t>
  </si>
  <si>
    <t>Baileys Irish cream liqueur</t>
  </si>
  <si>
    <t>1.5 ounces blanche de armagnac, preferably Cobra Fire Eau de Vie de Raisin</t>
  </si>
  <si>
    <t>blanche de armagnac</t>
  </si>
  <si>
    <t>, preferably Cobra Fire Eau de Vie de Raisin</t>
  </si>
  <si>
    <t>Tanqueray No. Ten Gin &amp; Tonic</t>
  </si>
  <si>
    <t>1 ounce sweet and sour mix</t>
  </si>
  <si>
    <t>1 dash saline solution (4:1, water:salt)</t>
  </si>
  <si>
    <t>(4:1, water:salt)</t>
  </si>
  <si>
    <t>Eggnog Flip</t>
  </si>
  <si>
    <t>Cherry Ripe Cocktail</t>
  </si>
  <si>
    <t>Next Best Thing to Lulu's Pina Colada</t>
  </si>
  <si>
    <t>8 cubes ice</t>
  </si>
  <si>
    <t>Chocolate Candy</t>
  </si>
  <si>
    <t>Smirnoff Vodka Fizz</t>
  </si>
  <si>
    <t>Lemon Wedge</t>
  </si>
  <si>
    <t>Cleo</t>
  </si>
  <si>
    <t>Garnish: dragon fruit slice covered with electricdust</t>
  </si>
  <si>
    <t>dragon fruit</t>
  </si>
  <si>
    <t>Garnish:| covered with electricdust</t>
  </si>
  <si>
    <t>Flaming Spanish Fly</t>
  </si>
  <si>
    <t>Pom Spiked Cider</t>
  </si>
  <si>
    <t>Caipivodka</t>
  </si>
  <si>
    <t>Lemon Slice</t>
  </si>
  <si>
    <t>Irish Trash Can Cocktail</t>
  </si>
  <si>
    <t>Clover Clubs</t>
  </si>
  <si>
    <t>1.5 cl fresh strained lemon juice</t>
  </si>
  <si>
    <t>strained</t>
  </si>
  <si>
    <t>Margarita 'Straight Up'</t>
  </si>
  <si>
    <t>Snickers Martini</t>
  </si>
  <si>
    <t>1 fluid ounce Irish cream liqueur</t>
  </si>
  <si>
    <t>10ml Fernet Branca</t>
  </si>
  <si>
    <t>leafy celery stalk, for garnish</t>
  </si>
  <si>
    <t>leafy celery stalk</t>
  </si>
  <si>
    <t>Coffee Egg Nog</t>
  </si>
  <si>
    <t>0.5 tsp Coffee</t>
  </si>
  <si>
    <t>Bentons Old Fashioned</t>
  </si>
  <si>
    <t>2 ounces fat-washed Four Roses bourbon</t>
  </si>
  <si>
    <t>fat-washed Four Roses bourbon</t>
  </si>
  <si>
    <t>2 oz rum divided</t>
  </si>
  <si>
    <t>rum divided</t>
  </si>
  <si>
    <t>Alex Bachmans Round Two Mezcal Cocktail</t>
  </si>
  <si>
    <t>1 dash black walnut bitters</t>
  </si>
  <si>
    <t>black walnut bitters</t>
  </si>
  <si>
    <t>1 orange, sliced into rounds</t>
  </si>
  <si>
    <t>Blood and Guts</t>
  </si>
  <si>
    <t>30ml Orange juice</t>
  </si>
  <si>
    <t>1 dash sour mix</t>
  </si>
  <si>
    <t>Milpsi</t>
  </si>
  <si>
    <t>6 part Cola</t>
  </si>
  <si>
    <t>Sportsmans Club Toddy</t>
  </si>
  <si>
    <t>Peat Smash Cocktail</t>
  </si>
  <si>
    <t>14 Mint Leaves</t>
  </si>
  <si>
    <t>The Blue Creamsicle</t>
  </si>
  <si>
    <t>8-Ounce Twista</t>
  </si>
  <si>
    <t>2 oz Grape Juice</t>
  </si>
  <si>
    <t>Jalapeno Margaritas</t>
  </si>
  <si>
    <t>4 fluid ounces tequila</t>
  </si>
  <si>
    <t>1 can chilled Guinness</t>
  </si>
  <si>
    <t>100 ml Pineapple Juice</t>
  </si>
  <si>
    <t>Jello Shot Glasses</t>
  </si>
  <si>
    <t>6 oz Schofferhofer Hefeweizen Grapefruit</t>
  </si>
  <si>
    <t>Schofferhofer Hefeweizen Grapefruit</t>
  </si>
  <si>
    <t>Bistro Sidecar</t>
  </si>
  <si>
    <t>10.5 part Vanilla liqueur</t>
  </si>
  <si>
    <t>Rye in Paradise</t>
  </si>
  <si>
    <t>Float of Coffee Syrup</t>
  </si>
  <si>
    <t>Float Coffee Syrup</t>
  </si>
  <si>
    <t>Killer Coffee</t>
  </si>
  <si>
    <t>0.75 oz Vanilla Vodka</t>
  </si>
  <si>
    <t>Granulated sugar 0.5 cup</t>
  </si>
  <si>
    <t>Floradora Cocktail</t>
  </si>
  <si>
    <t>0.5 ounce creme de framboise liqueur</t>
  </si>
  <si>
    <t>creme de framboise liqueur</t>
  </si>
  <si>
    <t>Pumpkin Martini</t>
  </si>
  <si>
    <t>0.5 ounce heavy cream (or coconut milk, for vegan)</t>
  </si>
  <si>
    <t>heavy cream|coconut milk</t>
  </si>
  <si>
    <t>Cuban Sunrise</t>
  </si>
  <si>
    <t>2 Dash Grenadine Syrup</t>
  </si>
  <si>
    <t>Cabronasaurus</t>
  </si>
  <si>
    <t>26 Coffee Beans</t>
  </si>
  <si>
    <t>Liquid Rocher</t>
  </si>
  <si>
    <t>0.75 oz Hazelnut Liqueur</t>
  </si>
  <si>
    <t>Sorrento Sun: A Mezcal Margarita</t>
  </si>
  <si>
    <t>0.5 oz Luxardo Bitter Bianco</t>
  </si>
  <si>
    <t>1.25 ounces milk</t>
  </si>
  <si>
    <t>Coral Rita</t>
  </si>
  <si>
    <t>Garnish: grated dark chocolate</t>
  </si>
  <si>
    <t>grated dark chocolate</t>
  </si>
  <si>
    <t>12.5 ml Cherry Brandy</t>
  </si>
  <si>
    <t>1 part Agave Nectar (Optional)</t>
  </si>
  <si>
    <t>(Optional)</t>
  </si>
  <si>
    <t>Blackberry Mimosa</t>
  </si>
  <si>
    <t>Banana Split</t>
  </si>
  <si>
    <t>Death and Taxes</t>
  </si>
  <si>
    <t>1 part Mezcal</t>
  </si>
  <si>
    <t>Ginger Sling Cocktail</t>
  </si>
  <si>
    <t>5 ml Ginger Beer to float on top</t>
  </si>
  <si>
    <t>to float on top</t>
  </si>
  <si>
    <t>Cherry Slide Freeze</t>
  </si>
  <si>
    <t>150ml Milk</t>
  </si>
  <si>
    <t>Trader Vic Mai Tai Cocktail</t>
  </si>
  <si>
    <t>1 sprig fresh mint</t>
  </si>
  <si>
    <t>1 oz Bols Cacao White</t>
  </si>
  <si>
    <t>Bols Cacao White</t>
  </si>
  <si>
    <t>6 parts Lemon soda or Lemon-lime soda or Ginger beer or Ginger ale or Sparkling water or Flavored sparkling water</t>
  </si>
  <si>
    <t>Lemon soda|Lemon-lime soda|Ginger beer|Ginger ale|Sparkling water|Flavored sparkling water</t>
  </si>
  <si>
    <t>Dirty Monkey</t>
  </si>
  <si>
    <t>Almond Brother</t>
  </si>
  <si>
    <t>2 parts Aged tequila or Blanco tequila</t>
  </si>
  <si>
    <t>Aged tequila|Blanco tequila</t>
  </si>
  <si>
    <t>1.5 ounces Kahlua (or coffee liqueur like Tia Maria or Sheridans)</t>
  </si>
  <si>
    <t>Kahlua|coffee liqueur</t>
  </si>
  <si>
    <t>(or|like Tia Maria or Sheridans)</t>
  </si>
  <si>
    <t>Big Brew</t>
  </si>
  <si>
    <t>Slice of Fresh Ginger</t>
  </si>
  <si>
    <t>Baso</t>
  </si>
  <si>
    <t>Hayride</t>
  </si>
  <si>
    <t>Lavender Mule</t>
  </si>
  <si>
    <t>Corazon bitters (cocoa nib, coffee, hot pepper) 3 dashes</t>
  </si>
  <si>
    <t>Corazon bitters</t>
  </si>
  <si>
    <t>(cocoa nib, coffee, hot pepper)</t>
  </si>
  <si>
    <t>Mudslinger</t>
  </si>
  <si>
    <t>1 L Orange juice</t>
  </si>
  <si>
    <t>5g All Spice (for Winter Spice Syrup)</t>
  </si>
  <si>
    <t>All Spice</t>
  </si>
  <si>
    <t>4 cups crushed ice</t>
  </si>
  <si>
    <t>Fallen Froggy Jello Shots</t>
  </si>
  <si>
    <t>Tuxedo No. 2</t>
  </si>
  <si>
    <t>Pineapple Sunrise Mimosas</t>
  </si>
  <si>
    <t>1 bottle Prosecco</t>
  </si>
  <si>
    <t>80`s Peach Wine Cooler</t>
  </si>
  <si>
    <t>Maiden's Prayer</t>
  </si>
  <si>
    <t>Vanilla Berry Crush</t>
  </si>
  <si>
    <t>3 strawberries</t>
  </si>
  <si>
    <t>Campari Cosmo</t>
  </si>
  <si>
    <t>50 ml Citrus Vodka</t>
  </si>
  <si>
    <t>1.5 ounces Jamaican rum, preferably Hampden Estate 8-year</t>
  </si>
  <si>
    <t>, preferably Hampden Estate 8-year</t>
  </si>
  <si>
    <t>The Waterfall Shot</t>
  </si>
  <si>
    <t>Amaro 0.5 oz</t>
  </si>
  <si>
    <t>Sundance Red</t>
  </si>
  <si>
    <t>6 dashes Angostura Bitters</t>
  </si>
  <si>
    <t>Mexican Gentleman</t>
  </si>
  <si>
    <t>1 piece Orange wheel</t>
  </si>
  <si>
    <t>Evil Spell 2</t>
  </si>
  <si>
    <t>Dubonnet Frappe</t>
  </si>
  <si>
    <t>0.75 ounce Jamaican overproof white rum</t>
  </si>
  <si>
    <t>Jamaican overproof white rum</t>
  </si>
  <si>
    <t>Apricot Brandy Sour</t>
  </si>
  <si>
    <t>0.5 oz Egg white</t>
  </si>
  <si>
    <t>Creative Native</t>
  </si>
  <si>
    <t>Creamy Snatch</t>
  </si>
  <si>
    <t>Parker's Famous Margaritas</t>
  </si>
  <si>
    <t>Bootstitch</t>
  </si>
  <si>
    <t>1.5 ounces grapefruit juice, freshly squeezed</t>
  </si>
  <si>
    <t>Seedlip Garden Ginger Highball</t>
  </si>
  <si>
    <t>50ml Seedlip Garden 108</t>
  </si>
  <si>
    <t>Seedlip Garden 108</t>
  </si>
  <si>
    <t>1 shot of Vodka</t>
  </si>
  <si>
    <t>0.5 cl simple syrup</t>
  </si>
  <si>
    <t>Blood Orange Cocktail: Falconry Demonstration</t>
  </si>
  <si>
    <t>Chrysanthemum #2</t>
  </si>
  <si>
    <t>Cranberry Peppermint Spritz</t>
  </si>
  <si>
    <t>1 parts Cranberry Juice</t>
  </si>
  <si>
    <t>2 fresh blackberries</t>
  </si>
  <si>
    <t>1.5 ounces vanilla vodka</t>
  </si>
  <si>
    <t>vanilla vodka</t>
  </si>
  <si>
    <t>Bailey`s Banana Vanilla Thrilla</t>
  </si>
  <si>
    <t>2 Drop Food Colouring</t>
  </si>
  <si>
    <t>Food Colouring</t>
  </si>
  <si>
    <t>Absolutely Bewitching</t>
  </si>
  <si>
    <t>Johnnie Walker Red Label and Pomelo</t>
  </si>
  <si>
    <t>150ml Fresh grapefruit juice</t>
  </si>
  <si>
    <t>Sangria Liqueur Classic</t>
  </si>
  <si>
    <t>3 Dash Worcestershire Sauce</t>
  </si>
  <si>
    <t>Heaven in Your Mouth</t>
  </si>
  <si>
    <t>1 cups Coconut Rum</t>
  </si>
  <si>
    <t>Spritz of vanilla tincture</t>
  </si>
  <si>
    <t>Spritz vanilla tincture</t>
  </si>
  <si>
    <t>0.25 ounce Curacao, preferably Pierre Ferrand Dry</t>
  </si>
  <si>
    <t>, preferably Pierre Ferrand Dry</t>
  </si>
  <si>
    <t>Funfetti Cake Shots</t>
  </si>
  <si>
    <t>Indifferent Miss</t>
  </si>
  <si>
    <t>Captain Paloma</t>
  </si>
  <si>
    <t>1 lb Brown Sugar</t>
  </si>
  <si>
    <t>Rose All Day</t>
  </si>
  <si>
    <t>8 parts Grapefruit Hard Seltzer</t>
  </si>
  <si>
    <t>Grapefruit Hard Seltzer</t>
  </si>
  <si>
    <t>1.25 ounces Lairds apple brandy</t>
  </si>
  <si>
    <t>Lairds apple brandy</t>
  </si>
  <si>
    <t>Cinnamon whiskey 1 oz</t>
  </si>
  <si>
    <t>Capitan</t>
  </si>
  <si>
    <t>1.5 ounces quebranta pisco</t>
  </si>
  <si>
    <t>quebranta pisco</t>
  </si>
  <si>
    <t>Christmas Tree Shot</t>
  </si>
  <si>
    <t>The Old Fashioned</t>
  </si>
  <si>
    <t>7 dashes of bitters</t>
  </si>
  <si>
    <t>Apple Pie Delight</t>
  </si>
  <si>
    <t>Powdered cinnamon and sugar mix to garnish</t>
  </si>
  <si>
    <t>Powdered cinnamon|sugar mix</t>
  </si>
  <si>
    <t>Port Collins</t>
  </si>
  <si>
    <t>0.75 oz Port</t>
  </si>
  <si>
    <t>Spiked Ice Pops</t>
  </si>
  <si>
    <t>Watermelon vodka 4.5 oz</t>
  </si>
  <si>
    <t>Whirlaway</t>
  </si>
  <si>
    <t>Coconut Cream Pie</t>
  </si>
  <si>
    <t>In the Mood for Love: A Gin &amp; Genepy Cocktail</t>
  </si>
  <si>
    <t>1.5 cups water</t>
  </si>
  <si>
    <t>Melted caramel</t>
  </si>
  <si>
    <t>Spritzer</t>
  </si>
  <si>
    <t>1 part Sparkling water or Flavored sparkling water or Lemon soda or Lemon-lime soda or Ginger ale</t>
  </si>
  <si>
    <t>Sparkling water|Flavored sparkling water|Lemon soda|Lemon-lime soda|Ginger ale</t>
  </si>
  <si>
    <t>Halekulani</t>
  </si>
  <si>
    <t>45 grams Greek Yogurt</t>
  </si>
  <si>
    <t>Greek Yogurt</t>
  </si>
  <si>
    <t>The God of War Inception Bomb</t>
  </si>
  <si>
    <t>151 proof rum 2 oz</t>
  </si>
  <si>
    <t>proof rum 2</t>
  </si>
  <si>
    <t>Spiced Gingerbread</t>
  </si>
  <si>
    <t>50ml Smirnoff Gold Cinnamon Liqueur</t>
  </si>
  <si>
    <t>Smirnoff Gold Cinnamon Liqueur</t>
  </si>
  <si>
    <t>Green Cow 2</t>
  </si>
  <si>
    <t>0.25 teaspoon ground cloves</t>
  </si>
  <si>
    <t>Beach Baby</t>
  </si>
  <si>
    <t>15ml Captain Morgan's Parrot Bay Coconut</t>
  </si>
  <si>
    <t>Captain Morgan's Parrot Bay Coconut</t>
  </si>
  <si>
    <t>1 fluid ounce freshly squeezed lemon juice</t>
  </si>
  <si>
    <t>Champagne Celebration</t>
  </si>
  <si>
    <t>Tokyo Collins</t>
  </si>
  <si>
    <t>Garnish: Cherry, Lemon Slice</t>
  </si>
  <si>
    <t>Cherry|Lemon Slice</t>
  </si>
  <si>
    <t>Butter-Choc</t>
  </si>
  <si>
    <t>1 oz of Butterscotch Schnapps</t>
  </si>
  <si>
    <t>1 Splash Cream</t>
  </si>
  <si>
    <t>5 drops salt solution (4:1, water to salt)</t>
  </si>
  <si>
    <t>salt solution</t>
  </si>
  <si>
    <t>(4:1, water to salt)</t>
  </si>
  <si>
    <t>Blinker Cocktail</t>
  </si>
  <si>
    <t>1.5 oz Rye Whiskey</t>
  </si>
  <si>
    <t>1 whole egg, preferably an Amish egg</t>
  </si>
  <si>
    <t>, preferably an Amish egg</t>
  </si>
  <si>
    <t>Abricot Vieux</t>
  </si>
  <si>
    <t>0.5 ounce rhum agricole, preferably Neisson Eleve Sous Bois</t>
  </si>
  <si>
    <t>rhum agricole</t>
  </si>
  <si>
    <t>, preferably Neisson Eleve Sous Bois</t>
  </si>
  <si>
    <t>1 dash Bittercube Jamaican No. 1 bitters</t>
  </si>
  <si>
    <t>Bittercube Jamaican No. 1 bitters</t>
  </si>
  <si>
    <t>Bourbon Renewal</t>
  </si>
  <si>
    <t>Tropical Rum Punch</t>
  </si>
  <si>
    <t>Pineapple syrup 1 oz</t>
  </si>
  <si>
    <t>Pineapple syrup</t>
  </si>
  <si>
    <t>1 splash freshly squeezed lime juice</t>
  </si>
  <si>
    <t>Hot Lunch</t>
  </si>
  <si>
    <t>1 Dash Tabasco sauce</t>
  </si>
  <si>
    <t>0.25 part Soy sauce</t>
  </si>
  <si>
    <t>Soy sauce</t>
  </si>
  <si>
    <t>Spice &amp; Sling</t>
  </si>
  <si>
    <t>20ml Pineapple juice</t>
  </si>
  <si>
    <t>LAMINGTON COCKTAIL 2</t>
  </si>
  <si>
    <t>45 ml Organic Cola</t>
  </si>
  <si>
    <t>Organic Cola</t>
  </si>
  <si>
    <t>Mudslide Float</t>
  </si>
  <si>
    <t>Blue Hawaiian Screw</t>
  </si>
  <si>
    <t>Passionfruit Mango Margarita</t>
  </si>
  <si>
    <t>Hurricane Carolyn</t>
  </si>
  <si>
    <t>1 shot of Orange Juice</t>
  </si>
  <si>
    <t>Shakes Party To Go</t>
  </si>
  <si>
    <t>10 oz Mango Juice</t>
  </si>
  <si>
    <t>20.5 parts White wine or Rose wine</t>
  </si>
  <si>
    <t>White wine|Rose wine</t>
  </si>
  <si>
    <t>Birthday Cake Shots</t>
  </si>
  <si>
    <t>Candle</t>
  </si>
  <si>
    <t>Almond Hot Chocolate</t>
  </si>
  <si>
    <t>Aperix Spritz</t>
  </si>
  <si>
    <t>1 parts Club Soda</t>
  </si>
  <si>
    <t>Perfect Blue Margarita</t>
  </si>
  <si>
    <t>Johnnie Walker Green Label Godfather</t>
  </si>
  <si>
    <t>10ml Amaretto</t>
  </si>
  <si>
    <t>Strawberry Mango Daiquiri Popsicles</t>
  </si>
  <si>
    <t>How To Make Coconut Rum</t>
  </si>
  <si>
    <t>White rum 10 oz</t>
  </si>
  <si>
    <t>1 ounce fig-infused rye whiskey</t>
  </si>
  <si>
    <t>fig-infused rye whiskey</t>
  </si>
  <si>
    <t>1 dash of Angostura Bitters</t>
  </si>
  <si>
    <t>Black Samurai</t>
  </si>
  <si>
    <t>15 ml Soy Sauce</t>
  </si>
  <si>
    <t>1 parts Esme Gin</t>
  </si>
  <si>
    <t>Esme Gin</t>
  </si>
  <si>
    <t>Dick and Jane</t>
  </si>
  <si>
    <t>ice cubes, divided</t>
  </si>
  <si>
    <t>cubes|divided</t>
  </si>
  <si>
    <t>1 parts simple syrup</t>
  </si>
  <si>
    <t>4-6 oz chilled Champagne or other sparkling wine</t>
  </si>
  <si>
    <t>-|or other</t>
  </si>
  <si>
    <t>Oreo Cookie Shot</t>
  </si>
  <si>
    <t>Bellamy Scotch Sour</t>
  </si>
  <si>
    <t>Bentley</t>
  </si>
  <si>
    <t>1 parts mint simple syrup</t>
  </si>
  <si>
    <t>mint simple syrup</t>
  </si>
  <si>
    <t>Vanilla pudding mix 3 oz</t>
  </si>
  <si>
    <t>Vanilla pudding mix</t>
  </si>
  <si>
    <t>1 tsp Nutmeg</t>
  </si>
  <si>
    <t>0.5 oz of white creme de cacao</t>
  </si>
  <si>
    <t>Lemon Tell You Somethin Honey</t>
  </si>
  <si>
    <t>0.5 part Honey Syrup</t>
  </si>
  <si>
    <t>1.75 cup Earl Grey syrup (1:1 earl grey tea: granulated sugar)</t>
  </si>
  <si>
    <t>Earl Grey syrup</t>
  </si>
  <si>
    <t>(1:1 earl grey tea: granulated sugar)</t>
  </si>
  <si>
    <t>Amaro Kalimotxo</t>
  </si>
  <si>
    <t>2 teaspoons lacto-fermented raspberry cordial</t>
  </si>
  <si>
    <t>lacto-fermented raspberry cordial</t>
  </si>
  <si>
    <t>Laphroaig Land and Sea</t>
  </si>
  <si>
    <t>2 parts Laphroaig Select</t>
  </si>
  <si>
    <t>Laphroaig Select</t>
  </si>
  <si>
    <t>Island Henny</t>
  </si>
  <si>
    <t>Pineapple juice 3 oz</t>
  </si>
  <si>
    <t>45ml Sticky Rice Cordial</t>
  </si>
  <si>
    <t>Sticky Rice Cordial</t>
  </si>
  <si>
    <t>Pokemon Go Vaporeon</t>
  </si>
  <si>
    <t>Captains Pie</t>
  </si>
  <si>
    <t>Slacker`s Slammer</t>
  </si>
  <si>
    <t>1 oz Root Beer Schnapps</t>
  </si>
  <si>
    <t>Root Beer Schnapps</t>
  </si>
  <si>
    <t>Smoke Follows Beauty</t>
  </si>
  <si>
    <t>2 stalks cilantro</t>
  </si>
  <si>
    <t>stalks cilantro</t>
  </si>
  <si>
    <t>Melon Man</t>
  </si>
  <si>
    <t>3 oz Lemon-Lime Soda</t>
  </si>
  <si>
    <t>Spring has Sprung</t>
  </si>
  <si>
    <t>10 cl rhubarb cordial</t>
  </si>
  <si>
    <t>rhubarb cordial</t>
  </si>
  <si>
    <t>BAMBOO</t>
  </si>
  <si>
    <t>1.5 oz Dry Vermouth</t>
  </si>
  <si>
    <t>0.5 ounce St-Germain elderflower liqueur</t>
  </si>
  <si>
    <t>St-Germain elderflower liqueur</t>
  </si>
  <si>
    <t>5 Spearmint Leaves</t>
  </si>
  <si>
    <t>Spearmint Leaves</t>
  </si>
  <si>
    <t>1 ounce fresh orange juice</t>
  </si>
  <si>
    <t>Tom Yum on a Rock</t>
  </si>
  <si>
    <t>Garnish: lime wheel</t>
  </si>
  <si>
    <t>A.D.M. (After Dinner Mint)</t>
  </si>
  <si>
    <t>1 small or medium egg white</t>
  </si>
  <si>
    <t>Bloody Rum Punch for Halloween</t>
  </si>
  <si>
    <t>0.5 bottle red wine</t>
  </si>
  <si>
    <t>2 oz Cinnamon Whisky</t>
  </si>
  <si>
    <t>Cinnamon Whisky</t>
  </si>
  <si>
    <t>50ml Grapefruit juice</t>
  </si>
  <si>
    <t>Charon</t>
  </si>
  <si>
    <t>Twinkie Shots</t>
  </si>
  <si>
    <t>The Raven</t>
  </si>
  <si>
    <t>12.5 ml Chambord</t>
  </si>
  <si>
    <t>Celine Fizz</t>
  </si>
  <si>
    <t>0.25 ounce rum, preferably Smith &amp; Cross rum, for float</t>
  </si>
  <si>
    <t>, preferably Smith &amp; Cross rum, for float</t>
  </si>
  <si>
    <t>Strawberry Bellini</t>
  </si>
  <si>
    <t>Powdered sugar</t>
  </si>
  <si>
    <t>Pineapple Bomb</t>
  </si>
  <si>
    <t>0.33 shot of Pineapple Juice</t>
  </si>
  <si>
    <t>Frozen Mudslide 2</t>
  </si>
  <si>
    <t>2 cups Ice Cream</t>
  </si>
  <si>
    <t>50 ml Scotch Whiskey</t>
  </si>
  <si>
    <t>Monster Mash</t>
  </si>
  <si>
    <t>1 12 oz mezcal</t>
  </si>
  <si>
    <t>12 mezcal</t>
  </si>
  <si>
    <t>1 jigger tequila</t>
  </si>
  <si>
    <t>Cheshire Cat</t>
  </si>
  <si>
    <t>Royal Gingersnap</t>
  </si>
  <si>
    <t>1 Tbsp Orange Marmalade</t>
  </si>
  <si>
    <t>Absinthe Curacao Frappe</t>
  </si>
  <si>
    <t>2 tsp Orange Juice</t>
  </si>
  <si>
    <t>Holiday Wreath</t>
  </si>
  <si>
    <t>0.5 part DeKuyper Razzmatazz Schnapps Liqueur</t>
  </si>
  <si>
    <t>DeKuyper Razzmatazz Schnapps Liqueur</t>
  </si>
  <si>
    <t>Boredom Kills</t>
  </si>
  <si>
    <t>1.5 Shot Gin</t>
  </si>
  <si>
    <t>Tea &amp; Biscuits Flip Recipe</t>
  </si>
  <si>
    <t>Strange Brew: A Twist on the Espresso Martini</t>
  </si>
  <si>
    <t>1 oz Mr. Black Coffee Amaro</t>
  </si>
  <si>
    <t>Mr. Black Coffee Amaro</t>
  </si>
  <si>
    <t>2 Oranges</t>
  </si>
  <si>
    <t>Oranges</t>
  </si>
  <si>
    <t>City Slicker</t>
  </si>
  <si>
    <t>1 Pinch of salt</t>
  </si>
  <si>
    <t>6 oz mezcal</t>
  </si>
  <si>
    <t>Netherland</t>
  </si>
  <si>
    <t>Apple Highball</t>
  </si>
  <si>
    <t>1 part Apple Cider, Hard</t>
  </si>
  <si>
    <t>Hard</t>
  </si>
  <si>
    <t>Day Dreaming</t>
  </si>
  <si>
    <t>1.25 ounce gin, preferably Tanqueray</t>
  </si>
  <si>
    <t>, preferably Tanqueray</t>
  </si>
  <si>
    <t>0.75 oz orgeat</t>
  </si>
  <si>
    <t>Aquamarine</t>
  </si>
  <si>
    <t>Vodka Tonic</t>
  </si>
  <si>
    <t>4 parts Tonic water</t>
  </si>
  <si>
    <t>Strawberry liqueur 0.5 oz</t>
  </si>
  <si>
    <t>1.5 oz of Smirnoff vodka</t>
  </si>
  <si>
    <t>Anti-Freeze 3</t>
  </si>
  <si>
    <t>357 Magnum</t>
  </si>
  <si>
    <t>Frangelico 0.75 oz</t>
  </si>
  <si>
    <t>Non-Alcoholic Mai Tai</t>
  </si>
  <si>
    <t>0.25 oz Orange Juice</t>
  </si>
  <si>
    <t>25 ml Triple Sec</t>
  </si>
  <si>
    <t>1 Oreo cookie</t>
  </si>
  <si>
    <t>Oreo cookie</t>
  </si>
  <si>
    <t>Cosmopolitan Cocktail 6</t>
  </si>
  <si>
    <t>Leprechaun</t>
  </si>
  <si>
    <t>Dinosaur Food</t>
  </si>
  <si>
    <t>20ml Acidified rhubarb cordial</t>
  </si>
  <si>
    <t>Acidified rhubarb cordial</t>
  </si>
  <si>
    <t>Tamarind Mate Cooler</t>
  </si>
  <si>
    <t>4.5 ounces roasted yerba mate tea</t>
  </si>
  <si>
    <t>roasted yerba mate tea</t>
  </si>
  <si>
    <t>Raspberry Cheesecake Martini</t>
  </si>
  <si>
    <t>Tequila Berry Twist</t>
  </si>
  <si>
    <t>2 oz Strawberry Liqueur</t>
  </si>
  <si>
    <t>1 dash Orange curacao</t>
  </si>
  <si>
    <t>Bee`s Kiss</t>
  </si>
  <si>
    <t>Thanksgiving Sangria</t>
  </si>
  <si>
    <t>0.75 oz mezcal</t>
  </si>
  <si>
    <t>Oreo and Irish Cream Shake</t>
  </si>
  <si>
    <t>1 teaspoon white sugar, or as needed for rimming</t>
  </si>
  <si>
    <t>, or as needed for rimming</t>
  </si>
  <si>
    <t>Mango Strawberry Sangria</t>
  </si>
  <si>
    <t>Moscato (or any white wine) 1 bottle</t>
  </si>
  <si>
    <t>Moscato|white wine</t>
  </si>
  <si>
    <t>(or any|)</t>
  </si>
  <si>
    <t>Marmalade Sour</t>
  </si>
  <si>
    <t>Zombie Brain Hemorrhage</t>
  </si>
  <si>
    <t>Bell's and Cola</t>
  </si>
  <si>
    <t>50ml Bell's Whisky</t>
  </si>
  <si>
    <t>Bell's Whisky</t>
  </si>
  <si>
    <t>Funk and Soul</t>
  </si>
  <si>
    <t>Juice of 0.5 lemon</t>
  </si>
  <si>
    <t>Juice lemon</t>
  </si>
  <si>
    <t>Flirtini</t>
  </si>
  <si>
    <t>Winter in Miami</t>
  </si>
  <si>
    <t>1 ounce tonic</t>
  </si>
  <si>
    <t>tonic</t>
  </si>
  <si>
    <t>10ml Cinnamon syrup</t>
  </si>
  <si>
    <t>Several dashes Worcestershire sauce</t>
  </si>
  <si>
    <t>Several</t>
  </si>
  <si>
    <t>12.5ml Apple Liqueur</t>
  </si>
  <si>
    <t>Apple Liqueur</t>
  </si>
  <si>
    <t>12 parts White Wine, Dry</t>
  </si>
  <si>
    <t>, Dry</t>
  </si>
  <si>
    <t>Green Iguana</t>
  </si>
  <si>
    <t>2 Part Sours</t>
  </si>
  <si>
    <t>Chocolate White Russian</t>
  </si>
  <si>
    <t>1 teaspoon kosher salt for rimming glasses</t>
  </si>
  <si>
    <t>1 part Aged tequila</t>
  </si>
  <si>
    <t>Brazilian Buck</t>
  </si>
  <si>
    <t>Berrynice</t>
  </si>
  <si>
    <t>10 mL Sugar Syrup</t>
  </si>
  <si>
    <t>2.5 parts Anejo Tequila</t>
  </si>
  <si>
    <t>Anejo Tequila</t>
  </si>
  <si>
    <t>Dionisia</t>
  </si>
  <si>
    <t>Eggnog Daiquiri</t>
  </si>
  <si>
    <t>0.75 to 1 ounce eggnog (see Editor's Note)</t>
  </si>
  <si>
    <t>0.75|1</t>
  </si>
  <si>
    <t>eggnog</t>
  </si>
  <si>
    <t>to|(see Editor's Note)</t>
  </si>
  <si>
    <t>Arizona Twister</t>
  </si>
  <si>
    <t>crushed Ice</t>
  </si>
  <si>
    <t>Ketel One Citroen Flavoured Vodka</t>
  </si>
  <si>
    <t>Kangaroo Cocktail</t>
  </si>
  <si>
    <t>Between The Sheets</t>
  </si>
  <si>
    <t>Flaming Lime Drop Shots</t>
  </si>
  <si>
    <t>White Christmas</t>
  </si>
  <si>
    <t>Blue Bermuda</t>
  </si>
  <si>
    <t>Mango Sorbet Tequila</t>
  </si>
  <si>
    <t>Strawberry Basil Margarita</t>
  </si>
  <si>
    <t>8 ice cubes</t>
  </si>
  <si>
    <t>Strawberry Birthday Cake Shots</t>
  </si>
  <si>
    <t>Cake mix 1 tbsp</t>
  </si>
  <si>
    <t>Cake mix</t>
  </si>
  <si>
    <t>Jamaican Jambaylaya</t>
  </si>
  <si>
    <t>Hot Rod Shooter</t>
  </si>
  <si>
    <t>Tabasco hot sauce 2 dashes</t>
  </si>
  <si>
    <t>Electric Ski-mask</t>
  </si>
  <si>
    <t>2.5 oz Cranberry Juice</t>
  </si>
  <si>
    <t>7&amp;7</t>
  </si>
  <si>
    <t>1 ounce citrus syrup (see Editor's Note)</t>
  </si>
  <si>
    <t>citrus syrup</t>
  </si>
  <si>
    <t>Hawaiian Dream</t>
  </si>
  <si>
    <t>Canadian Sour Cocktail</t>
  </si>
  <si>
    <t>Maraschino cherry, or lemon wedge, for garnish</t>
  </si>
  <si>
    <t>Maraschino cherry|lemon wedge</t>
  </si>
  <si>
    <t>Kenai Campfire</t>
  </si>
  <si>
    <t>Just the Paperwork</t>
  </si>
  <si>
    <t>1.5 ounces Cognac, preferably Pierre Ferrand Cognac</t>
  </si>
  <si>
    <t>, preferably Pierre Ferrand Cognac</t>
  </si>
  <si>
    <t>Cookies n Creamtini</t>
  </si>
  <si>
    <t>bourbon or rye whiskey</t>
  </si>
  <si>
    <t>Biekert</t>
  </si>
  <si>
    <t>Beam and 7</t>
  </si>
  <si>
    <t>3 oz Lemonade</t>
  </si>
  <si>
    <t>Caribe Cosmopolitan</t>
  </si>
  <si>
    <t>1.5 oz of rum</t>
  </si>
  <si>
    <t>Creamsicle Bomb</t>
  </si>
  <si>
    <t>Orange soda 4 oz</t>
  </si>
  <si>
    <t>North Sea Oil</t>
  </si>
  <si>
    <t>1.5 ounces Linie aquavit</t>
  </si>
  <si>
    <t>Linie aquavit</t>
  </si>
  <si>
    <t>1 oz Champagne</t>
  </si>
  <si>
    <t>1 oz Orange juice</t>
  </si>
  <si>
    <t>3 ounces tomato juice, store-bought or homemade</t>
  </si>
  <si>
    <t>, store-bought or homemade</t>
  </si>
  <si>
    <t>Tequila Soda</t>
  </si>
  <si>
    <t>Kentucky Peach</t>
  </si>
  <si>
    <t>25ml Sugar Syrup (1:1)</t>
  </si>
  <si>
    <t>(1:1)</t>
  </si>
  <si>
    <t>6 lime wedges</t>
  </si>
  <si>
    <t>Butter &amp; Scotchs Negroni Pie</t>
  </si>
  <si>
    <t>1-2 drops red food coloring</t>
  </si>
  <si>
    <t>red food coloring</t>
  </si>
  <si>
    <t>Black Witch</t>
  </si>
  <si>
    <t>Marilyn Monroe</t>
  </si>
  <si>
    <t>1 oz Apple Brandy</t>
  </si>
  <si>
    <t>Perfect Orange Margarita</t>
  </si>
  <si>
    <t>Kosher salt or flaky sea salt, for the rim (optional)</t>
  </si>
  <si>
    <t>Kosher salt|flaky sea salt</t>
  </si>
  <si>
    <t>or|, for the rim (optional)</t>
  </si>
  <si>
    <t>10.5 parts Cinnamon syrup</t>
  </si>
  <si>
    <t>Livingston</t>
  </si>
  <si>
    <t>Rosarita Highball</t>
  </si>
  <si>
    <t>Real Bahamas Sky Juice</t>
  </si>
  <si>
    <t>Gin 2 oz</t>
  </si>
  <si>
    <t>Port City Rum Old Fashioned</t>
  </si>
  <si>
    <t>Mint, to muddle</t>
  </si>
  <si>
    <t>English Rose Cocktail</t>
  </si>
  <si>
    <t>Glitter Bomb</t>
  </si>
  <si>
    <t>Goldschlager 1.5 oz</t>
  </si>
  <si>
    <t>Cherry Pippin Smash</t>
  </si>
  <si>
    <t>1 Fresh Rosemary sprig and apple for garnish</t>
  </si>
  <si>
    <t>Rosemary sprig|apple</t>
  </si>
  <si>
    <t>25ml Coffee Liqueur</t>
  </si>
  <si>
    <t>1 tbsp Honey syrup</t>
  </si>
  <si>
    <t>Carrot Daiquiri</t>
  </si>
  <si>
    <t>Voodoo Dew</t>
  </si>
  <si>
    <t>1 Can Citrus Soda</t>
  </si>
  <si>
    <t>1 part Kamora Coffee Liqueur</t>
  </si>
  <si>
    <t>Kamora Coffee Liqueur</t>
  </si>
  <si>
    <t>1 teaspoon grilled pineapple rich Demerara sugar syrup</t>
  </si>
  <si>
    <t>grilled pineapple rich Demerara sugar syrup</t>
  </si>
  <si>
    <t>Raspberry syrup 0.5 oz</t>
  </si>
  <si>
    <t>Candy Cocktail</t>
  </si>
  <si>
    <t>Mary Pickford Cocktail</t>
  </si>
  <si>
    <t>2 teaspoons grenadine</t>
  </si>
  <si>
    <t>2 oz London Dry gin</t>
  </si>
  <si>
    <t>Beer Jello Shots</t>
  </si>
  <si>
    <t>Jen Akins Ti' Punch</t>
  </si>
  <si>
    <t>2 ounces rhum agricole, preferably Rhum J.M Blanc 100-proof</t>
  </si>
  <si>
    <t>, preferably Rhum J.M Blanc 100-proof</t>
  </si>
  <si>
    <t>0.75 oz of fresh egg white</t>
  </si>
  <si>
    <t>Leather and Lace</t>
  </si>
  <si>
    <t>0.5 oz of Maraschino liqueur</t>
  </si>
  <si>
    <t>Martini Riff: Thats That</t>
  </si>
  <si>
    <t>Tell-Tale Heart: An Herbal Vodka Collins</t>
  </si>
  <si>
    <t>4 mint leaves</t>
  </si>
  <si>
    <t>Festive Fruit Fizz</t>
  </si>
  <si>
    <t>0.5 Orange Wheel (Garnish)</t>
  </si>
  <si>
    <t>0.5 oz of Bailey's Irish Cream</t>
  </si>
  <si>
    <t>0.5 cup lemon juice</t>
  </si>
  <si>
    <t>Gin Spirit</t>
  </si>
  <si>
    <t>1 Orange Peel Disc (Garnish)</t>
  </si>
  <si>
    <t>Orange Peel Disc</t>
  </si>
  <si>
    <t>0.75 oz Cherry Brandy</t>
  </si>
  <si>
    <t>Tea Cocktail: Sing Like a Bee</t>
  </si>
  <si>
    <t>40ml Johnnie Walker Green Label</t>
  </si>
  <si>
    <t>Johnnie Walker Green Label</t>
  </si>
  <si>
    <t>Caramel Mochatini</t>
  </si>
  <si>
    <t>.5 oz Butterscotch Schnapps</t>
  </si>
  <si>
    <t>Rye Sling</t>
  </si>
  <si>
    <t>0.25 oz Cherry Liqueur</t>
  </si>
  <si>
    <t>Charlie Coke</t>
  </si>
  <si>
    <t>1 Bottle Cola</t>
  </si>
  <si>
    <t>Chocolate Covered Strawberry</t>
  </si>
  <si>
    <t>Irish Mule</t>
  </si>
  <si>
    <t>Cosmopolitan - Calorie Conscious Version 2</t>
  </si>
  <si>
    <t>70ml Diet Cranberry Juice</t>
  </si>
  <si>
    <t>Diet Cranberry Juice</t>
  </si>
  <si>
    <t>0.25 teaspoon ground coriander</t>
  </si>
  <si>
    <t>Dave Matthews</t>
  </si>
  <si>
    <t>0.75 fluid ounce pineapple juice</t>
  </si>
  <si>
    <t>1.5 parts Amaro Liqueur</t>
  </si>
  <si>
    <t>Amaro Liqueur</t>
  </si>
  <si>
    <t>Scorpion Cocktail Punch</t>
  </si>
  <si>
    <t>1.5 bottles aged rum</t>
  </si>
  <si>
    <t>Jamaican Cabdriver</t>
  </si>
  <si>
    <t>4 oz of coconut rum</t>
  </si>
  <si>
    <t>1 750 mL bottle rose wine ( one you like to drink; we like ours on the dry side)</t>
  </si>
  <si>
    <t>1|bottle|( one you like to drink; we like ours dry on the side)</t>
  </si>
  <si>
    <t>Pupule</t>
  </si>
  <si>
    <t>Raspberry Lemon Drop Shots</t>
  </si>
  <si>
    <t>Winter Wheated Whiskey Sour</t>
  </si>
  <si>
    <t>0.5 oz orange Liqueur (Foret d'Orange)</t>
  </si>
  <si>
    <t>(Foret d'Orange)</t>
  </si>
  <si>
    <t>Bourbon Old Fashioned</t>
  </si>
  <si>
    <t>clear|, for serving</t>
  </si>
  <si>
    <t>Red Hot Slush</t>
  </si>
  <si>
    <t>Veronica Rose</t>
  </si>
  <si>
    <t>0.5 part Sweet orange aperitif</t>
  </si>
  <si>
    <t>Mocha Nut</t>
  </si>
  <si>
    <t>6 slices jalapeno pepper (adjust amount to taste)</t>
  </si>
  <si>
    <t>(adjust amount to taste)</t>
  </si>
  <si>
    <t>Mojito Jello Shots</t>
  </si>
  <si>
    <t>Lime rum 4 oz</t>
  </si>
  <si>
    <t>Lime rum</t>
  </si>
  <si>
    <t>0.75 oz pumpkin spice cream Liqueur</t>
  </si>
  <si>
    <t>pumpkin spice cream Liqueur</t>
  </si>
  <si>
    <t>3 oz ginger Ale</t>
  </si>
  <si>
    <t>ginger Ale</t>
  </si>
  <si>
    <t>Nickel</t>
  </si>
  <si>
    <t>1.33 oz Blackcurrant Vodka</t>
  </si>
  <si>
    <t>6 leaves fresh mint, plus more for garnish</t>
  </si>
  <si>
    <t>19 Blueberries</t>
  </si>
  <si>
    <t>The Minions Cocktail</t>
  </si>
  <si>
    <t>Fjellbekk</t>
  </si>
  <si>
    <t>Galliano Liqueur</t>
  </si>
  <si>
    <t>6 Drop Anise Extract</t>
  </si>
  <si>
    <t>Anise Extract</t>
  </si>
  <si>
    <t>3 fluid ounces vodka</t>
  </si>
  <si>
    <t>La Vida Coco</t>
  </si>
  <si>
    <t>70ml Pom Coconut</t>
  </si>
  <si>
    <t>Pom Coconut</t>
  </si>
  <si>
    <t>Almost Forgotten</t>
  </si>
  <si>
    <t>0.5 ounce porter reduction</t>
  </si>
  <si>
    <t>porter reduction</t>
  </si>
  <si>
    <t>2 parts Cruzan Estate Diamond Dark Rum</t>
  </si>
  <si>
    <t>Cruzan Estate Diamond Dark Rum</t>
  </si>
  <si>
    <t>Lactating Cowboy</t>
  </si>
  <si>
    <t>1 oz of Jack Daniel's Tennessee whiskey</t>
  </si>
  <si>
    <t>Jack Daniel's Tennessee whiskey</t>
  </si>
  <si>
    <t>Lemon Drop Shots</t>
  </si>
  <si>
    <t>1.5 ounces chilled vodka</t>
  </si>
  <si>
    <t>Paisley Martini</t>
  </si>
  <si>
    <t>Comfy Cream Soda</t>
  </si>
  <si>
    <t>Hanky Panky Cocktail</t>
  </si>
  <si>
    <t>1.5 oz London dry gin</t>
  </si>
  <si>
    <t>Ginger beer 4 oz</t>
  </si>
  <si>
    <t>Christmas Nipple</t>
  </si>
  <si>
    <t>The Last Frontier</t>
  </si>
  <si>
    <t>0.5 ounce manzanilla sherry, preferably La Cigarrera</t>
  </si>
  <si>
    <t>, preferably La Cigarrera</t>
  </si>
  <si>
    <t>0.5 part Grapefruit juice</t>
  </si>
  <si>
    <t>Pink Clyt</t>
  </si>
  <si>
    <t>Bird Bath</t>
  </si>
  <si>
    <t>8 oz whole milk</t>
  </si>
  <si>
    <t>Pineapple &amp; Orange Slices</t>
  </si>
  <si>
    <t>Orange Scorpion</t>
  </si>
  <si>
    <t>Cherry vodka 0.5 oz</t>
  </si>
  <si>
    <t>100ml Lemonade</t>
  </si>
  <si>
    <t>Pineapple rum 1 part</t>
  </si>
  <si>
    <t>Pineapple rum</t>
  </si>
  <si>
    <t>0.75 ounce Galliano liqueur (Galliano LAutentico)</t>
  </si>
  <si>
    <t>Galliano liqueur</t>
  </si>
  <si>
    <t>(Galliano LAutentico)</t>
  </si>
  <si>
    <t>Elephant Lips</t>
  </si>
  <si>
    <t>Cuba Kola</t>
  </si>
  <si>
    <t>2 parts Lime juice</t>
  </si>
  <si>
    <t>Girl From Mars</t>
  </si>
  <si>
    <t>0.25 ounce blended Scotch whisky</t>
  </si>
  <si>
    <t>June Negroni</t>
  </si>
  <si>
    <t>Chilton</t>
  </si>
  <si>
    <t>Rosa Martini</t>
  </si>
  <si>
    <t>1 Dash of rosewater</t>
  </si>
  <si>
    <t>rosewater</t>
  </si>
  <si>
    <t>Jagerita</t>
  </si>
  <si>
    <t>Vodka Jello Snow Cone</t>
  </si>
  <si>
    <t>Lemon lime soda 8 oz</t>
  </si>
  <si>
    <t>Rosemary Grapefruit Spritzer</t>
  </si>
  <si>
    <t>3 cans 12 oz cans of White Claw Grapefruit Hard Seltzer</t>
  </si>
  <si>
    <t>White Claw Grapefruit Hard Seltzer</t>
  </si>
  <si>
    <t>12 oz cans of</t>
  </si>
  <si>
    <t>Peels of 5 whole lemons</t>
  </si>
  <si>
    <t>lemons Peels</t>
  </si>
  <si>
    <t>Tangerine sour punchies infused vodka 2 oz</t>
  </si>
  <si>
    <t>Tangerine sour punchies infused vodka</t>
  </si>
  <si>
    <t>Cream 2 oz</t>
  </si>
  <si>
    <t>Piper At The Gates Of Dawn</t>
  </si>
  <si>
    <t>Brumate Raspberry Rum Sorbet Champagne Float</t>
  </si>
  <si>
    <t>15ml Fresh lime juice</t>
  </si>
  <si>
    <t>Irish Raktajino</t>
  </si>
  <si>
    <t>2 ounces espresso (or cold-brew coffee)</t>
  </si>
  <si>
    <t>espresso|cold-brew coffee</t>
  </si>
  <si>
    <t>2 oz Bourbon</t>
  </si>
  <si>
    <t>Lazy Suze</t>
  </si>
  <si>
    <t>1 part Rye whiskey</t>
  </si>
  <si>
    <t>Espresso Martino</t>
  </si>
  <si>
    <t>50ml Cold Brew Coffee</t>
  </si>
  <si>
    <t>Cold Brew Coffee</t>
  </si>
  <si>
    <t>The Dirty Martini</t>
  </si>
  <si>
    <t>Australian Baileys Flat White Martini</t>
  </si>
  <si>
    <t>Arancia Julius, a Harvey Wallbanger Riff</t>
  </si>
  <si>
    <t>2 oz orange juice</t>
  </si>
  <si>
    <t>Hawaiian Sea Breeze</t>
  </si>
  <si>
    <t>1 splash of Cranberry Juice</t>
  </si>
  <si>
    <t>1 orange, cut into thin wedges</t>
  </si>
  <si>
    <t>thin wedges</t>
  </si>
  <si>
    <t>1 liter strong, hot French roast coffee, preferably flavored with chicory, such as Cafe du Monde (DeGroff recommends combining equ...</t>
  </si>
  <si>
    <t>French roast coffee</t>
  </si>
  <si>
    <t>strong,|, preferably flavored with chicory, such as Cafe du Monde (DeGroff recommends combining equ...</t>
  </si>
  <si>
    <t>Miami Rice</t>
  </si>
  <si>
    <t>0.5 ounce cucumber juice</t>
  </si>
  <si>
    <t>Brandy (apple brandy if you have it) 1 oz</t>
  </si>
  <si>
    <t>(apple brandy if you have it)</t>
  </si>
  <si>
    <t>El Tesoro Tommy's Margarita</t>
  </si>
  <si>
    <t>0.75 part Agave Syrup</t>
  </si>
  <si>
    <t>1 sprig mint</t>
  </si>
  <si>
    <t>Peppermint White Russian</t>
  </si>
  <si>
    <t>1 ounce Kahlua (or other coffee liqueur like Tia Maria )</t>
  </si>
  <si>
    <t>(or other coffee liqueur like Tia Maria )</t>
  </si>
  <si>
    <t>Balsamic vinegar 2 drops</t>
  </si>
  <si>
    <t>Balsamic vinegar</t>
  </si>
  <si>
    <t>1 part DeKuyper Creme de Cocoa White Liqueur</t>
  </si>
  <si>
    <t>DeKuyper Creme de Cocoa White Liqueur</t>
  </si>
  <si>
    <t>Homemade Zima</t>
  </si>
  <si>
    <t>0.25 ounce lime juice, freshly squeezed</t>
  </si>
  <si>
    <t>Perfect Manhattan</t>
  </si>
  <si>
    <t>Tea &amp; Sympathy</t>
  </si>
  <si>
    <t>Corn syrup</t>
  </si>
  <si>
    <t>0.25 oz Midori</t>
  </si>
  <si>
    <t>Midori</t>
  </si>
  <si>
    <t>Yellow Bird Cocktail</t>
  </si>
  <si>
    <t>For the garnish: Lime slice and cocktail cherry</t>
  </si>
  <si>
    <t>Lime|cocktail cherry</t>
  </si>
  <si>
    <t>Green Tea Martini</t>
  </si>
  <si>
    <t>3 cl white creme de cacao - I used Bols</t>
  </si>
  <si>
    <t>Dr. Bacardi</t>
  </si>
  <si>
    <t>8 oz Pepper Soda</t>
  </si>
  <si>
    <t>Gin Limey</t>
  </si>
  <si>
    <t>1.5 oz of seagram's lime twisted gin</t>
  </si>
  <si>
    <t>seagram's lime twisted gin</t>
  </si>
  <si>
    <t>Hard Cream Soda Shots</t>
  </si>
  <si>
    <t>Whipping cream 0.5 oz</t>
  </si>
  <si>
    <t>Whipping cream</t>
  </si>
  <si>
    <t>DIY Cream of Coconut</t>
  </si>
  <si>
    <t>Soda Water and/or Sparkling Wine (to top up)</t>
  </si>
  <si>
    <t>Soda Water|Sparkling Wine</t>
  </si>
  <si>
    <t>and/or|(to top up)</t>
  </si>
  <si>
    <t>Blue sunny d 1.5 oz</t>
  </si>
  <si>
    <t>Blue sunny d</t>
  </si>
  <si>
    <t>0.75 cup skimmed Milk</t>
  </si>
  <si>
    <t>skimmed Milk</t>
  </si>
  <si>
    <t>Don Matteo</t>
  </si>
  <si>
    <t>1.67 oz Whiskey</t>
  </si>
  <si>
    <t>Full Moon 2</t>
  </si>
  <si>
    <t>Black Cherry</t>
  </si>
  <si>
    <t>Goldilocks Shot</t>
  </si>
  <si>
    <t>1 seedless watermelon, cut into cubes</t>
  </si>
  <si>
    <t>seedless watermelon</t>
  </si>
  <si>
    <t>0.75 cup half and half</t>
  </si>
  <si>
    <t>half and half</t>
  </si>
  <si>
    <t>Oaxacan Firing Squad</t>
  </si>
  <si>
    <t>2 ounces espadin mezcal, preferably Amaras Verde</t>
  </si>
  <si>
    <t>espadin mezcal</t>
  </si>
  <si>
    <t>, preferably Amaras Verde</t>
  </si>
  <si>
    <t>Banana Slushee</t>
  </si>
  <si>
    <t>8 cl beet beer</t>
  </si>
  <si>
    <t>beet beer</t>
  </si>
  <si>
    <t>3 oz Orange juice</t>
  </si>
  <si>
    <t>Pineapple Limoncello Spritz</t>
  </si>
  <si>
    <t>1.5 fluid ounces limoncello</t>
  </si>
  <si>
    <t>Candy Store</t>
  </si>
  <si>
    <t>Espresso Martini Granita Recipe</t>
  </si>
  <si>
    <t>Coffee beans, for garnish</t>
  </si>
  <si>
    <t>Coffee beans</t>
  </si>
  <si>
    <t>1 Bar Spoon of Sugar Syrup</t>
  </si>
  <si>
    <t>handful of mint</t>
  </si>
  <si>
    <t>handful</t>
  </si>
  <si>
    <t>Salt &amp; pepper 1 pinch</t>
  </si>
  <si>
    <t>Salt|pepper</t>
  </si>
  <si>
    <t>&amp;</t>
  </si>
  <si>
    <t>Johnnie Nutcracker</t>
  </si>
  <si>
    <t>1 oz Kiwi syrup</t>
  </si>
  <si>
    <t>Kiwi syrup</t>
  </si>
  <si>
    <t>Horse With No Name: A Tropical Tequila Cocktail</t>
  </si>
  <si>
    <t>3 drops black sesame oil</t>
  </si>
  <si>
    <t>black sesame oil</t>
  </si>
  <si>
    <t>Monte-Sano</t>
  </si>
  <si>
    <t>White Russian Milkshake</t>
  </si>
  <si>
    <t>Milk 1 oz</t>
  </si>
  <si>
    <t>Canadian Salad</t>
  </si>
  <si>
    <t>Smirnoff Red Vodka Triple S</t>
  </si>
  <si>
    <t>Vanilla vodka 1 part</t>
  </si>
  <si>
    <t>1 stick of cinnamon</t>
  </si>
  <si>
    <t>stick</t>
  </si>
  <si>
    <t>Edible flowers Garnish</t>
  </si>
  <si>
    <t>Edible flowers</t>
  </si>
  <si>
    <t>Crown and Coke</t>
  </si>
  <si>
    <t>Celery stalk, for garnish</t>
  </si>
  <si>
    <t>Celery stalk</t>
  </si>
  <si>
    <t>Cuban Manhattan</t>
  </si>
  <si>
    <t>Creamy Sex on the Beach Shots</t>
  </si>
  <si>
    <t>1 Dehydrated Orange Zest (Garnish)</t>
  </si>
  <si>
    <t>Dehydrated Orange Zest</t>
  </si>
  <si>
    <t>Fall Cocktail: Flannel Szn</t>
  </si>
  <si>
    <t>0.75 oz cider syrup</t>
  </si>
  <si>
    <t>cider syrup</t>
  </si>
  <si>
    <t>Mason Jar Aperol Spritz</t>
  </si>
  <si>
    <t>Orange wedge</t>
  </si>
  <si>
    <t>Fallen Angel 2</t>
  </si>
  <si>
    <t>2 Scoop Strawberry Ice Cream</t>
  </si>
  <si>
    <t>Strawberry Ice Cream</t>
  </si>
  <si>
    <t>0.75 simple syrup</t>
  </si>
  <si>
    <t>Cranberry Red</t>
  </si>
  <si>
    <t>Crown Royal Reserve Martini</t>
  </si>
  <si>
    <t>35ml Crown Royal Reserve Blended Canadian Whisky</t>
  </si>
  <si>
    <t>Crown Royal Reserve Blended Canadian Whisky</t>
  </si>
  <si>
    <t>8th Birthday</t>
  </si>
  <si>
    <t>Batched Paloma</t>
  </si>
  <si>
    <t>125ml Don Julio Blanco</t>
  </si>
  <si>
    <t>3 tablespoons gin</t>
  </si>
  <si>
    <t>Ojo Rojo</t>
  </si>
  <si>
    <t>5 dashes Worcestershire sauce</t>
  </si>
  <si>
    <t>1.66 oz tequila blanco</t>
  </si>
  <si>
    <t>2 wedges Lime</t>
  </si>
  <si>
    <t>Attitude</t>
  </si>
  <si>
    <t>1 oz Lemon Vodka</t>
  </si>
  <si>
    <t>Ariane Special</t>
  </si>
  <si>
    <t>1 maraschino cherry (such as Luxardo)</t>
  </si>
  <si>
    <t>(such as Luxardo)</t>
  </si>
  <si>
    <t>Nutella and Baileys martini</t>
  </si>
  <si>
    <t>0.33 cups Milk</t>
  </si>
  <si>
    <t>Ancho Chile Cocktail: Nonnas Biscotto</t>
  </si>
  <si>
    <t>0.25 oz amaretto</t>
  </si>
  <si>
    <t>Bunueloni</t>
  </si>
  <si>
    <t>Star Fruit</t>
  </si>
  <si>
    <t>St. Knuts Day</t>
  </si>
  <si>
    <t>2 dashes Creole bitters or Aromatic bitters</t>
  </si>
  <si>
    <t>Creole bitters or Aromatic bitters</t>
  </si>
  <si>
    <t>Paradise Cocktail</t>
  </si>
  <si>
    <t>Beijing Suan Nai</t>
  </si>
  <si>
    <t>10.5 part Unsweetened Yogurt</t>
  </si>
  <si>
    <t>Unsweetened Yogurt</t>
  </si>
  <si>
    <t>1.5 ounces blended Scotch whisky</t>
  </si>
  <si>
    <t>Spanish Gin and Tonic (Gin Tonica)</t>
  </si>
  <si>
    <t>fresh herbs, such as basil, thyme, mint, rosemary, or tarragon</t>
  </si>
  <si>
    <t>herbs|basil|thyme|mint|rosemary|tarragon</t>
  </si>
  <si>
    <t>, such as|,|,|,|, or</t>
  </si>
  <si>
    <t>Rad Negroni, Bro</t>
  </si>
  <si>
    <t>0.75 oz London Dry gin</t>
  </si>
  <si>
    <t>Ketel One &amp; Cranberry</t>
  </si>
  <si>
    <t>1 strawberries, halved</t>
  </si>
  <si>
    <t>Mango Raspberry Delight</t>
  </si>
  <si>
    <t>Passion fruit rum 1 oz</t>
  </si>
  <si>
    <t>Passion fruit rum</t>
  </si>
  <si>
    <t>Mojito Royal</t>
  </si>
  <si>
    <t>Splash of Champagne</t>
  </si>
  <si>
    <t>Jojo</t>
  </si>
  <si>
    <t>Dusty Rose</t>
  </si>
  <si>
    <t>0.5 part White Creme de cacao</t>
  </si>
  <si>
    <t>White Creme de cacao</t>
  </si>
  <si>
    <t>Danny Ocean Cocktail</t>
  </si>
  <si>
    <t>0.25 ounce maraschino liqueur</t>
  </si>
  <si>
    <t>1.67 cups whole milk</t>
  </si>
  <si>
    <t>Creamy Strawberry Daiquiri</t>
  </si>
  <si>
    <t>Container frozen strawberries in sugar 10 oz</t>
  </si>
  <si>
    <t>Container frozen strawberries in sugar</t>
  </si>
  <si>
    <t>1 ounce lemon juice , freshly squeezed</t>
  </si>
  <si>
    <t>orange twist, for garnish</t>
  </si>
  <si>
    <t>Fishbowl Jello Shots</t>
  </si>
  <si>
    <t>Gelatin 6 packs</t>
  </si>
  <si>
    <t>Gelatin packs</t>
  </si>
  <si>
    <t>Spicy Mango Shots</t>
  </si>
  <si>
    <t>Mango puree 3 oz</t>
  </si>
  <si>
    <t>Dirt Road Martini</t>
  </si>
  <si>
    <t>vegetable pieces from Mezzetta Italian Mix Giardiniera, for garnish</t>
  </si>
  <si>
    <t>vegetable pieces from Mezzetta Italian Mix Giardiniera</t>
  </si>
  <si>
    <t>Smirnoff Red Apple</t>
  </si>
  <si>
    <t>150ml Cranberry juice</t>
  </si>
  <si>
    <t>Banana Cinnamon Mojito</t>
  </si>
  <si>
    <t>7-10 leaves Mint, Fresh</t>
  </si>
  <si>
    <t>7|10</t>
  </si>
  <si>
    <t>-|,</t>
  </si>
  <si>
    <t>3 kumquats</t>
  </si>
  <si>
    <t>kumquats</t>
  </si>
  <si>
    <t>Tanqueray London Dry Dirty Martini</t>
  </si>
  <si>
    <t>20ml Mix of vermouth and sherry</t>
  </si>
  <si>
    <t>Mix of vermouth and sherry</t>
  </si>
  <si>
    <t>Ruby Red Rose</t>
  </si>
  <si>
    <t>Adam Cocktail</t>
  </si>
  <si>
    <t>Bourbon Blackberry Lemonade</t>
  </si>
  <si>
    <t>1 parts Blackberry Liqueur</t>
  </si>
  <si>
    <t>Easy Homemade Whiskey Sour</t>
  </si>
  <si>
    <t>1 fluid ounce fresh lemon juice</t>
  </si>
  <si>
    <t>1 tbsp Superfine Sugar</t>
  </si>
  <si>
    <t>3 dashes mole bitters (such as Bittermens)</t>
  </si>
  <si>
    <t>3 dashes chocolate bitters (or substitute Angostura bitters)</t>
  </si>
  <si>
    <t>chocolate bitters|Angostura bitters</t>
  </si>
  <si>
    <t>(or substitute|)</t>
  </si>
  <si>
    <t>Noce Royale</t>
  </si>
  <si>
    <t>Jeep Fuel</t>
  </si>
  <si>
    <t>Blue Skies Cocktail</t>
  </si>
  <si>
    <t>3 Dashes of spicy sauce</t>
  </si>
  <si>
    <t>spicy sauce</t>
  </si>
  <si>
    <t>Whisky Skin</t>
  </si>
  <si>
    <t>1 teaspoon demerara sugar</t>
  </si>
  <si>
    <t>demerara sugar</t>
  </si>
  <si>
    <t>0.5 cup coconut-flavored rum</t>
  </si>
  <si>
    <t>Miami Vice Popsicle</t>
  </si>
  <si>
    <t>Water 0.5 cup</t>
  </si>
  <si>
    <t>Cereal Milk</t>
  </si>
  <si>
    <t>Crushed cereal garnish undefined</t>
  </si>
  <si>
    <t>cereal</t>
  </si>
  <si>
    <t>Sprig of rosemary for garnish</t>
  </si>
  <si>
    <t>of|for garnish</t>
  </si>
  <si>
    <t>Little Eva</t>
  </si>
  <si>
    <t>Leg Spreader Cocktail Recipe</t>
  </si>
  <si>
    <t>Sauza Peach Margarita</t>
  </si>
  <si>
    <t>2 parts DeKuyper Peachtree Schnapps Liqueur</t>
  </si>
  <si>
    <t>Pumpkin Spice Hot Chocolate</t>
  </si>
  <si>
    <t>1 wedge Lemon</t>
  </si>
  <si>
    <t>Honey Bee</t>
  </si>
  <si>
    <t>Chaser Bomb</t>
  </si>
  <si>
    <t>Better Buck Tomorrow: A Whiskey Buck</t>
  </si>
  <si>
    <t>70ml Lemon-lime soda</t>
  </si>
  <si>
    <t>Garden Highball Mocktail</t>
  </si>
  <si>
    <t>Sprig of rosemary, for garnish</t>
  </si>
  <si>
    <t>of|, for garnish</t>
  </si>
  <si>
    <t>Tropical Lions Tail</t>
  </si>
  <si>
    <t>Transfusion Drink</t>
  </si>
  <si>
    <t>Ice, for serving (or try clear ice )</t>
  </si>
  <si>
    <t>, for serving (or try clear ice )</t>
  </si>
  <si>
    <t>2 ounces black-fig-infused cognac</t>
  </si>
  <si>
    <t>black-fig-infused cognac</t>
  </si>
  <si>
    <t>20.25 oz bourbon</t>
  </si>
  <si>
    <t>Double Derby</t>
  </si>
  <si>
    <t>1 part Red wine</t>
  </si>
  <si>
    <t>El Pepino</t>
  </si>
  <si>
    <t>Garnish: Chili-salt rim (or Tajin ) and cucumber slice</t>
  </si>
  <si>
    <t>Chili-salt rim|Tajin|cucumber slice</t>
  </si>
  <si>
    <t>(or|) and</t>
  </si>
  <si>
    <t>Australian Talisker and Oyster Ritual</t>
  </si>
  <si>
    <t>1 Oysters</t>
  </si>
  <si>
    <t>Oysters</t>
  </si>
  <si>
    <t>2 parts citrus Vodka</t>
  </si>
  <si>
    <t>citrus Vodka</t>
  </si>
  <si>
    <t>Peppermint Patty</t>
  </si>
  <si>
    <t>1 Dashes Chocolate Sauce</t>
  </si>
  <si>
    <t>0.5 oz Bols Peppermint Green</t>
  </si>
  <si>
    <t>The Peach Princess Cocktail</t>
  </si>
  <si>
    <t>Coffey`s Hot Irish Bloody Mary</t>
  </si>
  <si>
    <t>1 Pinch Pepper</t>
  </si>
  <si>
    <t>Dr. Dente</t>
  </si>
  <si>
    <t>0.33 Glass Brandy</t>
  </si>
  <si>
    <t>Glass Brandy</t>
  </si>
  <si>
    <t>Airmail Cocktail</t>
  </si>
  <si>
    <t>1 14 oz Cuban-style white rum</t>
  </si>
  <si>
    <t>1|14</t>
  </si>
  <si>
    <t>Cuban-style white rum</t>
  </si>
  <si>
    <t>White Chocolate &amp; Peppermint</t>
  </si>
  <si>
    <t>Watermelon &amp; Pomegranate</t>
  </si>
  <si>
    <t>3 parts Half and Half</t>
  </si>
  <si>
    <t>Baileyfloat</t>
  </si>
  <si>
    <t>10 oz Root Beer</t>
  </si>
  <si>
    <t>heavy 1.75 ounces London dry gin, preferably Tanqueray</t>
  </si>
  <si>
    <t>heavy London dry gin</t>
  </si>
  <si>
    <t>Australian Reeftip Coco</t>
  </si>
  <si>
    <t>Clamato Bloody Caesar</t>
  </si>
  <si>
    <t>1 drop Angostura Bitters</t>
  </si>
  <si>
    <t>Twist of Orange peel</t>
  </si>
  <si>
    <t>1 tsp. curacao</t>
  </si>
  <si>
    <t>0.75 ounce Carpano Antica</t>
  </si>
  <si>
    <t>0.5 oz Bols Genever</t>
  </si>
  <si>
    <t>Cocktail cherry, for garnish (optional)</t>
  </si>
  <si>
    <t>Cocktail cherry</t>
  </si>
  <si>
    <t>, for garnish (optional)</t>
  </si>
  <si>
    <t>Watermelon Cucumber Cooler</t>
  </si>
  <si>
    <t>Bacon and Tomato Sandwich</t>
  </si>
  <si>
    <t>The Gin Buck</t>
  </si>
  <si>
    <t>4 to 6 ounces ginger ale, or to taste</t>
  </si>
  <si>
    <t>to|, or to taste</t>
  </si>
  <si>
    <t>Date Night</t>
  </si>
  <si>
    <t>Destroyer Cocktail</t>
  </si>
  <si>
    <t>2 blood orange peels, cut with as little pith as possible (regular oranges can be substituted when blood oranges are not in season)</t>
  </si>
  <si>
    <t>blood orange peels</t>
  </si>
  <si>
    <t>, cut with as little pith as possible (regular oranges can be substituted when blood oranges are not in season)</t>
  </si>
  <si>
    <t>20 ml Champagne</t>
  </si>
  <si>
    <t>Amaretto Sour Classic</t>
  </si>
  <si>
    <t>For the garnish: Fresh mint, cocktail skewers</t>
  </si>
  <si>
    <t>mint|cocktail skewers</t>
  </si>
  <si>
    <t>3 ounces tonic water, preferably Fever-Tree</t>
  </si>
  <si>
    <t>, preferably Fever-Tree</t>
  </si>
  <si>
    <t>Tahitian Tea</t>
  </si>
  <si>
    <t>Pyogo Highball</t>
  </si>
  <si>
    <t>0.5 ounce shiitake mushroom syrup</t>
  </si>
  <si>
    <t>shiitake mushroom syrup</t>
  </si>
  <si>
    <t>black Coffee</t>
  </si>
  <si>
    <t>Fresca</t>
  </si>
  <si>
    <t>37.5 ml Citron Vodka</t>
  </si>
  <si>
    <t>0.25 cup crushed ice</t>
  </si>
  <si>
    <t>Spin Move</t>
  </si>
  <si>
    <t>0.75 oz scotch</t>
  </si>
  <si>
    <t>Aperitivo Del Nonno</t>
  </si>
  <si>
    <t>Zombie Scooby Snack</t>
  </si>
  <si>
    <t>Gingerbread Shot Glasses</t>
  </si>
  <si>
    <t>Vanilla extract 1 tsp</t>
  </si>
  <si>
    <t>0.5 ounce Licor 43</t>
  </si>
  <si>
    <t>Ciroc Blue Ocean</t>
  </si>
  <si>
    <t>Top Soda Water</t>
  </si>
  <si>
    <t>60 mL Cranberry Juice</t>
  </si>
  <si>
    <t>Coastal Breeze</t>
  </si>
  <si>
    <t>1.5 oz Canadian Whisky</t>
  </si>
  <si>
    <t>Ron zacapa (dark rum) 1.5 oz</t>
  </si>
  <si>
    <t>Ron zacapa (dark rum)</t>
  </si>
  <si>
    <t>Lemon soda - I used Pellegrino Lemonata</t>
  </si>
  <si>
    <t>1 ounce freshly squeezed lemon juice, from 0.5 medium lemon</t>
  </si>
  <si>
    <t>, from 0.5 medium lemon</t>
  </si>
  <si>
    <t>Citrus Fizz</t>
  </si>
  <si>
    <t>Garnish with Lemon Wheel</t>
  </si>
  <si>
    <t>Watermelon &amp; Tonic</t>
  </si>
  <si>
    <t>2 Slices of Watermelon (Garnish)</t>
  </si>
  <si>
    <t>10.5 part Green Mint liqueur</t>
  </si>
  <si>
    <t>Green Mint liqueur</t>
  </si>
  <si>
    <t>Orange Creamsicle Float</t>
  </si>
  <si>
    <t>San Diego Silver Bullet</t>
  </si>
  <si>
    <t>0.5 cup whipped cream</t>
  </si>
  <si>
    <t>1 tsp of granulated sugar</t>
  </si>
  <si>
    <t>A Day at the (Crawfish) Races</t>
  </si>
  <si>
    <t>0.25 ounce lemon juice, freshly squeezed</t>
  </si>
  <si>
    <t>Jedi Lightsaber cocktail</t>
  </si>
  <si>
    <t>4 oz Light Rum</t>
  </si>
  <si>
    <t>Fall In Italy</t>
  </si>
  <si>
    <t>splashes Club Soda</t>
  </si>
  <si>
    <t>Litchi Paradis</t>
  </si>
  <si>
    <t>1 ounce Sakura blanc vermouth</t>
  </si>
  <si>
    <t>Sakura blanc vermouth</t>
  </si>
  <si>
    <t>0.75 part Mezcal</t>
  </si>
  <si>
    <t>Room for Improvements Manhattan</t>
  </si>
  <si>
    <t>0.5 ounce Cardamaro</t>
  </si>
  <si>
    <t>Grateful Dead 3</t>
  </si>
  <si>
    <t>Mexican Mule</t>
  </si>
  <si>
    <t>1 splash lime juice</t>
  </si>
  <si>
    <t>Aubade</t>
  </si>
  <si>
    <t>2.5 oz of rum</t>
  </si>
  <si>
    <t>Green Banana Easy Mix</t>
  </si>
  <si>
    <t>1.5 oz Bols Green Banana</t>
  </si>
  <si>
    <t>Bols Green Banana</t>
  </si>
  <si>
    <t>Mockarita</t>
  </si>
  <si>
    <t>0.5 parts agave nectar</t>
  </si>
  <si>
    <t>3 Can Water</t>
  </si>
  <si>
    <t>Gourmet Jolly Rancher Green Apple Martini</t>
  </si>
  <si>
    <t>10ml Simple Syrup</t>
  </si>
  <si>
    <t>Spiced Margarita</t>
  </si>
  <si>
    <t>0.75 ounce amaretto</t>
  </si>
  <si>
    <t>0.75 fluid ounce white creme de cacao</t>
  </si>
  <si>
    <t>May Day</t>
  </si>
  <si>
    <t>High Seas</t>
  </si>
  <si>
    <t>0.5 ounce Dolin blanc vermouth</t>
  </si>
  <si>
    <t>Dolin blanc vermouth</t>
  </si>
  <si>
    <t>1 shot of Lime Juice</t>
  </si>
  <si>
    <t>Happy Bastard</t>
  </si>
  <si>
    <t>0.25 ounce St-Germain</t>
  </si>
  <si>
    <t>St-Germain</t>
  </si>
  <si>
    <t>10.5 tsp Simple syrup</t>
  </si>
  <si>
    <t>32 Down</t>
  </si>
  <si>
    <t>2 dash of bitters</t>
  </si>
  <si>
    <t>Grape Cosmo</t>
  </si>
  <si>
    <t>Texas Tea Cocktail</t>
  </si>
  <si>
    <t>The Royal Monarch</t>
  </si>
  <si>
    <t>1 Lemon Twist (garnish)</t>
  </si>
  <si>
    <t>M&amp;ms</t>
  </si>
  <si>
    <t>Cherry Chocolate Martini Recipe</t>
  </si>
  <si>
    <t>Bees Knees</t>
  </si>
  <si>
    <t>Closure</t>
  </si>
  <si>
    <t>1 tbsp Ice Cream</t>
  </si>
  <si>
    <t>Incredible Hulk Drink</t>
  </si>
  <si>
    <t>1 part Cruzan Aged Dark Rum</t>
  </si>
  <si>
    <t>1.5 parts Auchentoshan American Oak Single Malt Scotch Whisky</t>
  </si>
  <si>
    <t>Auchentoshan American Oak Single Malt Scotch Whisky</t>
  </si>
  <si>
    <t>Exchange Block</t>
  </si>
  <si>
    <t>Smirnoff Vodka and Tonic</t>
  </si>
  <si>
    <t>150ml Tonic</t>
  </si>
  <si>
    <t>0.5 shot Grenadine</t>
  </si>
  <si>
    <t>Le Boutier Cocktail: Sinn Sisamouth in the Second City</t>
  </si>
  <si>
    <t>0.5 oz Averna</t>
  </si>
  <si>
    <t>Raspberry Bliss Lemonade Cocktail Recipe</t>
  </si>
  <si>
    <t>Pegu</t>
  </si>
  <si>
    <t>Angel's Tit</t>
  </si>
  <si>
    <t>1 barspoon Cherry Heering</t>
  </si>
  <si>
    <t>barspoon Cherry Heering</t>
  </si>
  <si>
    <t>Virgin Pina Colada Recipe</t>
  </si>
  <si>
    <t>1 pound / 3 heaping cups frozen pineapple chunks</t>
  </si>
  <si>
    <t>pineapple chunks</t>
  </si>
  <si>
    <t>/ 3 heaping cups</t>
  </si>
  <si>
    <t>Bloody Beam</t>
  </si>
  <si>
    <t>2 Basil Leaves</t>
  </si>
  <si>
    <t>Arthur Flecks Madmans Elixir</t>
  </si>
  <si>
    <t>Spa</t>
  </si>
  <si>
    <t>Milk Shake 43</t>
  </si>
  <si>
    <t>Club Tropicana</t>
  </si>
  <si>
    <t>0.5 part Pineapple juice or crushed</t>
  </si>
  <si>
    <t>juice|crushed</t>
  </si>
  <si>
    <t>150ml Apple Cider</t>
  </si>
  <si>
    <t>Amaretto fizz</t>
  </si>
  <si>
    <t>Garnish with Orange Peel</t>
  </si>
  <si>
    <t>40.5 oz half and half</t>
  </si>
  <si>
    <t>2 ounces brandy</t>
  </si>
  <si>
    <t>Wet Your Whistle</t>
  </si>
  <si>
    <t>Black walnut bitters 3 dashes</t>
  </si>
  <si>
    <t>Black walnut bitters</t>
  </si>
  <si>
    <t>Perfect Aperol Spritz</t>
  </si>
  <si>
    <t>2 ounces Aperol, chilled</t>
  </si>
  <si>
    <t>Beach Peach</t>
  </si>
  <si>
    <t>Rye Whiskey Cocktail: La Caza</t>
  </si>
  <si>
    <t>12 oz Drambuie</t>
  </si>
  <si>
    <t>Cat and Fiddle</t>
  </si>
  <si>
    <t>1 tsp Vermouth</t>
  </si>
  <si>
    <t>Greazy Deigo</t>
  </si>
  <si>
    <t>12 oz Lemon-Lime Soda</t>
  </si>
  <si>
    <t>The Laverstoke</t>
  </si>
  <si>
    <t>75 ml Tonic Water</t>
  </si>
  <si>
    <t>0.5 ounce apple brandy, preferably St. George</t>
  </si>
  <si>
    <t>, preferably St. George</t>
  </si>
  <si>
    <t>4.5 cL Gin</t>
  </si>
  <si>
    <t>0.25 ounce garlic falernum (see Editor's Note)</t>
  </si>
  <si>
    <t>garlic falernum</t>
  </si>
  <si>
    <t>0.33 cup triple sec</t>
  </si>
  <si>
    <t>1 lime wheel, for garnish</t>
  </si>
  <si>
    <t>Blowhole</t>
  </si>
  <si>
    <t>Yule Nog</t>
  </si>
  <si>
    <t>4 parts Prepared Eggnog</t>
  </si>
  <si>
    <t>Prepared Eggnog</t>
  </si>
  <si>
    <t>1.5 ounces Cognac</t>
  </si>
  <si>
    <t>Archdruid</t>
  </si>
  <si>
    <t>2 to 3 dashes of 25% saline solution</t>
  </si>
  <si>
    <t>25% saline solution</t>
  </si>
  <si>
    <t>Gangs of New York Sour</t>
  </si>
  <si>
    <t>1.5 oz of Irish whiskey</t>
  </si>
  <si>
    <t>Johnnie &amp; Ginger With Fresh Ginger Ribbon</t>
  </si>
  <si>
    <t>50ml Of Johnnie Walker Red Label</t>
  </si>
  <si>
    <t>Tropical Cocktail</t>
  </si>
  <si>
    <t>1 dash Grenadine</t>
  </si>
  <si>
    <t>4 whole black peppercorns</t>
  </si>
  <si>
    <t>25ml Baileys Original Irish Cream (or 50 ml of either)</t>
  </si>
  <si>
    <t>(or 50 ml of either)</t>
  </si>
  <si>
    <t>Canelli Spritz</t>
  </si>
  <si>
    <t>0.5 teaspoon Giffard Creme de Framboise</t>
  </si>
  <si>
    <t>Giffard Creme de Framboise</t>
  </si>
  <si>
    <t>0.67 cup peach schnapps</t>
  </si>
  <si>
    <t>Liquid Valium</t>
  </si>
  <si>
    <t>1 cup whiskey</t>
  </si>
  <si>
    <t>Dear Prudence</t>
  </si>
  <si>
    <t>3 whole Raspberry</t>
  </si>
  <si>
    <t>Strawberry Rose Sangria</t>
  </si>
  <si>
    <t>Zombie #2</t>
  </si>
  <si>
    <t>Fortune Margarita</t>
  </si>
  <si>
    <t>2dashes Absinthe</t>
  </si>
  <si>
    <t>1 lime , freshly squeezed</t>
  </si>
  <si>
    <t>Drunken Cherries</t>
  </si>
  <si>
    <t>Airhead Xtreme Jolly Rancher Vodka Popsicles</t>
  </si>
  <si>
    <t>I can't wait for warmer weather and cocktails on the beach.</t>
  </si>
  <si>
    <t>Pera Fortuna</t>
  </si>
  <si>
    <t>3 dashes celery bitters, preferably Fee Brothers</t>
  </si>
  <si>
    <t>, preferably Fee Brothers</t>
  </si>
  <si>
    <t>Caribbean Romance</t>
  </si>
  <si>
    <t>Diesel</t>
  </si>
  <si>
    <t>0.5 pint Cider</t>
  </si>
  <si>
    <t>12 oz Water</t>
  </si>
  <si>
    <t>0.5 ounce freshly squeezed grapefruit juice</t>
  </si>
  <si>
    <t>Jen`s Mountain Gin</t>
  </si>
  <si>
    <t>4 sliced fresh Strawberries</t>
  </si>
  <si>
    <t>Hawaiian Volcano 2</t>
  </si>
  <si>
    <t>Blackdriver Haus</t>
  </si>
  <si>
    <t>7 oz Orange Juice</t>
  </si>
  <si>
    <t>Blue Ruby</t>
  </si>
  <si>
    <t>Lulu at Le Monocle</t>
  </si>
  <si>
    <t>absinthe, for spritzing</t>
  </si>
  <si>
    <t>, for spritzing</t>
  </si>
  <si>
    <t>1 Fennel Sprig (Garnish)</t>
  </si>
  <si>
    <t>Fennel</t>
  </si>
  <si>
    <t>Soho Martini</t>
  </si>
  <si>
    <t>4 oz White Wine</t>
  </si>
  <si>
    <t>2 lemon wedges, divided</t>
  </si>
  <si>
    <t>25ml Tanqueray Gin</t>
  </si>
  <si>
    <t>Tanqueray Gin</t>
  </si>
  <si>
    <t>Cold Porridge</t>
  </si>
  <si>
    <t>1.5 oz Double Cream</t>
  </si>
  <si>
    <t>Green Cow</t>
  </si>
  <si>
    <t>1 Part Banana Liqueur</t>
  </si>
  <si>
    <t>1 dash Hot sauce</t>
  </si>
  <si>
    <t>Bailey Martini</t>
  </si>
  <si>
    <t>1 oz of Smirnoff vodka</t>
  </si>
  <si>
    <t>0.75 ounce Averna</t>
  </si>
  <si>
    <t>0.5 ounce Giffard Blue Curacao</t>
  </si>
  <si>
    <t>Giffard Blue Curacao</t>
  </si>
  <si>
    <t>Hot Rod</t>
  </si>
  <si>
    <t>6 cl carrot juice</t>
  </si>
  <si>
    <t>0.5 ounce applejack, preferably Laird's</t>
  </si>
  <si>
    <t>, preferably Laird's</t>
  </si>
  <si>
    <t>Liquid Marijuana Shot</t>
  </si>
  <si>
    <t>Spiced rum 1 part</t>
  </si>
  <si>
    <t>1.5 parts Hornitos Anejo Tequila</t>
  </si>
  <si>
    <t>Hornitos Anejo Tequila</t>
  </si>
  <si>
    <t>3 cl gin</t>
  </si>
  <si>
    <t>Thanksgiving Jungle Juice</t>
  </si>
  <si>
    <t>3 cups Cranberry Juice</t>
  </si>
  <si>
    <t>Daddy Dont Make Dinner</t>
  </si>
  <si>
    <t>10.5 parts Vodka or Citrus vodka or Gin or Botanical gin</t>
  </si>
  <si>
    <t>Vodka|Citrus vodka|Gin|Botanical gin</t>
  </si>
  <si>
    <t>Sangria Popsicles</t>
  </si>
  <si>
    <t>A Pimp Named Slickback</t>
  </si>
  <si>
    <t>50ml Smirnoff Red Vodka</t>
  </si>
  <si>
    <t>Smirnoff Red Vodka</t>
  </si>
  <si>
    <t>Blue Hawaiian</t>
  </si>
  <si>
    <t>Ann Sheridan Cocktail</t>
  </si>
  <si>
    <t>0.67 oz White Rum</t>
  </si>
  <si>
    <t>Alice Cocktail</t>
  </si>
  <si>
    <t>2 cl Pineapple juice</t>
  </si>
  <si>
    <t>Goombay Smash 2</t>
  </si>
  <si>
    <t>4 oz Pineapple Juice</t>
  </si>
  <si>
    <t>Full Nelson 2</t>
  </si>
  <si>
    <t>6 oz Cranberry Juice</t>
  </si>
  <si>
    <t>Rose Noir</t>
  </si>
  <si>
    <t>Jungle Milk</t>
  </si>
  <si>
    <t>5 6 oz Hot Chocolate</t>
  </si>
  <si>
    <t>Clamato 4 oz</t>
  </si>
  <si>
    <t>Clamato</t>
  </si>
  <si>
    <t>1 cup crushed ice, or as desired</t>
  </si>
  <si>
    <t>, or as desired</t>
  </si>
  <si>
    <t>Johnnie Walker Black Sour</t>
  </si>
  <si>
    <t>Calming Draught</t>
  </si>
  <si>
    <t>1 black tea bag</t>
  </si>
  <si>
    <t>black tea bag</t>
  </si>
  <si>
    <t>0.5 ounce cream</t>
  </si>
  <si>
    <t>cream</t>
  </si>
  <si>
    <t>Passionate Cosmo</t>
  </si>
  <si>
    <t>0.75 oz high-proof bourbon</t>
  </si>
  <si>
    <t>high-proof bourbon</t>
  </si>
  <si>
    <t>Coconut Pineapple Tequila</t>
  </si>
  <si>
    <t>The 9th Island: A Mezcal Highball</t>
  </si>
  <si>
    <t>1.5 oz coconut water</t>
  </si>
  <si>
    <t>Drunken Candy Skewers</t>
  </si>
  <si>
    <t>Pineapple Cocktail</t>
  </si>
  <si>
    <t>Stockholm 75</t>
  </si>
  <si>
    <t>Brainstorm Cocktail</t>
  </si>
  <si>
    <t>1 tsp Sweet Vermouth</t>
  </si>
  <si>
    <t>Batched Manhattan</t>
  </si>
  <si>
    <t>4.5L Mineral Water</t>
  </si>
  <si>
    <t>Mineral Water</t>
  </si>
  <si>
    <t>Classic Sangria</t>
  </si>
  <si>
    <t>Dry red wine 750 ml</t>
  </si>
  <si>
    <t>Saketini</t>
  </si>
  <si>
    <t>70 ml Gin</t>
  </si>
  <si>
    <t>Whisky Smash</t>
  </si>
  <si>
    <t>0.75 part Lemon</t>
  </si>
  <si>
    <t>April Rain</t>
  </si>
  <si>
    <t>0.5 part Ginger liqueur</t>
  </si>
  <si>
    <t>4 thin slices of ginger, peeled and about 0.75 inch round</t>
  </si>
  <si>
    <t>thin slices|peeled|0.75 inch round</t>
  </si>
  <si>
    <t>of|,|and about</t>
  </si>
  <si>
    <t>Amaretto Sunrise</t>
  </si>
  <si>
    <t>top with Club Soda</t>
  </si>
  <si>
    <t>10 oz Bourbon Whiskey</t>
  </si>
  <si>
    <t>1.5 ounces Compass Box The Peat Monster scotch</t>
  </si>
  <si>
    <t>Compass Box The Peat Monster scotch</t>
  </si>
  <si>
    <t>Ciroc &amp; Lemonade</t>
  </si>
  <si>
    <t>50ml Ciroc</t>
  </si>
  <si>
    <t>Ciroc</t>
  </si>
  <si>
    <t>2 sticks unsalted butter</t>
  </si>
  <si>
    <t>sticks</t>
  </si>
  <si>
    <t>0.33 cup frozen blueberries</t>
  </si>
  <si>
    <t>Raspberry Lemon Drop Shot</t>
  </si>
  <si>
    <t>50ml Ketel One Raspberry Vodka Infusion</t>
  </si>
  <si>
    <t>Ketel One Raspberry Vodka Infusion</t>
  </si>
  <si>
    <t>Beachbums Own</t>
  </si>
  <si>
    <t>GORDON'S PASSIONFRUIT FIZZ</t>
  </si>
  <si>
    <t>WooWoo</t>
  </si>
  <si>
    <t>37.5 ml Peach Schnapps</t>
  </si>
  <si>
    <t>Namaste</t>
  </si>
  <si>
    <t>Jacobo`s Melon Bomb</t>
  </si>
  <si>
    <t>4 oz Cherry Soda</t>
  </si>
  <si>
    <t>Cherry Soda</t>
  </si>
  <si>
    <t>0.25 cup vodka</t>
  </si>
  <si>
    <t>8 oz Apple Juice</t>
  </si>
  <si>
    <t>Charmides</t>
  </si>
  <si>
    <t>Cocktail Artist Mar-Gore-Ita</t>
  </si>
  <si>
    <t>Kirk Estopinals Absinthe Suissesse</t>
  </si>
  <si>
    <t>1 ounce absinthe verte , such as Nouvelle Orleans</t>
  </si>
  <si>
    <t>absinthe verte</t>
  </si>
  <si>
    <t>, such as Nouvelle Orleans</t>
  </si>
  <si>
    <t>Hornitos Black Barrel Tequila Old Fashioned</t>
  </si>
  <si>
    <t>Starry Night</t>
  </si>
  <si>
    <t>0.25 ounce butterfly pea flower syrup</t>
  </si>
  <si>
    <t>butterfly pea flower syrup</t>
  </si>
  <si>
    <t>1 3 Dash Lime Juice</t>
  </si>
  <si>
    <t>3 Lime Juice</t>
  </si>
  <si>
    <t>0.25 Shot Orange Liqueur</t>
  </si>
  <si>
    <t>Mexican Strawberry</t>
  </si>
  <si>
    <t>Turbo Corona</t>
  </si>
  <si>
    <t>Red Apple Martini</t>
  </si>
  <si>
    <t>2 sprigs fresh dill</t>
  </si>
  <si>
    <t>Merchant of False Promises</t>
  </si>
  <si>
    <t>8 lime wedges</t>
  </si>
  <si>
    <t>Port Wine Eggnog</t>
  </si>
  <si>
    <t>3 oz Red Port</t>
  </si>
  <si>
    <t>1 splash pure vanilla extract</t>
  </si>
  <si>
    <t>20.25 parts Gin</t>
  </si>
  <si>
    <t>Hot Tanqueray Cider</t>
  </si>
  <si>
    <t>ot</t>
  </si>
  <si>
    <t>1Tbsp Sugar</t>
  </si>
  <si>
    <t>Crocodile</t>
  </si>
  <si>
    <t>Sexy Monica</t>
  </si>
  <si>
    <t>Frozen Coconut</t>
  </si>
  <si>
    <t>Passion Chi-Chi</t>
  </si>
  <si>
    <t>1.5 oz Passion Fruit Juice</t>
  </si>
  <si>
    <t>.5 oz Kiwi Fruit Liqueur</t>
  </si>
  <si>
    <t>Kiwi Fruit Liqueur</t>
  </si>
  <si>
    <t>Swedish fish</t>
  </si>
  <si>
    <t>Ginger ale 64 oz</t>
  </si>
  <si>
    <t>50ml Haig Club Whisky</t>
  </si>
  <si>
    <t>Haig Club Whisky</t>
  </si>
  <si>
    <t>1 tsp Herbal Liqueur</t>
  </si>
  <si>
    <t>Garnish: edible flower petals (optional)</t>
  </si>
  <si>
    <t>edible flower petals</t>
  </si>
  <si>
    <t>Party Cat Mezcal Cocktail</t>
  </si>
  <si>
    <t>Lipstick On Your Dipstick</t>
  </si>
  <si>
    <t>1 tsp of Bailey's Irish Cream</t>
  </si>
  <si>
    <t>Blue Fox Trot</t>
  </si>
  <si>
    <t>15ml Champagne</t>
  </si>
  <si>
    <t>Pineapple juice 0.5 oz</t>
  </si>
  <si>
    <t>Olive Martini</t>
  </si>
  <si>
    <t>15ml Cinnamon syrup</t>
  </si>
  <si>
    <t>4 to 5 large navel oranges, squeezed into juice</t>
  </si>
  <si>
    <t xml:space="preserve"> navel oranges</t>
  </si>
  <si>
    <t>to|,|into juice</t>
  </si>
  <si>
    <t>Cherry Sling</t>
  </si>
  <si>
    <t>Welcome to France Manhattan Riff</t>
  </si>
  <si>
    <t>2 oz single malt whisky</t>
  </si>
  <si>
    <t>single malt whisky</t>
  </si>
  <si>
    <t>Lemon Splash Martini</t>
  </si>
  <si>
    <t>Sriracha Pepper Jello Shots</t>
  </si>
  <si>
    <t>Sriracha 1 splash</t>
  </si>
  <si>
    <t>Sriracha</t>
  </si>
  <si>
    <t>Classic Cuba Libre</t>
  </si>
  <si>
    <t>2 lime wedges</t>
  </si>
  <si>
    <t>Cucumber Raspberry Mojito</t>
  </si>
  <si>
    <t>Raspberries 10 undefined</t>
  </si>
  <si>
    <t>Raspberries undefined</t>
  </si>
  <si>
    <t>The Lady And The Gentleman</t>
  </si>
  <si>
    <t>35ml Baileys Vanilla Cinnamon Irish Cream Liqueur</t>
  </si>
  <si>
    <t>Dos Besitos</t>
  </si>
  <si>
    <t>1 tsp Grenadine or Pomegranate molasses</t>
  </si>
  <si>
    <t>1 Part Sugar Syrup</t>
  </si>
  <si>
    <t>Paint the Town: A Tropical Carrot Cocktail</t>
  </si>
  <si>
    <t>1 oz fresh carrot juice</t>
  </si>
  <si>
    <t>Johnnie Walker Double Black Label Whisky Manhattan</t>
  </si>
  <si>
    <t>Baileys Espresso Martini</t>
  </si>
  <si>
    <t>50ml Baileys Original Irish Cream Liqueur</t>
  </si>
  <si>
    <t>Dope Ass Midori Sour</t>
  </si>
  <si>
    <t>4 dashes yuzu extract</t>
  </si>
  <si>
    <t>yuzu extract</t>
  </si>
  <si>
    <t>Brave Bull Cocktail</t>
  </si>
  <si>
    <t>1 ounce Kahlua Coffee Liqueur</t>
  </si>
  <si>
    <t>Kahlua Coffee Liqueur</t>
  </si>
  <si>
    <t>1 dashes grenadine</t>
  </si>
  <si>
    <t>Calm Monkey</t>
  </si>
  <si>
    <t>Electric Beach Water</t>
  </si>
  <si>
    <t>Hpnotiq 0.5 oz</t>
  </si>
  <si>
    <t>Double Sambuca Bomb</t>
  </si>
  <si>
    <t>Honey Drop</t>
  </si>
  <si>
    <t>1 oz Margarita Mix</t>
  </si>
  <si>
    <t>Gordon's Tom Collins</t>
  </si>
  <si>
    <t>15ml Sugar Syrup (2:1 ratio)</t>
  </si>
  <si>
    <t>(2:1 ratio)</t>
  </si>
  <si>
    <t>Holiday at the Hive</t>
  </si>
  <si>
    <t>0.5 ounce honey</t>
  </si>
  <si>
    <t>Ciroc &amp; Peppered Strawberry - Calorie Conscious</t>
  </si>
  <si>
    <t>1 Slice of Strawberry (Garnish)</t>
  </si>
  <si>
    <t>Sangria Liqueur Sweet</t>
  </si>
  <si>
    <t>several Lime</t>
  </si>
  <si>
    <t>several</t>
  </si>
  <si>
    <t>Green Tea Shot</t>
  </si>
  <si>
    <t>Christmas Sangria</t>
  </si>
  <si>
    <t>Naked &amp; Famous</t>
  </si>
  <si>
    <t>0.75 part Yellow herbal liqueur</t>
  </si>
  <si>
    <t>Dreamy Banana Smoothie</t>
  </si>
  <si>
    <t>An Evening in Mexico</t>
  </si>
  <si>
    <t>Agave infused with orange peels 2 bar spoons</t>
  </si>
  <si>
    <t xml:space="preserve">Agave infused with orange peels </t>
  </si>
  <si>
    <t>15 -ounce can full fat coconut milk</t>
  </si>
  <si>
    <t>ounce can</t>
  </si>
  <si>
    <t>full fat coconut milk</t>
  </si>
  <si>
    <t>Three-Miler Cocktail</t>
  </si>
  <si>
    <t>Sparkling Apple Cider Sangria</t>
  </si>
  <si>
    <t>0.25 cup Cinnamon Sugar</t>
  </si>
  <si>
    <t>2 cups cubed seeded watermelon</t>
  </si>
  <si>
    <t>seeded watermelon</t>
  </si>
  <si>
    <t>1 ounce granacha, preferably Fontana Mesta 2019</t>
  </si>
  <si>
    <t>granacha</t>
  </si>
  <si>
    <t>, preferably Fontana Mesta 2019</t>
  </si>
  <si>
    <t>Garnish Whipped Cream</t>
  </si>
  <si>
    <t>Cotton Candy Pink Champagne</t>
  </si>
  <si>
    <t>Aperitif Punch: A Field Near Arles</t>
  </si>
  <si>
    <t>1 large sprig rosemary</t>
  </si>
  <si>
    <t>Strawberry Cheesecake</t>
  </si>
  <si>
    <t>0.5 oz Bols Strawberry</t>
  </si>
  <si>
    <t>Bols Strawberry</t>
  </si>
  <si>
    <t>June n Juice</t>
  </si>
  <si>
    <t>3 dashes Bittermens Burlesque Bitters</t>
  </si>
  <si>
    <t>Bittermens Burlesque Bitters</t>
  </si>
  <si>
    <t>1 ounce 100% cranberry juice (not sweetened)</t>
  </si>
  <si>
    <t>100% cranberry juice</t>
  </si>
  <si>
    <t>(not sweetened)</t>
  </si>
  <si>
    <t>0.5 cup mustard seeds</t>
  </si>
  <si>
    <t>mustard seeds</t>
  </si>
  <si>
    <t>0.75 part Grapefruit juice</t>
  </si>
  <si>
    <t>Screaming Banana Banshee</t>
  </si>
  <si>
    <t>Islay Daiquiri</t>
  </si>
  <si>
    <t>2 drops Bittermens tiki bitters</t>
  </si>
  <si>
    <t>Bittermens tiki bitters</t>
  </si>
  <si>
    <t>3 dashes Aromatic bitters or Cherry bitters or Orange bitters</t>
  </si>
  <si>
    <t>Aromatic bitters|Cherry bitters|Orange bitters</t>
  </si>
  <si>
    <t>Banana Dream</t>
  </si>
  <si>
    <t>Java &amp; Brioche</t>
  </si>
  <si>
    <t>half a small brioche bun - I baked my own you can too</t>
  </si>
  <si>
    <t>brioche bun</t>
  </si>
  <si>
    <t>a|- I baked my own you can too</t>
  </si>
  <si>
    <t>1 ripe medium banana</t>
  </si>
  <si>
    <t>1 cl Grenadine</t>
  </si>
  <si>
    <t>Tanqueray Tom Collins</t>
  </si>
  <si>
    <t>Rain Killer</t>
  </si>
  <si>
    <t>Ichigo Sour</t>
  </si>
  <si>
    <t>2 tsp Simple syrup or Strawberry syrup or Lemon syrup</t>
  </si>
  <si>
    <t>Simple syrup|Strawberry syrup|Lemon syrup</t>
  </si>
  <si>
    <t>Five Points Sazerac</t>
  </si>
  <si>
    <t>Captain`s Saddle</t>
  </si>
  <si>
    <t>Lime &amp; Orange wedges</t>
  </si>
  <si>
    <t>Lime|Orange</t>
  </si>
  <si>
    <t>Margarita Don Julio</t>
  </si>
  <si>
    <t>20ml Orange Liqueur</t>
  </si>
  <si>
    <t>Dawn Patrol</t>
  </si>
  <si>
    <t>1.5 ounces iced black tea</t>
  </si>
  <si>
    <t>iced black tea</t>
  </si>
  <si>
    <t>Ketel Soda With Grapefruit and Thyme</t>
  </si>
  <si>
    <t>Fresh thyme sprig, for garnish</t>
  </si>
  <si>
    <t>thyme</t>
  </si>
  <si>
    <t>2 part Moscato</t>
  </si>
  <si>
    <t>Sex on the Beach #2</t>
  </si>
  <si>
    <t>Redheaded Slut Shot</t>
  </si>
  <si>
    <t>Juice Lemon</t>
  </si>
  <si>
    <t>Vodka Lemonade</t>
  </si>
  <si>
    <t>Ice, for serving</t>
  </si>
  <si>
    <t>Cotillion Cocktail</t>
  </si>
  <si>
    <t>0.5 oz dry curacao</t>
  </si>
  <si>
    <t>Colt 45</t>
  </si>
  <si>
    <t>50 ml Jagermeister</t>
  </si>
  <si>
    <t>Pumpkin Pie Shooters</t>
  </si>
  <si>
    <t>Aperol Spritz</t>
  </si>
  <si>
    <t>Fennellys Chocolate Martini</t>
  </si>
  <si>
    <t>2 oz Fennellys Irish Cream</t>
  </si>
  <si>
    <t>Fennellys Irish Cream</t>
  </si>
  <si>
    <t>1 oz fresh blood orange juice</t>
  </si>
  <si>
    <t>Cucumber wheel for garnish (optional)</t>
  </si>
  <si>
    <t>The Noble One</t>
  </si>
  <si>
    <t>1.5 ounces Quinta do Infantado white port</t>
  </si>
  <si>
    <t>Quinta do Infantado white port</t>
  </si>
  <si>
    <t>San Francisco Nog</t>
  </si>
  <si>
    <t>Sparkling Watermelon Punch</t>
  </si>
  <si>
    <t>3 dashes grapefruit bitters</t>
  </si>
  <si>
    <t>Grand Julio Margarita</t>
  </si>
  <si>
    <t>40ml Don Julio Blanco</t>
  </si>
  <si>
    <t>Love Bite</t>
  </si>
  <si>
    <t>Chocolate Rum</t>
  </si>
  <si>
    <t>The Blue Banana</t>
  </si>
  <si>
    <t>A More Perfect Union</t>
  </si>
  <si>
    <t>10.25 parts White wine aperitif</t>
  </si>
  <si>
    <t>12.5 ml Elderflower Cordial</t>
  </si>
  <si>
    <t>Berry Cool</t>
  </si>
  <si>
    <t>0.17 oz Orange Liqueur</t>
  </si>
  <si>
    <t>Encore</t>
  </si>
  <si>
    <t>50ml Smirnoff Amaretto</t>
  </si>
  <si>
    <t>1 Dash of Angostura bitters</t>
  </si>
  <si>
    <t>Vixen</t>
  </si>
  <si>
    <t>1.5 ounces reposado tequila</t>
  </si>
  <si>
    <t>Bourbon Lemonade</t>
  </si>
  <si>
    <t>The Christmas Martini</t>
  </si>
  <si>
    <t>2 teaspoons simple syrup or maple syrup</t>
  </si>
  <si>
    <t>simple syrup|maple syrup</t>
  </si>
  <si>
    <t>Golden Shower Bomb</t>
  </si>
  <si>
    <t>Hard apple cider 0.5 pint</t>
  </si>
  <si>
    <t>Hard apple cider</t>
  </si>
  <si>
    <t>Dead to Port: A Split-Base Winter Cocktail</t>
  </si>
  <si>
    <t>Apricot Mango Mimosas for a Crowd</t>
  </si>
  <si>
    <t>1 bottle sparkling rose</t>
  </si>
  <si>
    <t>sparkling rose</t>
  </si>
  <si>
    <t>25ml Smirnoff No. 21 Vodka</t>
  </si>
  <si>
    <t>Lavender Orchid</t>
  </si>
  <si>
    <t>25ml Tanqueray No. Ten Gin</t>
  </si>
  <si>
    <t>Frose Yall</t>
  </si>
  <si>
    <t>2 parts Simple syrup</t>
  </si>
  <si>
    <t>Blue Coconut Margarita</t>
  </si>
  <si>
    <t>Cream coconut</t>
  </si>
  <si>
    <t>Best Pineapple Mimosa</t>
  </si>
  <si>
    <t>1 ounce unsweetened coconut milk</t>
  </si>
  <si>
    <t>unsweetened coconut milk</t>
  </si>
  <si>
    <t>Tropical Fizz Spritz Recipe</t>
  </si>
  <si>
    <t>75 ml Lemonade</t>
  </si>
  <si>
    <t>10 green cardamom pods, crushed</t>
  </si>
  <si>
    <t>green cardamom pods,</t>
  </si>
  <si>
    <t>Brave Margot from Bar Marilou</t>
  </si>
  <si>
    <t>Sparkling Mint Julep</t>
  </si>
  <si>
    <t>2.5 oz Bourbon</t>
  </si>
  <si>
    <t>1 oz Pineapple Rum</t>
  </si>
  <si>
    <t>Pineapple Rum</t>
  </si>
  <si>
    <t>Smith and Kearns</t>
  </si>
  <si>
    <t>1 Splash Club Soda</t>
  </si>
  <si>
    <t>Strawberry Coconut Margarita</t>
  </si>
  <si>
    <t>2 drops Rhubarb bitters</t>
  </si>
  <si>
    <t>Ciroc Red Berry Punch</t>
  </si>
  <si>
    <t>75ml Cranberry juice</t>
  </si>
  <si>
    <t>Watermelon Jolly Rancher 2</t>
  </si>
  <si>
    <t>0.5 ounce makrut pina syrup</t>
  </si>
  <si>
    <t>makrut pina syrup</t>
  </si>
  <si>
    <t>Japanese Orange Breeze</t>
  </si>
  <si>
    <t>1 teaspoon white sugar, or more to taste</t>
  </si>
  <si>
    <t>Strawberry Rum Milkshake</t>
  </si>
  <si>
    <t>Double Fudge Martini 2</t>
  </si>
  <si>
    <t>1 barspoon Uchuva eau de vie</t>
  </si>
  <si>
    <t>Uchuva eau de vie</t>
  </si>
  <si>
    <t>2.5 oz Club Soda</t>
  </si>
  <si>
    <t>Kaikan Fizz</t>
  </si>
  <si>
    <t>1 barspoon lemon juice</t>
  </si>
  <si>
    <t>Flatliner</t>
  </si>
  <si>
    <t>1 ounce Baileys Irish Cream</t>
  </si>
  <si>
    <t>Blue Bayou</t>
  </si>
  <si>
    <t>50 ml Grapefruit Juice</t>
  </si>
  <si>
    <t>Strawberry Colada</t>
  </si>
  <si>
    <t>Bulldog Watermelon Margarita</t>
  </si>
  <si>
    <t>Sweet &amp; sour 5 oz</t>
  </si>
  <si>
    <t>For the garnish: orange peel and Luxardo cherry or cocktail cherry</t>
  </si>
  <si>
    <t>orange peel|Luxardo cherry|cocktail cherry</t>
  </si>
  <si>
    <t>For the garnish:|and|or</t>
  </si>
  <si>
    <t>Moi Vermouth Cocktail</t>
  </si>
  <si>
    <t>0.25 oz juniper-forward gin</t>
  </si>
  <si>
    <t>juniper-forward gin</t>
  </si>
  <si>
    <t>Hibiscus Vodka Soda</t>
  </si>
  <si>
    <t>Hibiscus Flower to garnish</t>
  </si>
  <si>
    <t>Hibiscus Flower</t>
  </si>
  <si>
    <t>15 oz cream of coconut</t>
  </si>
  <si>
    <t>Smirnoff Strawberry Swirl</t>
  </si>
  <si>
    <t>50ml Smirnoff Strawberry</t>
  </si>
  <si>
    <t>Smirnoff Strawberry</t>
  </si>
  <si>
    <t>Mezpresso Martini</t>
  </si>
  <si>
    <t>0.75 ounce Giffard Banane du Bresil</t>
  </si>
  <si>
    <t>Gordon's Sicilian Lemon and Tonic</t>
  </si>
  <si>
    <t>0.25 ounce Bigallet China-China Amer</t>
  </si>
  <si>
    <t>Bigallet China-China Amer</t>
  </si>
  <si>
    <t>Ground Sugar</t>
  </si>
  <si>
    <t>2 parts Gin or Botanical gin or Aged gin</t>
  </si>
  <si>
    <t>Gin|Botanical gin|Aged gin</t>
  </si>
  <si>
    <t>Clarified Pineapple Daiquiri</t>
  </si>
  <si>
    <t>4.25 ounces unaged rum, preferably Uruapan</t>
  </si>
  <si>
    <t>unaged rum</t>
  </si>
  <si>
    <t>, preferably Uruapan</t>
  </si>
  <si>
    <t>City Coral</t>
  </si>
  <si>
    <t>0.75 part White Grapefruit juice</t>
  </si>
  <si>
    <t>White Grapefruit juice</t>
  </si>
  <si>
    <t>Desert Sunrise</t>
  </si>
  <si>
    <t>1.5 oz of Pineapple Juice</t>
  </si>
  <si>
    <t>Coconut Shell</t>
  </si>
  <si>
    <t>2 Coconut</t>
  </si>
  <si>
    <t>General Sherman</t>
  </si>
  <si>
    <t>Metexa</t>
  </si>
  <si>
    <t>1.5 ounces Cocchi Americano</t>
  </si>
  <si>
    <t>Cocchi Americano</t>
  </si>
  <si>
    <t>Fucked by a Pharaoh</t>
  </si>
  <si>
    <t>.5 oz Blackcurrant Vodka</t>
  </si>
  <si>
    <t>Dagwaagin (Fall) Squash Shrub</t>
  </si>
  <si>
    <t>5 cups apple cider vinegar</t>
  </si>
  <si>
    <t>apple cider vinegar</t>
  </si>
  <si>
    <t>Ciroc Porn Star Martini</t>
  </si>
  <si>
    <t>50ml Passion Fruit puree</t>
  </si>
  <si>
    <t>Passion Fruit puree</t>
  </si>
  <si>
    <t>2 teaspoons superfine sugar, divided</t>
  </si>
  <si>
    <t>superfine sugar</t>
  </si>
  <si>
    <t>Winter Highball</t>
  </si>
  <si>
    <t>1.67 oz Dark Rum</t>
  </si>
  <si>
    <t>1 tsp. sea salt</t>
  </si>
  <si>
    <t>Tigers Claw: A Tropical Highball</t>
  </si>
  <si>
    <t>0.5 parts JDK &amp; Sons O3 Premium Orange Liqueur</t>
  </si>
  <si>
    <t>JDK &amp; Sons O3 Premium Orange Liqueur</t>
  </si>
  <si>
    <t>Jammy Fizz</t>
  </si>
  <si>
    <t>5 parts Sparkling white wine or Sparkling rose wine</t>
  </si>
  <si>
    <t>1 bottle Boone Strawberry Hill Wine</t>
  </si>
  <si>
    <t>Boone Strawberry Hill Wine</t>
  </si>
  <si>
    <t>LA Sunrise</t>
  </si>
  <si>
    <t>1 maraschino cherry</t>
  </si>
  <si>
    <t>Talisker Storm Light my Fire</t>
  </si>
  <si>
    <t>80361 Cocktail</t>
  </si>
  <si>
    <t>Egg White for a velvety texture</t>
  </si>
  <si>
    <t>for a velvety texture</t>
  </si>
  <si>
    <t>0.25 cup chopped red bell pepper</t>
  </si>
  <si>
    <t>Fresh Squeeze</t>
  </si>
  <si>
    <t>12.5 ml Campari</t>
  </si>
  <si>
    <t>Mini Spiked Creamsicle Shakes</t>
  </si>
  <si>
    <t>Bloody Butrum</t>
  </si>
  <si>
    <t>2 Dashes Tabasco sauce</t>
  </si>
  <si>
    <t>3 tang yuan (sesame rice balls)</t>
  </si>
  <si>
    <t>tang yuan</t>
  </si>
  <si>
    <t>(sesame rice balls)</t>
  </si>
  <si>
    <t>0.75 teaspoon soy-based liquid seasoning</t>
  </si>
  <si>
    <t>soy-based liquid seasoning</t>
  </si>
  <si>
    <t>.5 oz Citrus Vodka</t>
  </si>
  <si>
    <t>Harry Potter Butter Beer Jello Shots</t>
  </si>
  <si>
    <t>1 dash Grenadine or Pomegranate molasses or Pomegranate juice</t>
  </si>
  <si>
    <t>Grenadine|Pomegranate molasses|Pomegranate juice</t>
  </si>
  <si>
    <t>French Screwdriver</t>
  </si>
  <si>
    <t>5 6 oz Orange Soda</t>
  </si>
  <si>
    <t>Orange Soda</t>
  </si>
  <si>
    <t>Zambeer</t>
  </si>
  <si>
    <t>1.5 oz Sambuca</t>
  </si>
  <si>
    <t>Blue curacao syrup 1 splash</t>
  </si>
  <si>
    <t>Born To Be Wild</t>
  </si>
  <si>
    <t>2 Dashes orange bitters</t>
  </si>
  <si>
    <t>4 fluid ounces frozen limeade concentrate</t>
  </si>
  <si>
    <t>0.5 part Lemon juice or Lime</t>
  </si>
  <si>
    <t>Lemon juice|Lime</t>
  </si>
  <si>
    <t>.5 1 oz Whipped Cream</t>
  </si>
  <si>
    <t>1 Whipped Cream</t>
  </si>
  <si>
    <t>Vegan Milk Punch</t>
  </si>
  <si>
    <t>Merica Vodka Cinnamon Whiskey Cherries</t>
  </si>
  <si>
    <t>Cream Sherry Sangaree</t>
  </si>
  <si>
    <t>0.75 cup Fonseca Bin No. 27 port</t>
  </si>
  <si>
    <t>Fonseca Bin No. 27 port</t>
  </si>
  <si>
    <t>Bourbon Stone Sour</t>
  </si>
  <si>
    <t>0.25 oz Lemon Juice</t>
  </si>
  <si>
    <t>Rosy Dawn</t>
  </si>
  <si>
    <t>0.5 fluid ounce orange liqueur, such as Cointreau</t>
  </si>
  <si>
    <t>, such as Cointreau</t>
  </si>
  <si>
    <t>Ocean Blue</t>
  </si>
  <si>
    <t>Gold Margarita</t>
  </si>
  <si>
    <t>Clear ice , if serving on the rocks</t>
  </si>
  <si>
    <t>Clear|, if serving on the rocks</t>
  </si>
  <si>
    <t>Night Tripper</t>
  </si>
  <si>
    <t>0.25 ounce Strega</t>
  </si>
  <si>
    <t>Mortini</t>
  </si>
  <si>
    <t>The Rider</t>
  </si>
  <si>
    <t>1 small strip lime peel</t>
  </si>
  <si>
    <t>lime peel</t>
  </si>
  <si>
    <t>Brandy Summer Punch</t>
  </si>
  <si>
    <t>Mexicola</t>
  </si>
  <si>
    <t>20ml Angostura Bitters</t>
  </si>
  <si>
    <t>3 parts Lemon Juice</t>
  </si>
  <si>
    <t>1.5 oz of Orange Juice</t>
  </si>
  <si>
    <t>2 White Wine</t>
  </si>
  <si>
    <t>Cemetary Cider</t>
  </si>
  <si>
    <t>Bone Marrow Gibson</t>
  </si>
  <si>
    <t>60ml Tanqueray</t>
  </si>
  <si>
    <t>Thin Mint Martini</t>
  </si>
  <si>
    <t>1 fluid ounce peppermint schnapps</t>
  </si>
  <si>
    <t>peppermint schnapps</t>
  </si>
  <si>
    <t>Mango margarita mix 0.5 oz</t>
  </si>
  <si>
    <t>Mango margarita mix</t>
  </si>
  <si>
    <t>Purple: A Shochu Infusion</t>
  </si>
  <si>
    <t>200 g. purple sweet potato</t>
  </si>
  <si>
    <t>g.</t>
  </si>
  <si>
    <t>purple sweet potato</t>
  </si>
  <si>
    <t>Bloody O.J.</t>
  </si>
  <si>
    <t>1 Part Bourbon Whiskey</t>
  </si>
  <si>
    <t>Limon Collins</t>
  </si>
  <si>
    <t>3 oz Lemon Vodka</t>
  </si>
  <si>
    <t>Canadian Skittle</t>
  </si>
  <si>
    <t>.5 oz Egg White</t>
  </si>
  <si>
    <t>Lurking in the Deep Blue</t>
  </si>
  <si>
    <t>9 cl tonic water - I used Pellegrino</t>
  </si>
  <si>
    <t>Right Now: A Tequila Sour</t>
  </si>
  <si>
    <t>1 oz Cynar</t>
  </si>
  <si>
    <t>Cranberry &amp; Apple Weed Tea</t>
  </si>
  <si>
    <t>15ml Orange Curacao</t>
  </si>
  <si>
    <t>Czech Sidecar</t>
  </si>
  <si>
    <t>1 pinch Granulated sugar or Brown sugar</t>
  </si>
  <si>
    <t>Granulated sugar|Brown sugar</t>
  </si>
  <si>
    <t>1 cup white sugar, or to taste</t>
  </si>
  <si>
    <t>6 dashes Angostura bitters</t>
  </si>
  <si>
    <t>Classy Razz</t>
  </si>
  <si>
    <t>5 oz Ginger Ale</t>
  </si>
  <si>
    <t>Carbonated Cranberry</t>
  </si>
  <si>
    <t>20 mL Cherry Brandy</t>
  </si>
  <si>
    <t>1.5 oz of Bacardi rum</t>
  </si>
  <si>
    <t>Ichor and Glass: The Dewberrys Blood and Sand Riff</t>
  </si>
  <si>
    <t>0.75 oz orange-infused scotch</t>
  </si>
  <si>
    <t>orange-infused scotch</t>
  </si>
  <si>
    <t>0.75 cl Creme de Violette - I used Bitter Truth</t>
  </si>
  <si>
    <t>Creme de Violette</t>
  </si>
  <si>
    <t>4 Mint</t>
  </si>
  <si>
    <t>Scooter</t>
  </si>
  <si>
    <t>Blind Russian</t>
  </si>
  <si>
    <t>to fill Milk</t>
  </si>
  <si>
    <t>73 Bus 2</t>
  </si>
  <si>
    <t>Soapy Tits</t>
  </si>
  <si>
    <t>Cinnaberry Seltzer Splash</t>
  </si>
  <si>
    <t>4 oz Truly Wild Berry</t>
  </si>
  <si>
    <t>Truly Wild Berry</t>
  </si>
  <si>
    <t>Lorikeet</t>
  </si>
  <si>
    <t>4 dashes Aromatic bitters or Creole bitters or Tiki bitters or Orange bitters or Lemon bitters</t>
  </si>
  <si>
    <t>Aromatic bitters|Creole bitters|Tiki bitters|Orange bitters|Lemon bitters</t>
  </si>
  <si>
    <t>fill with.5 Lemonade</t>
  </si>
  <si>
    <t>2 oz dark Bermuda rum</t>
  </si>
  <si>
    <t>dark Bermuda rum</t>
  </si>
  <si>
    <t>Carnaby Street</t>
  </si>
  <si>
    <t>30ml Cranberry juice</t>
  </si>
  <si>
    <t>Are You Tough Enough?</t>
  </si>
  <si>
    <t>1 oz Grain Alcohol</t>
  </si>
  <si>
    <t>10ml Pomegranate liqueur</t>
  </si>
  <si>
    <t>Pomegranate liqueur</t>
  </si>
  <si>
    <t>3 large Orange</t>
  </si>
  <si>
    <t>1 parts Lime Juice</t>
  </si>
  <si>
    <t>Frozen Brandy And Rum</t>
  </si>
  <si>
    <t>Paradise</t>
  </si>
  <si>
    <t>0.5 parts Lemon juice</t>
  </si>
  <si>
    <t>Red, White, &amp; Blue Sangria</t>
  </si>
  <si>
    <t>Lifesaver gummies garnish undefined</t>
  </si>
  <si>
    <t>Lifesaver gummies</t>
  </si>
  <si>
    <t>25ml Stirrings Pomegranate Flavored Liqueur</t>
  </si>
  <si>
    <t>Stirrings Pomegranate Flavored Liqueur</t>
  </si>
  <si>
    <t>Buchanan's Negra</t>
  </si>
  <si>
    <t>125ml Cola</t>
  </si>
  <si>
    <t>Ciroc Pomegranate Lemonade</t>
  </si>
  <si>
    <t>35ml Ciroc Red Berry</t>
  </si>
  <si>
    <t>Ciroc Red Berry</t>
  </si>
  <si>
    <t>1 tsp Cherry Juice</t>
  </si>
  <si>
    <t>Sugar 0.5 cup</t>
  </si>
  <si>
    <t>Tita Nitas Milk Punch</t>
  </si>
  <si>
    <t>5 ounces lime juice</t>
  </si>
  <si>
    <t>Cognac Old Fashioned</t>
  </si>
  <si>
    <t>0.25 oz maraschino liqueur</t>
  </si>
  <si>
    <t>Apple Kale Mimosa</t>
  </si>
  <si>
    <t>Bunch kale</t>
  </si>
  <si>
    <t>Lovegin `n Juice</t>
  </si>
  <si>
    <t>La Pinta Pomegranate Blood Orange Margarita</t>
  </si>
  <si>
    <t>1 oz Don Roberto Plata Tequila</t>
  </si>
  <si>
    <t>Don Roberto Plata Tequila</t>
  </si>
  <si>
    <t>Maker's Mark Manhattan</t>
  </si>
  <si>
    <t>Neon-Geek</t>
  </si>
  <si>
    <t>.5 oz Citrus Soda</t>
  </si>
  <si>
    <t>Pinnacle Black Widow Martini</t>
  </si>
  <si>
    <t>3 parts Pinnacle Original Vodka</t>
  </si>
  <si>
    <t>0.75 teaspoon freshly grated nutmeg</t>
  </si>
  <si>
    <t>Glueh Kriek</t>
  </si>
  <si>
    <t>1 gram dried orange peels</t>
  </si>
  <si>
    <t>gram orange peels</t>
  </si>
  <si>
    <t>French Dream</t>
  </si>
  <si>
    <t>Smashed Watermelon Margarita</t>
  </si>
  <si>
    <t>.5 Part Pear Juice</t>
  </si>
  <si>
    <t>Pear Juice</t>
  </si>
  <si>
    <t>Berry Lemonade</t>
  </si>
  <si>
    <t>Red food coloring 1 drop</t>
  </si>
  <si>
    <t>Red food coloring</t>
  </si>
  <si>
    <t>0.5 part Aquavit</t>
  </si>
  <si>
    <t>Chewbacca Cocktail</t>
  </si>
  <si>
    <t>1 oz Lemon Lime Soda</t>
  </si>
  <si>
    <t>Lemon Lime Soda</t>
  </si>
  <si>
    <t>Sun on the Beach</t>
  </si>
  <si>
    <t>Beautiful Mila</t>
  </si>
  <si>
    <t>1.75 oz Dark Rum</t>
  </si>
  <si>
    <t>Don Julio Reposado Charro Tropical</t>
  </si>
  <si>
    <t>30ml Passion fruit puree</t>
  </si>
  <si>
    <t>Kosher salt or flaky sea salt, for the rim</t>
  </si>
  <si>
    <t>or|, for the rim</t>
  </si>
  <si>
    <t>Sparkling Caramel Apple Punch</t>
  </si>
  <si>
    <t>2 cups Ellington Reserve Salted Caramel Whisky</t>
  </si>
  <si>
    <t>Ellington Reserve Salted Caramel Whisky</t>
  </si>
  <si>
    <t>Joy Jumper</t>
  </si>
  <si>
    <t>2 tsp Caraway Liqueur</t>
  </si>
  <si>
    <t>Caraway Liqueur</t>
  </si>
  <si>
    <t>Dos Amigos Chicorita</t>
  </si>
  <si>
    <t>1 oz of Grand Marnier</t>
  </si>
  <si>
    <t>Dragonfruit Margarita</t>
  </si>
  <si>
    <t>0.25 tsp grated Nutmeg</t>
  </si>
  <si>
    <t>2 dashes Pernod absinthe</t>
  </si>
  <si>
    <t>Cinnamon Roll Shooters</t>
  </si>
  <si>
    <t>Cream soda 2 oz</t>
  </si>
  <si>
    <t>Damn, Daniel Shot</t>
  </si>
  <si>
    <t>Malibu rum 1 oz</t>
  </si>
  <si>
    <t>Orange Juice to top off</t>
  </si>
  <si>
    <t>to top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</si>
</sst>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9189-B9E4-41D3-B348-4FBC5412DCAD}">
  <dimension ref="A1:J10001"/>
  <sheetViews>
    <sheetView tabSelected="1" workbookViewId="0">
      <selection activeCell="B1" sqref="B1:B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0.5</v>
      </c>
      <c r="D2" t="s">
        <v>11</v>
      </c>
      <c r="E2" t="s">
        <v>12</v>
      </c>
    </row>
    <row r="3" spans="1:9" x14ac:dyDescent="0.3">
      <c r="A3" t="s">
        <v>13</v>
      </c>
      <c r="B3" t="s">
        <v>14</v>
      </c>
      <c r="C3">
        <v>1</v>
      </c>
      <c r="D3" t="s">
        <v>11</v>
      </c>
      <c r="E3" t="s">
        <v>15</v>
      </c>
    </row>
    <row r="4" spans="1:9" x14ac:dyDescent="0.3">
      <c r="A4" t="s">
        <v>16</v>
      </c>
      <c r="B4" t="s">
        <v>17</v>
      </c>
      <c r="C4">
        <v>1</v>
      </c>
      <c r="D4" t="s">
        <v>18</v>
      </c>
      <c r="E4" t="s">
        <v>19</v>
      </c>
      <c r="I4" t="s">
        <v>20</v>
      </c>
    </row>
    <row r="5" spans="1:9" x14ac:dyDescent="0.3">
      <c r="A5" t="s">
        <v>21</v>
      </c>
      <c r="B5" t="s">
        <v>22</v>
      </c>
      <c r="C5">
        <v>0.5</v>
      </c>
      <c r="D5" t="s">
        <v>23</v>
      </c>
      <c r="E5" t="s">
        <v>24</v>
      </c>
    </row>
    <row r="6" spans="1:9" x14ac:dyDescent="0.3">
      <c r="A6" t="s">
        <v>25</v>
      </c>
      <c r="B6" t="s">
        <v>26</v>
      </c>
      <c r="E6" t="s">
        <v>26</v>
      </c>
    </row>
    <row r="7" spans="1:9" x14ac:dyDescent="0.3">
      <c r="A7" t="s">
        <v>27</v>
      </c>
      <c r="B7" t="s">
        <v>28</v>
      </c>
      <c r="C7">
        <v>25</v>
      </c>
      <c r="D7" t="s">
        <v>29</v>
      </c>
      <c r="E7" t="s">
        <v>30</v>
      </c>
    </row>
    <row r="8" spans="1:9" x14ac:dyDescent="0.3">
      <c r="A8" t="s">
        <v>31</v>
      </c>
      <c r="B8" t="s">
        <v>32</v>
      </c>
      <c r="C8">
        <v>1</v>
      </c>
      <c r="D8" t="s">
        <v>33</v>
      </c>
      <c r="E8" t="s">
        <v>34</v>
      </c>
      <c r="I8" t="s">
        <v>20</v>
      </c>
    </row>
    <row r="9" spans="1:9" x14ac:dyDescent="0.3">
      <c r="A9" t="s">
        <v>35</v>
      </c>
      <c r="B9" t="s">
        <v>36</v>
      </c>
      <c r="C9">
        <v>0.75</v>
      </c>
      <c r="D9" t="s">
        <v>37</v>
      </c>
      <c r="E9" t="s">
        <v>38</v>
      </c>
    </row>
    <row r="10" spans="1:9" x14ac:dyDescent="0.3">
      <c r="A10" t="s">
        <v>39</v>
      </c>
      <c r="B10" t="s">
        <v>40</v>
      </c>
      <c r="C10">
        <v>1</v>
      </c>
      <c r="D10" t="s">
        <v>23</v>
      </c>
      <c r="E10" t="s">
        <v>41</v>
      </c>
    </row>
    <row r="11" spans="1:9" x14ac:dyDescent="0.3">
      <c r="A11" t="s">
        <v>42</v>
      </c>
      <c r="B11" t="s">
        <v>43</v>
      </c>
      <c r="C11">
        <v>1.5</v>
      </c>
      <c r="D11" t="s">
        <v>23</v>
      </c>
      <c r="E11" t="s">
        <v>44</v>
      </c>
    </row>
    <row r="12" spans="1:9" x14ac:dyDescent="0.3">
      <c r="A12" t="s">
        <v>45</v>
      </c>
      <c r="B12" t="s">
        <v>46</v>
      </c>
      <c r="C12">
        <v>0.75</v>
      </c>
      <c r="D12" t="s">
        <v>37</v>
      </c>
      <c r="E12" t="s">
        <v>47</v>
      </c>
    </row>
    <row r="13" spans="1:9" x14ac:dyDescent="0.3">
      <c r="A13" t="s">
        <v>48</v>
      </c>
      <c r="B13" t="s">
        <v>49</v>
      </c>
      <c r="C13">
        <v>8</v>
      </c>
      <c r="D13" t="s">
        <v>50</v>
      </c>
      <c r="E13" t="s">
        <v>51</v>
      </c>
    </row>
    <row r="14" spans="1:9" x14ac:dyDescent="0.3">
      <c r="A14" t="s">
        <v>52</v>
      </c>
      <c r="B14" t="s">
        <v>53</v>
      </c>
      <c r="C14">
        <v>1</v>
      </c>
      <c r="D14" t="s">
        <v>18</v>
      </c>
      <c r="E14" t="s">
        <v>54</v>
      </c>
    </row>
    <row r="15" spans="1:9" x14ac:dyDescent="0.3">
      <c r="A15" t="s">
        <v>55</v>
      </c>
      <c r="B15" t="s">
        <v>56</v>
      </c>
      <c r="C15">
        <v>50</v>
      </c>
      <c r="D15" t="s">
        <v>29</v>
      </c>
      <c r="E15" t="s">
        <v>57</v>
      </c>
    </row>
    <row r="16" spans="1:9" x14ac:dyDescent="0.3">
      <c r="A16" t="s">
        <v>58</v>
      </c>
      <c r="B16" t="s">
        <v>59</v>
      </c>
      <c r="C16">
        <v>1</v>
      </c>
      <c r="D16" t="s">
        <v>60</v>
      </c>
      <c r="E16" t="s">
        <v>61</v>
      </c>
    </row>
    <row r="17" spans="1:9" x14ac:dyDescent="0.3">
      <c r="A17" t="s">
        <v>62</v>
      </c>
      <c r="B17" t="s">
        <v>63</v>
      </c>
      <c r="E17" t="s">
        <v>64</v>
      </c>
      <c r="I17" t="s">
        <v>65</v>
      </c>
    </row>
    <row r="18" spans="1:9" x14ac:dyDescent="0.3">
      <c r="A18" t="s">
        <v>66</v>
      </c>
      <c r="B18" t="s">
        <v>67</v>
      </c>
      <c r="C18">
        <v>0.75</v>
      </c>
      <c r="D18" t="s">
        <v>37</v>
      </c>
      <c r="E18" t="s">
        <v>38</v>
      </c>
      <c r="G18" t="s">
        <v>68</v>
      </c>
    </row>
    <row r="19" spans="1:9" x14ac:dyDescent="0.3">
      <c r="A19" t="s">
        <v>69</v>
      </c>
      <c r="B19" t="s">
        <v>70</v>
      </c>
      <c r="C19">
        <v>6</v>
      </c>
      <c r="D19" t="s">
        <v>71</v>
      </c>
      <c r="E19" t="s">
        <v>72</v>
      </c>
      <c r="I19" t="e">
        <f>- aquavit with destilled amber</f>
        <v>#NAME?</v>
      </c>
    </row>
    <row r="20" spans="1:9" x14ac:dyDescent="0.3">
      <c r="A20" t="s">
        <v>73</v>
      </c>
      <c r="B20" t="s">
        <v>74</v>
      </c>
      <c r="C20">
        <v>2</v>
      </c>
      <c r="D20" t="s">
        <v>23</v>
      </c>
      <c r="E20" t="s">
        <v>75</v>
      </c>
    </row>
    <row r="21" spans="1:9" x14ac:dyDescent="0.3">
      <c r="A21" t="s">
        <v>76</v>
      </c>
      <c r="B21" t="s">
        <v>77</v>
      </c>
      <c r="C21">
        <v>0.5</v>
      </c>
      <c r="D21" t="s">
        <v>23</v>
      </c>
      <c r="E21" t="s">
        <v>78</v>
      </c>
    </row>
    <row r="22" spans="1:9" x14ac:dyDescent="0.3">
      <c r="A22" t="s">
        <v>79</v>
      </c>
      <c r="B22" t="s">
        <v>80</v>
      </c>
      <c r="C22">
        <v>0.5</v>
      </c>
      <c r="D22" t="s">
        <v>37</v>
      </c>
      <c r="E22" t="s">
        <v>81</v>
      </c>
    </row>
    <row r="23" spans="1:9" x14ac:dyDescent="0.3">
      <c r="A23" t="s">
        <v>82</v>
      </c>
      <c r="B23" t="s">
        <v>83</v>
      </c>
      <c r="D23" t="s">
        <v>84</v>
      </c>
      <c r="E23" t="s">
        <v>85</v>
      </c>
    </row>
    <row r="24" spans="1:9" x14ac:dyDescent="0.3">
      <c r="A24" t="s">
        <v>86</v>
      </c>
      <c r="B24" t="s">
        <v>87</v>
      </c>
      <c r="C24">
        <v>10</v>
      </c>
      <c r="D24" t="s">
        <v>29</v>
      </c>
      <c r="E24" t="s">
        <v>88</v>
      </c>
    </row>
    <row r="25" spans="1:9" x14ac:dyDescent="0.3">
      <c r="A25" t="s">
        <v>89</v>
      </c>
      <c r="B25" t="s">
        <v>90</v>
      </c>
      <c r="C25">
        <v>0.75</v>
      </c>
      <c r="D25" t="s">
        <v>91</v>
      </c>
      <c r="E25" t="s">
        <v>92</v>
      </c>
    </row>
    <row r="26" spans="1:9" x14ac:dyDescent="0.3">
      <c r="A26" t="s">
        <v>93</v>
      </c>
      <c r="B26" t="s">
        <v>94</v>
      </c>
      <c r="C26">
        <v>1</v>
      </c>
      <c r="D26" t="s">
        <v>23</v>
      </c>
      <c r="E26" t="s">
        <v>95</v>
      </c>
    </row>
    <row r="27" spans="1:9" x14ac:dyDescent="0.3">
      <c r="A27" t="s">
        <v>96</v>
      </c>
      <c r="B27" t="s">
        <v>97</v>
      </c>
      <c r="E27" t="s">
        <v>98</v>
      </c>
      <c r="I27" t="s">
        <v>99</v>
      </c>
    </row>
    <row r="28" spans="1:9" x14ac:dyDescent="0.3">
      <c r="A28" t="s">
        <v>100</v>
      </c>
      <c r="B28" t="s">
        <v>101</v>
      </c>
      <c r="C28">
        <v>1.25</v>
      </c>
      <c r="D28" t="s">
        <v>23</v>
      </c>
      <c r="E28" t="s">
        <v>102</v>
      </c>
    </row>
    <row r="29" spans="1:9" x14ac:dyDescent="0.3">
      <c r="A29" t="s">
        <v>103</v>
      </c>
      <c r="B29" t="s">
        <v>104</v>
      </c>
      <c r="C29">
        <v>1</v>
      </c>
      <c r="E29" t="s">
        <v>105</v>
      </c>
    </row>
    <row r="30" spans="1:9" x14ac:dyDescent="0.3">
      <c r="A30" t="s">
        <v>106</v>
      </c>
      <c r="B30" t="s">
        <v>107</v>
      </c>
      <c r="C30">
        <v>3</v>
      </c>
      <c r="D30" t="s">
        <v>23</v>
      </c>
      <c r="E30" t="s">
        <v>108</v>
      </c>
    </row>
    <row r="31" spans="1:9" x14ac:dyDescent="0.3">
      <c r="A31" t="s">
        <v>109</v>
      </c>
      <c r="B31" t="s">
        <v>110</v>
      </c>
      <c r="C31">
        <v>1</v>
      </c>
      <c r="D31" t="s">
        <v>111</v>
      </c>
      <c r="E31" t="s">
        <v>112</v>
      </c>
    </row>
    <row r="32" spans="1:9" x14ac:dyDescent="0.3">
      <c r="A32" t="s">
        <v>113</v>
      </c>
      <c r="B32" t="s">
        <v>114</v>
      </c>
      <c r="C32">
        <v>12.5</v>
      </c>
      <c r="D32" t="s">
        <v>29</v>
      </c>
      <c r="E32" t="s">
        <v>115</v>
      </c>
    </row>
    <row r="33" spans="1:9" x14ac:dyDescent="0.3">
      <c r="A33" t="s">
        <v>116</v>
      </c>
      <c r="B33" t="s">
        <v>117</v>
      </c>
      <c r="E33" t="s">
        <v>117</v>
      </c>
    </row>
    <row r="34" spans="1:9" x14ac:dyDescent="0.3">
      <c r="A34" t="s">
        <v>118</v>
      </c>
      <c r="B34" t="s">
        <v>119</v>
      </c>
      <c r="C34">
        <v>2</v>
      </c>
      <c r="D34" t="s">
        <v>120</v>
      </c>
      <c r="E34" t="s">
        <v>121</v>
      </c>
    </row>
    <row r="35" spans="1:9" x14ac:dyDescent="0.3">
      <c r="A35" t="s">
        <v>122</v>
      </c>
      <c r="B35" t="s">
        <v>123</v>
      </c>
      <c r="C35">
        <v>1</v>
      </c>
      <c r="D35" t="s">
        <v>23</v>
      </c>
      <c r="E35" t="s">
        <v>124</v>
      </c>
    </row>
    <row r="36" spans="1:9" x14ac:dyDescent="0.3">
      <c r="A36" t="s">
        <v>125</v>
      </c>
      <c r="B36" t="s">
        <v>126</v>
      </c>
      <c r="C36">
        <v>1</v>
      </c>
      <c r="D36" t="s">
        <v>23</v>
      </c>
      <c r="E36" t="s">
        <v>127</v>
      </c>
    </row>
    <row r="37" spans="1:9" x14ac:dyDescent="0.3">
      <c r="A37" t="s">
        <v>128</v>
      </c>
      <c r="B37" t="s">
        <v>129</v>
      </c>
      <c r="C37">
        <v>8</v>
      </c>
      <c r="D37" t="s">
        <v>23</v>
      </c>
      <c r="E37" t="s">
        <v>130</v>
      </c>
    </row>
    <row r="38" spans="1:9" x14ac:dyDescent="0.3">
      <c r="A38" t="s">
        <v>131</v>
      </c>
      <c r="B38" t="s">
        <v>132</v>
      </c>
      <c r="C38">
        <v>0.25</v>
      </c>
      <c r="D38" t="s">
        <v>37</v>
      </c>
      <c r="E38" t="s">
        <v>133</v>
      </c>
      <c r="I38" t="s">
        <v>134</v>
      </c>
    </row>
    <row r="39" spans="1:9" x14ac:dyDescent="0.3">
      <c r="A39" t="s">
        <v>135</v>
      </c>
      <c r="B39" t="s">
        <v>136</v>
      </c>
      <c r="C39">
        <v>15</v>
      </c>
      <c r="D39" t="s">
        <v>29</v>
      </c>
      <c r="E39" t="s">
        <v>137</v>
      </c>
    </row>
    <row r="40" spans="1:9" x14ac:dyDescent="0.3">
      <c r="A40" t="s">
        <v>138</v>
      </c>
      <c r="B40" t="s">
        <v>139</v>
      </c>
      <c r="C40">
        <v>0.5</v>
      </c>
      <c r="D40" t="s">
        <v>11</v>
      </c>
      <c r="E40" t="s">
        <v>140</v>
      </c>
    </row>
    <row r="41" spans="1:9" x14ac:dyDescent="0.3">
      <c r="A41" t="s">
        <v>141</v>
      </c>
      <c r="B41" t="s">
        <v>142</v>
      </c>
      <c r="C41">
        <v>0.5</v>
      </c>
      <c r="D41" t="s">
        <v>23</v>
      </c>
      <c r="E41" t="s">
        <v>143</v>
      </c>
    </row>
    <row r="42" spans="1:9" x14ac:dyDescent="0.3">
      <c r="A42" t="s">
        <v>144</v>
      </c>
      <c r="B42" t="s">
        <v>145</v>
      </c>
      <c r="C42">
        <v>2</v>
      </c>
      <c r="D42" t="s">
        <v>146</v>
      </c>
      <c r="E42" t="s">
        <v>147</v>
      </c>
      <c r="I42" t="s">
        <v>148</v>
      </c>
    </row>
    <row r="43" spans="1:9" x14ac:dyDescent="0.3">
      <c r="A43" t="s">
        <v>149</v>
      </c>
      <c r="B43" t="s">
        <v>150</v>
      </c>
      <c r="D43" t="s">
        <v>151</v>
      </c>
      <c r="E43" t="s">
        <v>152</v>
      </c>
    </row>
    <row r="44" spans="1:9" x14ac:dyDescent="0.3">
      <c r="A44" t="s">
        <v>153</v>
      </c>
      <c r="B44" t="s">
        <v>154</v>
      </c>
      <c r="E44" t="s">
        <v>154</v>
      </c>
    </row>
    <row r="45" spans="1:9" x14ac:dyDescent="0.3">
      <c r="A45" t="s">
        <v>155</v>
      </c>
      <c r="B45" t="s">
        <v>156</v>
      </c>
      <c r="E45" t="s">
        <v>157</v>
      </c>
      <c r="I45" t="s">
        <v>20</v>
      </c>
    </row>
    <row r="46" spans="1:9" x14ac:dyDescent="0.3">
      <c r="A46" t="s">
        <v>158</v>
      </c>
      <c r="B46" t="s">
        <v>159</v>
      </c>
      <c r="C46">
        <v>0.75</v>
      </c>
      <c r="D46" t="s">
        <v>23</v>
      </c>
      <c r="E46" t="s">
        <v>160</v>
      </c>
      <c r="F46" t="s">
        <v>68</v>
      </c>
    </row>
    <row r="47" spans="1:9" x14ac:dyDescent="0.3">
      <c r="A47" t="s">
        <v>161</v>
      </c>
      <c r="B47" t="s">
        <v>162</v>
      </c>
      <c r="D47" t="s">
        <v>33</v>
      </c>
      <c r="E47" t="s">
        <v>163</v>
      </c>
      <c r="I47" t="s">
        <v>164</v>
      </c>
    </row>
    <row r="48" spans="1:9" x14ac:dyDescent="0.3">
      <c r="A48" t="s">
        <v>165</v>
      </c>
      <c r="B48" t="s">
        <v>166</v>
      </c>
      <c r="C48">
        <v>0.5</v>
      </c>
      <c r="D48" t="s">
        <v>37</v>
      </c>
      <c r="E48" t="s">
        <v>38</v>
      </c>
      <c r="F48" t="s">
        <v>167</v>
      </c>
      <c r="G48" t="s">
        <v>168</v>
      </c>
    </row>
    <row r="49" spans="1:9" x14ac:dyDescent="0.3">
      <c r="A49" t="s">
        <v>169</v>
      </c>
      <c r="B49" t="s">
        <v>170</v>
      </c>
      <c r="C49">
        <v>0.5</v>
      </c>
      <c r="D49" t="s">
        <v>23</v>
      </c>
      <c r="E49" t="s">
        <v>171</v>
      </c>
    </row>
    <row r="50" spans="1:9" x14ac:dyDescent="0.3">
      <c r="A50" t="s">
        <v>172</v>
      </c>
      <c r="B50" t="s">
        <v>173</v>
      </c>
      <c r="E50" t="s">
        <v>173</v>
      </c>
    </row>
    <row r="51" spans="1:9" x14ac:dyDescent="0.3">
      <c r="A51" t="s">
        <v>174</v>
      </c>
      <c r="B51" t="s">
        <v>175</v>
      </c>
      <c r="C51">
        <v>2</v>
      </c>
      <c r="D51" t="s">
        <v>176</v>
      </c>
      <c r="E51" t="s">
        <v>177</v>
      </c>
    </row>
    <row r="52" spans="1:9" x14ac:dyDescent="0.3">
      <c r="A52" t="s">
        <v>178</v>
      </c>
      <c r="B52" t="s">
        <v>179</v>
      </c>
      <c r="C52">
        <v>0.75</v>
      </c>
      <c r="D52" t="s">
        <v>11</v>
      </c>
      <c r="E52" t="s">
        <v>180</v>
      </c>
    </row>
    <row r="53" spans="1:9" x14ac:dyDescent="0.3">
      <c r="A53" t="s">
        <v>181</v>
      </c>
      <c r="B53" t="s">
        <v>182</v>
      </c>
      <c r="C53">
        <v>0.75</v>
      </c>
      <c r="D53" t="s">
        <v>23</v>
      </c>
      <c r="E53" t="s">
        <v>183</v>
      </c>
    </row>
    <row r="54" spans="1:9" x14ac:dyDescent="0.3">
      <c r="A54" t="s">
        <v>184</v>
      </c>
      <c r="B54" t="s">
        <v>185</v>
      </c>
      <c r="C54">
        <v>1</v>
      </c>
      <c r="E54" t="s">
        <v>186</v>
      </c>
    </row>
    <row r="55" spans="1:9" x14ac:dyDescent="0.3">
      <c r="A55" t="s">
        <v>187</v>
      </c>
      <c r="B55" t="s">
        <v>188</v>
      </c>
      <c r="C55">
        <v>2</v>
      </c>
      <c r="D55" t="s">
        <v>189</v>
      </c>
      <c r="E55" t="s">
        <v>190</v>
      </c>
    </row>
    <row r="56" spans="1:9" x14ac:dyDescent="0.3">
      <c r="A56" t="s">
        <v>191</v>
      </c>
      <c r="B56" t="s">
        <v>192</v>
      </c>
      <c r="C56">
        <v>1</v>
      </c>
      <c r="D56" t="s">
        <v>37</v>
      </c>
      <c r="E56" t="s">
        <v>193</v>
      </c>
    </row>
    <row r="57" spans="1:9" x14ac:dyDescent="0.3">
      <c r="A57" t="s">
        <v>194</v>
      </c>
      <c r="B57" t="s">
        <v>195</v>
      </c>
      <c r="C57">
        <v>25</v>
      </c>
      <c r="D57" t="s">
        <v>29</v>
      </c>
      <c r="E57" t="s">
        <v>196</v>
      </c>
    </row>
    <row r="58" spans="1:9" x14ac:dyDescent="0.3">
      <c r="A58" t="s">
        <v>197</v>
      </c>
      <c r="B58" t="s">
        <v>198</v>
      </c>
      <c r="C58">
        <v>2</v>
      </c>
      <c r="D58" t="s">
        <v>23</v>
      </c>
      <c r="E58" t="s">
        <v>199</v>
      </c>
    </row>
    <row r="59" spans="1:9" x14ac:dyDescent="0.3">
      <c r="A59" t="s">
        <v>200</v>
      </c>
      <c r="B59" t="s">
        <v>201</v>
      </c>
      <c r="C59">
        <v>50</v>
      </c>
      <c r="D59" t="s">
        <v>29</v>
      </c>
      <c r="E59" t="s">
        <v>202</v>
      </c>
      <c r="I59" t="s">
        <v>203</v>
      </c>
    </row>
    <row r="60" spans="1:9" x14ac:dyDescent="0.3">
      <c r="A60" t="s">
        <v>204</v>
      </c>
      <c r="B60" t="s">
        <v>205</v>
      </c>
      <c r="C60">
        <v>0.75</v>
      </c>
      <c r="D60" t="s">
        <v>206</v>
      </c>
      <c r="E60" t="s">
        <v>177</v>
      </c>
    </row>
    <row r="61" spans="1:9" x14ac:dyDescent="0.3">
      <c r="A61" t="s">
        <v>207</v>
      </c>
      <c r="B61" t="s">
        <v>208</v>
      </c>
      <c r="C61">
        <v>0.75</v>
      </c>
      <c r="D61" t="s">
        <v>37</v>
      </c>
      <c r="E61" t="s">
        <v>209</v>
      </c>
    </row>
    <row r="62" spans="1:9" x14ac:dyDescent="0.3">
      <c r="A62" t="s">
        <v>210</v>
      </c>
      <c r="B62" t="s">
        <v>211</v>
      </c>
      <c r="C62">
        <v>1</v>
      </c>
      <c r="D62" t="s">
        <v>11</v>
      </c>
      <c r="E62" t="s">
        <v>57</v>
      </c>
    </row>
    <row r="63" spans="1:9" x14ac:dyDescent="0.3">
      <c r="A63" t="s">
        <v>212</v>
      </c>
      <c r="B63" t="s">
        <v>213</v>
      </c>
      <c r="C63">
        <v>0.5</v>
      </c>
      <c r="D63" t="s">
        <v>23</v>
      </c>
      <c r="E63" t="s">
        <v>214</v>
      </c>
    </row>
    <row r="64" spans="1:9" x14ac:dyDescent="0.3">
      <c r="A64" t="s">
        <v>215</v>
      </c>
      <c r="B64" t="s">
        <v>216</v>
      </c>
      <c r="C64">
        <v>1</v>
      </c>
      <c r="D64" t="s">
        <v>23</v>
      </c>
      <c r="E64" t="s">
        <v>217</v>
      </c>
    </row>
    <row r="65" spans="1:9" x14ac:dyDescent="0.3">
      <c r="A65" t="s">
        <v>218</v>
      </c>
      <c r="B65" t="s">
        <v>219</v>
      </c>
      <c r="C65">
        <v>0.5</v>
      </c>
      <c r="D65" t="s">
        <v>37</v>
      </c>
      <c r="E65" t="s">
        <v>220</v>
      </c>
      <c r="I65" t="s">
        <v>221</v>
      </c>
    </row>
    <row r="66" spans="1:9" x14ac:dyDescent="0.3">
      <c r="A66" t="s">
        <v>222</v>
      </c>
      <c r="B66" t="s">
        <v>223</v>
      </c>
      <c r="C66">
        <v>3</v>
      </c>
      <c r="E66" t="s">
        <v>224</v>
      </c>
    </row>
    <row r="67" spans="1:9" x14ac:dyDescent="0.3">
      <c r="A67" t="s">
        <v>225</v>
      </c>
      <c r="B67" t="s">
        <v>226</v>
      </c>
      <c r="C67">
        <v>6</v>
      </c>
      <c r="D67" t="s">
        <v>227</v>
      </c>
      <c r="E67" t="s">
        <v>64</v>
      </c>
    </row>
    <row r="68" spans="1:9" x14ac:dyDescent="0.3">
      <c r="A68" t="s">
        <v>228</v>
      </c>
      <c r="B68" t="s">
        <v>229</v>
      </c>
      <c r="C68">
        <v>1</v>
      </c>
      <c r="D68" t="s">
        <v>23</v>
      </c>
      <c r="E68" t="s">
        <v>230</v>
      </c>
      <c r="I68" t="s">
        <v>231</v>
      </c>
    </row>
    <row r="69" spans="1:9" x14ac:dyDescent="0.3">
      <c r="A69" t="s">
        <v>232</v>
      </c>
      <c r="B69" t="s">
        <v>233</v>
      </c>
      <c r="E69" t="s">
        <v>233</v>
      </c>
    </row>
    <row r="70" spans="1:9" x14ac:dyDescent="0.3">
      <c r="A70" t="s">
        <v>234</v>
      </c>
      <c r="B70" t="s">
        <v>235</v>
      </c>
      <c r="D70" t="s">
        <v>236</v>
      </c>
      <c r="E70" t="s">
        <v>237</v>
      </c>
      <c r="G70" t="s">
        <v>238</v>
      </c>
    </row>
    <row r="71" spans="1:9" x14ac:dyDescent="0.3">
      <c r="A71" t="s">
        <v>239</v>
      </c>
      <c r="B71" t="s">
        <v>240</v>
      </c>
      <c r="C71">
        <v>1</v>
      </c>
      <c r="D71" t="s">
        <v>23</v>
      </c>
      <c r="E71" t="s">
        <v>241</v>
      </c>
    </row>
    <row r="72" spans="1:9" x14ac:dyDescent="0.3">
      <c r="A72" t="s">
        <v>242</v>
      </c>
      <c r="B72" t="s">
        <v>243</v>
      </c>
      <c r="C72">
        <v>7</v>
      </c>
      <c r="D72" t="s">
        <v>23</v>
      </c>
      <c r="E72" t="s">
        <v>64</v>
      </c>
    </row>
    <row r="73" spans="1:9" x14ac:dyDescent="0.3">
      <c r="A73" t="s">
        <v>244</v>
      </c>
      <c r="B73" t="s">
        <v>245</v>
      </c>
      <c r="C73">
        <v>1</v>
      </c>
      <c r="D73" t="s">
        <v>246</v>
      </c>
      <c r="E73" t="s">
        <v>247</v>
      </c>
      <c r="I73" t="s">
        <v>248</v>
      </c>
    </row>
    <row r="74" spans="1:9" x14ac:dyDescent="0.3">
      <c r="A74" t="s">
        <v>249</v>
      </c>
      <c r="B74" t="s">
        <v>250</v>
      </c>
      <c r="C74">
        <v>5</v>
      </c>
      <c r="D74" t="s">
        <v>71</v>
      </c>
      <c r="E74" t="s">
        <v>251</v>
      </c>
      <c r="I74" t="e">
        <f>- I used Diplomatico from Venezuela and South America</f>
        <v>#NAME?</v>
      </c>
    </row>
    <row r="75" spans="1:9" x14ac:dyDescent="0.3">
      <c r="A75" t="s">
        <v>252</v>
      </c>
      <c r="B75" t="s">
        <v>253</v>
      </c>
      <c r="E75" t="s">
        <v>253</v>
      </c>
    </row>
    <row r="76" spans="1:9" x14ac:dyDescent="0.3">
      <c r="A76" t="s">
        <v>254</v>
      </c>
      <c r="B76" t="s">
        <v>255</v>
      </c>
      <c r="C76">
        <v>30</v>
      </c>
      <c r="D76" t="s">
        <v>29</v>
      </c>
      <c r="E76" t="s">
        <v>256</v>
      </c>
    </row>
    <row r="77" spans="1:9" x14ac:dyDescent="0.3">
      <c r="A77" t="s">
        <v>257</v>
      </c>
      <c r="B77" t="s">
        <v>258</v>
      </c>
      <c r="C77">
        <v>2</v>
      </c>
      <c r="D77" t="s">
        <v>23</v>
      </c>
      <c r="E77" t="s">
        <v>259</v>
      </c>
    </row>
    <row r="78" spans="1:9" x14ac:dyDescent="0.3">
      <c r="A78" t="s">
        <v>260</v>
      </c>
      <c r="B78" t="s">
        <v>261</v>
      </c>
      <c r="C78">
        <v>1</v>
      </c>
      <c r="D78" t="s">
        <v>111</v>
      </c>
      <c r="E78" t="s">
        <v>262</v>
      </c>
    </row>
    <row r="79" spans="1:9" x14ac:dyDescent="0.3">
      <c r="A79" t="s">
        <v>263</v>
      </c>
      <c r="B79" t="s">
        <v>264</v>
      </c>
      <c r="C79">
        <v>1</v>
      </c>
      <c r="D79" t="s">
        <v>11</v>
      </c>
      <c r="E79" t="s">
        <v>265</v>
      </c>
    </row>
    <row r="80" spans="1:9" x14ac:dyDescent="0.3">
      <c r="A80" t="s">
        <v>266</v>
      </c>
      <c r="B80" t="s">
        <v>267</v>
      </c>
      <c r="E80" t="s">
        <v>267</v>
      </c>
    </row>
    <row r="81" spans="1:9" x14ac:dyDescent="0.3">
      <c r="A81" t="s">
        <v>268</v>
      </c>
      <c r="B81" t="s">
        <v>269</v>
      </c>
      <c r="C81">
        <v>0.5</v>
      </c>
      <c r="D81" t="s">
        <v>270</v>
      </c>
      <c r="E81" t="s">
        <v>38</v>
      </c>
      <c r="F81" t="s">
        <v>167</v>
      </c>
      <c r="G81" t="s">
        <v>168</v>
      </c>
    </row>
    <row r="82" spans="1:9" x14ac:dyDescent="0.3">
      <c r="A82" t="s">
        <v>271</v>
      </c>
      <c r="B82" t="s">
        <v>272</v>
      </c>
      <c r="C82">
        <v>0.5</v>
      </c>
      <c r="D82" t="s">
        <v>23</v>
      </c>
      <c r="E82" t="s">
        <v>265</v>
      </c>
    </row>
    <row r="83" spans="1:9" x14ac:dyDescent="0.3">
      <c r="A83" t="s">
        <v>273</v>
      </c>
      <c r="B83" t="s">
        <v>274</v>
      </c>
      <c r="C83">
        <v>1.5</v>
      </c>
      <c r="D83" t="s">
        <v>206</v>
      </c>
      <c r="E83" t="s">
        <v>275</v>
      </c>
    </row>
    <row r="84" spans="1:9" x14ac:dyDescent="0.3">
      <c r="A84" t="s">
        <v>276</v>
      </c>
      <c r="B84" t="s">
        <v>277</v>
      </c>
      <c r="C84">
        <v>3</v>
      </c>
      <c r="D84" t="s">
        <v>23</v>
      </c>
      <c r="E84" t="s">
        <v>278</v>
      </c>
    </row>
    <row r="85" spans="1:9" x14ac:dyDescent="0.3">
      <c r="A85" t="s">
        <v>279</v>
      </c>
      <c r="B85" t="s">
        <v>280</v>
      </c>
      <c r="C85">
        <v>0.75</v>
      </c>
      <c r="D85" t="s">
        <v>23</v>
      </c>
      <c r="E85" t="s">
        <v>281</v>
      </c>
    </row>
    <row r="86" spans="1:9" x14ac:dyDescent="0.3">
      <c r="A86" t="s">
        <v>282</v>
      </c>
      <c r="B86" t="s">
        <v>283</v>
      </c>
      <c r="C86">
        <v>0.5</v>
      </c>
      <c r="D86" t="s">
        <v>284</v>
      </c>
      <c r="E86" t="s">
        <v>285</v>
      </c>
    </row>
    <row r="87" spans="1:9" x14ac:dyDescent="0.3">
      <c r="A87" t="s">
        <v>286</v>
      </c>
      <c r="B87" t="s">
        <v>287</v>
      </c>
      <c r="C87">
        <v>1</v>
      </c>
      <c r="D87" t="s">
        <v>23</v>
      </c>
      <c r="E87" t="s">
        <v>288</v>
      </c>
      <c r="I87" t="s">
        <v>289</v>
      </c>
    </row>
    <row r="88" spans="1:9" x14ac:dyDescent="0.3">
      <c r="A88" t="s">
        <v>290</v>
      </c>
      <c r="B88" t="s">
        <v>291</v>
      </c>
      <c r="C88">
        <v>0.5</v>
      </c>
      <c r="D88" t="s">
        <v>11</v>
      </c>
      <c r="E88" t="s">
        <v>292</v>
      </c>
    </row>
    <row r="89" spans="1:9" x14ac:dyDescent="0.3">
      <c r="A89" t="s">
        <v>293</v>
      </c>
      <c r="B89" t="s">
        <v>294</v>
      </c>
      <c r="C89">
        <v>1</v>
      </c>
      <c r="E89" t="s">
        <v>295</v>
      </c>
      <c r="I89" t="s">
        <v>248</v>
      </c>
    </row>
    <row r="90" spans="1:9" x14ac:dyDescent="0.3">
      <c r="A90" t="s">
        <v>296</v>
      </c>
      <c r="B90" t="s">
        <v>240</v>
      </c>
      <c r="C90">
        <v>1</v>
      </c>
      <c r="D90" t="s">
        <v>23</v>
      </c>
      <c r="E90" t="s">
        <v>241</v>
      </c>
    </row>
    <row r="91" spans="1:9" x14ac:dyDescent="0.3">
      <c r="A91" t="s">
        <v>297</v>
      </c>
      <c r="B91" t="s">
        <v>298</v>
      </c>
      <c r="C91">
        <v>1</v>
      </c>
      <c r="D91" t="s">
        <v>23</v>
      </c>
      <c r="E91" t="s">
        <v>299</v>
      </c>
    </row>
    <row r="92" spans="1:9" x14ac:dyDescent="0.3">
      <c r="A92" t="s">
        <v>300</v>
      </c>
      <c r="B92" t="s">
        <v>301</v>
      </c>
      <c r="C92">
        <v>0.25</v>
      </c>
      <c r="D92" t="s">
        <v>37</v>
      </c>
      <c r="E92" t="s">
        <v>302</v>
      </c>
      <c r="I92" t="s">
        <v>303</v>
      </c>
    </row>
    <row r="93" spans="1:9" x14ac:dyDescent="0.3">
      <c r="A93" t="s">
        <v>304</v>
      </c>
      <c r="B93" t="s">
        <v>305</v>
      </c>
      <c r="C93">
        <v>50</v>
      </c>
      <c r="D93" t="s">
        <v>29</v>
      </c>
      <c r="E93" t="s">
        <v>306</v>
      </c>
    </row>
    <row r="94" spans="1:9" x14ac:dyDescent="0.3">
      <c r="A94" t="s">
        <v>307</v>
      </c>
      <c r="B94" t="s">
        <v>308</v>
      </c>
      <c r="C94">
        <v>1.5</v>
      </c>
      <c r="D94" t="s">
        <v>91</v>
      </c>
      <c r="E94" t="s">
        <v>30</v>
      </c>
    </row>
    <row r="95" spans="1:9" x14ac:dyDescent="0.3">
      <c r="A95" t="s">
        <v>309</v>
      </c>
      <c r="B95" t="s">
        <v>310</v>
      </c>
      <c r="C95">
        <v>45</v>
      </c>
      <c r="D95" t="s">
        <v>29</v>
      </c>
      <c r="E95" t="s">
        <v>311</v>
      </c>
    </row>
    <row r="96" spans="1:9" x14ac:dyDescent="0.3">
      <c r="A96" t="s">
        <v>312</v>
      </c>
      <c r="B96" t="s">
        <v>313</v>
      </c>
      <c r="C96">
        <v>1</v>
      </c>
      <c r="D96" t="s">
        <v>314</v>
      </c>
      <c r="E96" t="s">
        <v>315</v>
      </c>
    </row>
    <row r="97" spans="1:9" x14ac:dyDescent="0.3">
      <c r="A97" t="s">
        <v>316</v>
      </c>
      <c r="B97" t="s">
        <v>317</v>
      </c>
      <c r="E97" t="s">
        <v>317</v>
      </c>
    </row>
    <row r="98" spans="1:9" x14ac:dyDescent="0.3">
      <c r="A98" t="s">
        <v>318</v>
      </c>
      <c r="B98" t="s">
        <v>319</v>
      </c>
      <c r="C98">
        <v>3</v>
      </c>
      <c r="D98" t="s">
        <v>23</v>
      </c>
      <c r="E98" t="s">
        <v>320</v>
      </c>
    </row>
    <row r="99" spans="1:9" x14ac:dyDescent="0.3">
      <c r="A99" t="s">
        <v>321</v>
      </c>
      <c r="B99" t="s">
        <v>322</v>
      </c>
      <c r="C99">
        <v>5</v>
      </c>
      <c r="E99" t="s">
        <v>323</v>
      </c>
      <c r="F99" t="s">
        <v>324</v>
      </c>
      <c r="I99" t="s">
        <v>325</v>
      </c>
    </row>
    <row r="100" spans="1:9" x14ac:dyDescent="0.3">
      <c r="A100" t="s">
        <v>326</v>
      </c>
      <c r="B100" t="s">
        <v>327</v>
      </c>
      <c r="C100">
        <v>10</v>
      </c>
      <c r="D100" t="s">
        <v>29</v>
      </c>
      <c r="E100" t="s">
        <v>328</v>
      </c>
    </row>
    <row r="101" spans="1:9" x14ac:dyDescent="0.3">
      <c r="A101" t="s">
        <v>329</v>
      </c>
      <c r="B101" t="s">
        <v>261</v>
      </c>
      <c r="C101">
        <v>1</v>
      </c>
      <c r="D101" t="s">
        <v>111</v>
      </c>
      <c r="E101" t="s">
        <v>262</v>
      </c>
    </row>
    <row r="102" spans="1:9" x14ac:dyDescent="0.3">
      <c r="A102" t="s">
        <v>330</v>
      </c>
      <c r="B102" t="s">
        <v>331</v>
      </c>
      <c r="E102" t="s">
        <v>331</v>
      </c>
    </row>
    <row r="103" spans="1:9" x14ac:dyDescent="0.3">
      <c r="A103" t="s">
        <v>332</v>
      </c>
      <c r="B103" t="s">
        <v>333</v>
      </c>
      <c r="E103" t="s">
        <v>333</v>
      </c>
    </row>
    <row r="104" spans="1:9" x14ac:dyDescent="0.3">
      <c r="A104" t="s">
        <v>334</v>
      </c>
      <c r="B104" t="s">
        <v>335</v>
      </c>
      <c r="C104">
        <v>4.5</v>
      </c>
      <c r="D104" t="s">
        <v>71</v>
      </c>
      <c r="E104" t="s">
        <v>233</v>
      </c>
    </row>
    <row r="105" spans="1:9" x14ac:dyDescent="0.3">
      <c r="A105" t="s">
        <v>336</v>
      </c>
      <c r="B105" t="s">
        <v>337</v>
      </c>
      <c r="C105">
        <v>1</v>
      </c>
      <c r="D105" t="s">
        <v>23</v>
      </c>
      <c r="E105" t="s">
        <v>338</v>
      </c>
    </row>
    <row r="106" spans="1:9" x14ac:dyDescent="0.3">
      <c r="A106" t="s">
        <v>339</v>
      </c>
      <c r="B106" t="s">
        <v>340</v>
      </c>
      <c r="C106">
        <v>50</v>
      </c>
      <c r="D106" t="s">
        <v>29</v>
      </c>
      <c r="E106" t="s">
        <v>341</v>
      </c>
      <c r="I106" t="s">
        <v>342</v>
      </c>
    </row>
    <row r="107" spans="1:9" x14ac:dyDescent="0.3">
      <c r="A107" t="s">
        <v>343</v>
      </c>
      <c r="B107" t="s">
        <v>344</v>
      </c>
      <c r="C107">
        <v>20.5</v>
      </c>
      <c r="D107" t="s">
        <v>345</v>
      </c>
      <c r="E107" t="s">
        <v>346</v>
      </c>
    </row>
    <row r="108" spans="1:9" x14ac:dyDescent="0.3">
      <c r="A108" t="s">
        <v>347</v>
      </c>
      <c r="B108" t="s">
        <v>348</v>
      </c>
      <c r="C108">
        <v>1</v>
      </c>
      <c r="D108" t="s">
        <v>23</v>
      </c>
      <c r="E108" t="s">
        <v>349</v>
      </c>
    </row>
    <row r="109" spans="1:9" x14ac:dyDescent="0.3">
      <c r="A109" t="s">
        <v>350</v>
      </c>
      <c r="B109" t="s">
        <v>351</v>
      </c>
      <c r="C109">
        <v>25</v>
      </c>
      <c r="D109" t="s">
        <v>29</v>
      </c>
      <c r="E109" t="s">
        <v>352</v>
      </c>
    </row>
    <row r="110" spans="1:9" x14ac:dyDescent="0.3">
      <c r="A110" t="s">
        <v>353</v>
      </c>
      <c r="B110" t="s">
        <v>354</v>
      </c>
      <c r="C110">
        <v>3</v>
      </c>
      <c r="D110" t="s">
        <v>23</v>
      </c>
      <c r="E110" t="s">
        <v>355</v>
      </c>
    </row>
    <row r="111" spans="1:9" x14ac:dyDescent="0.3">
      <c r="A111" t="s">
        <v>356</v>
      </c>
      <c r="B111" t="s">
        <v>357</v>
      </c>
      <c r="C111">
        <v>2</v>
      </c>
      <c r="D111" t="s">
        <v>23</v>
      </c>
      <c r="E111" t="s">
        <v>358</v>
      </c>
    </row>
    <row r="112" spans="1:9" x14ac:dyDescent="0.3">
      <c r="A112" t="s">
        <v>359</v>
      </c>
      <c r="B112" t="s">
        <v>360</v>
      </c>
      <c r="C112">
        <v>1</v>
      </c>
      <c r="D112" t="s">
        <v>361</v>
      </c>
      <c r="E112" t="s">
        <v>362</v>
      </c>
    </row>
    <row r="113" spans="1:9" x14ac:dyDescent="0.3">
      <c r="A113" t="s">
        <v>363</v>
      </c>
      <c r="B113" t="s">
        <v>364</v>
      </c>
      <c r="C113">
        <v>1</v>
      </c>
      <c r="D113" t="s">
        <v>23</v>
      </c>
      <c r="E113" t="s">
        <v>365</v>
      </c>
    </row>
    <row r="114" spans="1:9" x14ac:dyDescent="0.3">
      <c r="A114" t="s">
        <v>366</v>
      </c>
      <c r="B114" t="s">
        <v>367</v>
      </c>
      <c r="C114">
        <v>1</v>
      </c>
      <c r="D114" t="s">
        <v>368</v>
      </c>
      <c r="E114" t="s">
        <v>369</v>
      </c>
      <c r="I114" t="s">
        <v>289</v>
      </c>
    </row>
    <row r="115" spans="1:9" x14ac:dyDescent="0.3">
      <c r="A115" t="s">
        <v>370</v>
      </c>
      <c r="B115" t="s">
        <v>371</v>
      </c>
      <c r="C115">
        <v>1</v>
      </c>
      <c r="E115" t="s">
        <v>295</v>
      </c>
    </row>
    <row r="116" spans="1:9" x14ac:dyDescent="0.3">
      <c r="A116" t="s">
        <v>372</v>
      </c>
      <c r="B116" t="s">
        <v>373</v>
      </c>
      <c r="C116">
        <v>30</v>
      </c>
      <c r="D116" t="s">
        <v>29</v>
      </c>
      <c r="E116" t="s">
        <v>374</v>
      </c>
    </row>
    <row r="117" spans="1:9" x14ac:dyDescent="0.3">
      <c r="A117" t="s">
        <v>375</v>
      </c>
      <c r="B117" t="s">
        <v>376</v>
      </c>
      <c r="C117">
        <v>0.5</v>
      </c>
      <c r="E117" t="s">
        <v>377</v>
      </c>
      <c r="F117" t="s">
        <v>324</v>
      </c>
      <c r="I117" t="s">
        <v>325</v>
      </c>
    </row>
    <row r="118" spans="1:9" x14ac:dyDescent="0.3">
      <c r="A118" t="s">
        <v>378</v>
      </c>
      <c r="B118" t="s">
        <v>379</v>
      </c>
      <c r="C118">
        <v>2</v>
      </c>
      <c r="D118" t="s">
        <v>23</v>
      </c>
      <c r="E118" t="s">
        <v>380</v>
      </c>
    </row>
    <row r="119" spans="1:9" x14ac:dyDescent="0.3">
      <c r="A119" t="s">
        <v>381</v>
      </c>
      <c r="B119" t="s">
        <v>382</v>
      </c>
      <c r="C119">
        <v>0.5</v>
      </c>
      <c r="D119" t="s">
        <v>23</v>
      </c>
      <c r="E119" t="s">
        <v>383</v>
      </c>
    </row>
    <row r="120" spans="1:9" x14ac:dyDescent="0.3">
      <c r="A120" t="s">
        <v>384</v>
      </c>
      <c r="B120" t="s">
        <v>385</v>
      </c>
      <c r="C120">
        <v>1</v>
      </c>
      <c r="D120" t="s">
        <v>71</v>
      </c>
      <c r="E120" t="s">
        <v>386</v>
      </c>
      <c r="I120" t="e">
        <f>- I used Frederiksdal New Nordic but Cherry Heering would work too</f>
        <v>#NAME?</v>
      </c>
    </row>
    <row r="121" spans="1:9" x14ac:dyDescent="0.3">
      <c r="A121" t="s">
        <v>387</v>
      </c>
      <c r="B121" t="s">
        <v>388</v>
      </c>
      <c r="C121">
        <v>0.5</v>
      </c>
      <c r="D121" t="s">
        <v>23</v>
      </c>
      <c r="E121" t="s">
        <v>331</v>
      </c>
    </row>
    <row r="122" spans="1:9" x14ac:dyDescent="0.3">
      <c r="A122" t="s">
        <v>389</v>
      </c>
      <c r="B122" t="s">
        <v>198</v>
      </c>
      <c r="C122">
        <v>2</v>
      </c>
      <c r="D122" t="s">
        <v>23</v>
      </c>
      <c r="E122" t="s">
        <v>199</v>
      </c>
    </row>
    <row r="123" spans="1:9" x14ac:dyDescent="0.3">
      <c r="A123" t="s">
        <v>390</v>
      </c>
      <c r="B123" t="s">
        <v>391</v>
      </c>
      <c r="C123">
        <v>10</v>
      </c>
      <c r="D123" t="s">
        <v>23</v>
      </c>
      <c r="E123" t="s">
        <v>292</v>
      </c>
    </row>
    <row r="124" spans="1:9" x14ac:dyDescent="0.3">
      <c r="A124" t="s">
        <v>392</v>
      </c>
      <c r="B124" t="s">
        <v>393</v>
      </c>
      <c r="C124">
        <v>2.5</v>
      </c>
      <c r="D124" t="s">
        <v>23</v>
      </c>
      <c r="E124" t="s">
        <v>241</v>
      </c>
    </row>
    <row r="125" spans="1:9" x14ac:dyDescent="0.3">
      <c r="A125" t="s">
        <v>394</v>
      </c>
      <c r="B125" t="s">
        <v>395</v>
      </c>
      <c r="C125">
        <v>15</v>
      </c>
      <c r="D125" t="s">
        <v>29</v>
      </c>
      <c r="E125" t="s">
        <v>396</v>
      </c>
    </row>
    <row r="126" spans="1:9" x14ac:dyDescent="0.3">
      <c r="A126" t="s">
        <v>397</v>
      </c>
      <c r="B126" t="s">
        <v>398</v>
      </c>
      <c r="C126">
        <v>1</v>
      </c>
      <c r="D126" t="s">
        <v>11</v>
      </c>
      <c r="E126" t="s">
        <v>399</v>
      </c>
    </row>
    <row r="127" spans="1:9" x14ac:dyDescent="0.3">
      <c r="A127" t="s">
        <v>400</v>
      </c>
      <c r="B127" t="s">
        <v>401</v>
      </c>
      <c r="C127">
        <v>4</v>
      </c>
      <c r="D127" t="s">
        <v>23</v>
      </c>
      <c r="E127" t="s">
        <v>402</v>
      </c>
    </row>
    <row r="128" spans="1:9" x14ac:dyDescent="0.3">
      <c r="A128" t="s">
        <v>403</v>
      </c>
      <c r="B128" t="s">
        <v>404</v>
      </c>
      <c r="C128">
        <v>1</v>
      </c>
      <c r="D128" t="s">
        <v>23</v>
      </c>
      <c r="E128" t="s">
        <v>405</v>
      </c>
    </row>
    <row r="129" spans="1:9" x14ac:dyDescent="0.3">
      <c r="A129" t="s">
        <v>406</v>
      </c>
      <c r="B129" t="s">
        <v>407</v>
      </c>
      <c r="C129">
        <v>1</v>
      </c>
      <c r="D129" t="s">
        <v>23</v>
      </c>
      <c r="E129" t="s">
        <v>171</v>
      </c>
    </row>
    <row r="130" spans="1:9" x14ac:dyDescent="0.3">
      <c r="A130" t="s">
        <v>408</v>
      </c>
      <c r="B130" t="s">
        <v>409</v>
      </c>
      <c r="C130">
        <v>4</v>
      </c>
      <c r="E130" t="s">
        <v>410</v>
      </c>
    </row>
    <row r="131" spans="1:9" x14ac:dyDescent="0.3">
      <c r="A131" t="s">
        <v>411</v>
      </c>
      <c r="B131" t="s">
        <v>412</v>
      </c>
      <c r="C131">
        <v>5</v>
      </c>
      <c r="D131" t="s">
        <v>227</v>
      </c>
      <c r="E131" t="s">
        <v>413</v>
      </c>
    </row>
    <row r="132" spans="1:9" x14ac:dyDescent="0.3">
      <c r="A132" t="s">
        <v>414</v>
      </c>
      <c r="B132" t="s">
        <v>415</v>
      </c>
      <c r="C132">
        <v>150</v>
      </c>
      <c r="D132" t="s">
        <v>29</v>
      </c>
      <c r="E132" t="s">
        <v>416</v>
      </c>
    </row>
    <row r="133" spans="1:9" x14ac:dyDescent="0.3">
      <c r="A133" t="s">
        <v>417</v>
      </c>
      <c r="B133" t="s">
        <v>418</v>
      </c>
      <c r="C133">
        <v>2</v>
      </c>
      <c r="D133" t="s">
        <v>419</v>
      </c>
      <c r="E133" t="s">
        <v>420</v>
      </c>
    </row>
    <row r="134" spans="1:9" x14ac:dyDescent="0.3">
      <c r="A134" t="s">
        <v>421</v>
      </c>
      <c r="B134" t="s">
        <v>422</v>
      </c>
      <c r="C134">
        <v>0.25</v>
      </c>
      <c r="D134" t="s">
        <v>11</v>
      </c>
      <c r="E134" t="s">
        <v>423</v>
      </c>
    </row>
    <row r="135" spans="1:9" x14ac:dyDescent="0.3">
      <c r="A135" t="s">
        <v>424</v>
      </c>
      <c r="B135" t="s">
        <v>425</v>
      </c>
      <c r="C135">
        <v>1</v>
      </c>
      <c r="D135" t="s">
        <v>426</v>
      </c>
      <c r="E135" t="s">
        <v>427</v>
      </c>
    </row>
    <row r="136" spans="1:9" x14ac:dyDescent="0.3">
      <c r="A136" t="s">
        <v>428</v>
      </c>
      <c r="B136" t="s">
        <v>429</v>
      </c>
      <c r="E136" t="s">
        <v>430</v>
      </c>
      <c r="F136" t="s">
        <v>431</v>
      </c>
      <c r="G136" t="s">
        <v>168</v>
      </c>
      <c r="I136" t="s">
        <v>432</v>
      </c>
    </row>
    <row r="137" spans="1:9" x14ac:dyDescent="0.3">
      <c r="A137" t="s">
        <v>433</v>
      </c>
      <c r="B137" t="s">
        <v>434</v>
      </c>
      <c r="D137" t="s">
        <v>435</v>
      </c>
      <c r="E137" t="s">
        <v>152</v>
      </c>
      <c r="I137" t="s">
        <v>164</v>
      </c>
    </row>
    <row r="138" spans="1:9" x14ac:dyDescent="0.3">
      <c r="A138" t="s">
        <v>436</v>
      </c>
      <c r="B138" t="s">
        <v>437</v>
      </c>
      <c r="C138">
        <v>0.5</v>
      </c>
      <c r="D138" t="s">
        <v>23</v>
      </c>
      <c r="E138" t="s">
        <v>438</v>
      </c>
    </row>
    <row r="139" spans="1:9" x14ac:dyDescent="0.3">
      <c r="A139" t="s">
        <v>439</v>
      </c>
      <c r="B139" t="s">
        <v>440</v>
      </c>
      <c r="C139">
        <v>0.5</v>
      </c>
      <c r="E139" t="s">
        <v>38</v>
      </c>
      <c r="I139" t="s">
        <v>289</v>
      </c>
    </row>
    <row r="140" spans="1:9" x14ac:dyDescent="0.3">
      <c r="A140" t="s">
        <v>441</v>
      </c>
      <c r="B140" t="s">
        <v>442</v>
      </c>
      <c r="C140">
        <v>12</v>
      </c>
      <c r="D140" t="s">
        <v>284</v>
      </c>
      <c r="E140" t="s">
        <v>38</v>
      </c>
      <c r="G140" t="s">
        <v>68</v>
      </c>
    </row>
    <row r="141" spans="1:9" x14ac:dyDescent="0.3">
      <c r="A141" t="s">
        <v>443</v>
      </c>
      <c r="B141" t="s">
        <v>444</v>
      </c>
      <c r="E141" t="s">
        <v>444</v>
      </c>
    </row>
    <row r="142" spans="1:9" x14ac:dyDescent="0.3">
      <c r="A142" t="s">
        <v>445</v>
      </c>
      <c r="B142" t="s">
        <v>446</v>
      </c>
      <c r="C142">
        <v>0.75</v>
      </c>
      <c r="D142" t="s">
        <v>37</v>
      </c>
      <c r="E142" t="s">
        <v>447</v>
      </c>
      <c r="I142" t="s">
        <v>448</v>
      </c>
    </row>
    <row r="143" spans="1:9" x14ac:dyDescent="0.3">
      <c r="A143" t="s">
        <v>449</v>
      </c>
      <c r="B143" t="s">
        <v>450</v>
      </c>
      <c r="E143" t="s">
        <v>451</v>
      </c>
      <c r="I143" t="s">
        <v>164</v>
      </c>
    </row>
    <row r="144" spans="1:9" x14ac:dyDescent="0.3">
      <c r="A144" t="s">
        <v>452</v>
      </c>
      <c r="B144" t="s">
        <v>453</v>
      </c>
      <c r="C144">
        <v>8</v>
      </c>
      <c r="D144" t="s">
        <v>23</v>
      </c>
      <c r="E144" t="s">
        <v>108</v>
      </c>
    </row>
    <row r="145" spans="1:9" x14ac:dyDescent="0.3">
      <c r="A145" t="s">
        <v>454</v>
      </c>
      <c r="B145" t="s">
        <v>455</v>
      </c>
      <c r="C145">
        <v>2</v>
      </c>
      <c r="D145" t="s">
        <v>345</v>
      </c>
      <c r="E145" t="s">
        <v>456</v>
      </c>
      <c r="I145" t="s">
        <v>457</v>
      </c>
    </row>
    <row r="146" spans="1:9" x14ac:dyDescent="0.3">
      <c r="A146" t="s">
        <v>458</v>
      </c>
      <c r="B146" t="s">
        <v>459</v>
      </c>
      <c r="C146">
        <v>2</v>
      </c>
      <c r="D146" t="s">
        <v>460</v>
      </c>
      <c r="E146" t="s">
        <v>30</v>
      </c>
    </row>
    <row r="147" spans="1:9" x14ac:dyDescent="0.3">
      <c r="A147" t="s">
        <v>461</v>
      </c>
      <c r="B147" t="s">
        <v>462</v>
      </c>
      <c r="C147">
        <v>2</v>
      </c>
      <c r="D147" t="s">
        <v>345</v>
      </c>
      <c r="E147" t="s">
        <v>463</v>
      </c>
      <c r="I147" t="s">
        <v>464</v>
      </c>
    </row>
    <row r="148" spans="1:9" x14ac:dyDescent="0.3">
      <c r="A148" t="s">
        <v>465</v>
      </c>
      <c r="B148" t="s">
        <v>466</v>
      </c>
      <c r="E148" t="s">
        <v>466</v>
      </c>
    </row>
    <row r="149" spans="1:9" x14ac:dyDescent="0.3">
      <c r="A149" t="s">
        <v>467</v>
      </c>
      <c r="B149" t="s">
        <v>468</v>
      </c>
      <c r="C149">
        <v>1</v>
      </c>
      <c r="D149" t="s">
        <v>469</v>
      </c>
      <c r="E149" t="s">
        <v>470</v>
      </c>
    </row>
    <row r="150" spans="1:9" x14ac:dyDescent="0.3">
      <c r="A150" t="s">
        <v>471</v>
      </c>
      <c r="B150" t="s">
        <v>472</v>
      </c>
      <c r="C150">
        <v>2</v>
      </c>
      <c r="D150" t="s">
        <v>473</v>
      </c>
      <c r="E150" t="s">
        <v>160</v>
      </c>
    </row>
    <row r="151" spans="1:9" x14ac:dyDescent="0.3">
      <c r="A151" t="s">
        <v>474</v>
      </c>
      <c r="B151" t="s">
        <v>475</v>
      </c>
      <c r="C151">
        <v>1.5</v>
      </c>
      <c r="D151" t="s">
        <v>120</v>
      </c>
      <c r="E151" t="s">
        <v>476</v>
      </c>
    </row>
    <row r="152" spans="1:9" x14ac:dyDescent="0.3">
      <c r="A152" t="s">
        <v>477</v>
      </c>
      <c r="B152" t="s">
        <v>478</v>
      </c>
      <c r="C152">
        <v>1</v>
      </c>
      <c r="D152" t="s">
        <v>361</v>
      </c>
      <c r="E152" t="s">
        <v>479</v>
      </c>
    </row>
    <row r="153" spans="1:9" x14ac:dyDescent="0.3">
      <c r="A153" t="s">
        <v>480</v>
      </c>
      <c r="B153" t="s">
        <v>481</v>
      </c>
      <c r="C153">
        <v>2</v>
      </c>
      <c r="D153" t="s">
        <v>91</v>
      </c>
      <c r="E153" t="s">
        <v>482</v>
      </c>
      <c r="I153" t="s">
        <v>20</v>
      </c>
    </row>
    <row r="154" spans="1:9" x14ac:dyDescent="0.3">
      <c r="A154" t="s">
        <v>483</v>
      </c>
      <c r="B154" t="s">
        <v>484</v>
      </c>
      <c r="C154">
        <v>5</v>
      </c>
      <c r="D154" t="s">
        <v>29</v>
      </c>
      <c r="E154" t="s">
        <v>115</v>
      </c>
    </row>
    <row r="155" spans="1:9" x14ac:dyDescent="0.3">
      <c r="A155" t="s">
        <v>485</v>
      </c>
      <c r="B155" t="s">
        <v>486</v>
      </c>
      <c r="C155">
        <v>1</v>
      </c>
      <c r="D155" t="s">
        <v>23</v>
      </c>
      <c r="E155" t="s">
        <v>487</v>
      </c>
    </row>
    <row r="156" spans="1:9" x14ac:dyDescent="0.3">
      <c r="A156" t="s">
        <v>488</v>
      </c>
      <c r="B156" t="s">
        <v>489</v>
      </c>
      <c r="C156">
        <v>1</v>
      </c>
      <c r="D156" t="s">
        <v>23</v>
      </c>
      <c r="E156" t="s">
        <v>233</v>
      </c>
    </row>
    <row r="157" spans="1:9" x14ac:dyDescent="0.3">
      <c r="A157" t="s">
        <v>490</v>
      </c>
      <c r="B157" t="s">
        <v>491</v>
      </c>
      <c r="E157" t="s">
        <v>491</v>
      </c>
    </row>
    <row r="158" spans="1:9" x14ac:dyDescent="0.3">
      <c r="A158" t="s">
        <v>492</v>
      </c>
      <c r="B158" t="s">
        <v>493</v>
      </c>
      <c r="C158">
        <v>1.5</v>
      </c>
      <c r="D158" t="s">
        <v>345</v>
      </c>
      <c r="E158" t="s">
        <v>494</v>
      </c>
    </row>
    <row r="159" spans="1:9" x14ac:dyDescent="0.3">
      <c r="A159" t="s">
        <v>495</v>
      </c>
      <c r="B159" t="s">
        <v>496</v>
      </c>
      <c r="C159">
        <v>2.5</v>
      </c>
      <c r="D159" t="s">
        <v>345</v>
      </c>
      <c r="E159" t="s">
        <v>497</v>
      </c>
    </row>
    <row r="160" spans="1:9" x14ac:dyDescent="0.3">
      <c r="A160" t="s">
        <v>498</v>
      </c>
      <c r="B160" t="s">
        <v>499</v>
      </c>
      <c r="C160">
        <v>1</v>
      </c>
      <c r="D160" t="s">
        <v>23</v>
      </c>
      <c r="E160" t="s">
        <v>500</v>
      </c>
    </row>
    <row r="161" spans="1:9" x14ac:dyDescent="0.3">
      <c r="A161" t="s">
        <v>501</v>
      </c>
      <c r="B161" t="s">
        <v>502</v>
      </c>
      <c r="C161">
        <v>1</v>
      </c>
      <c r="D161" t="s">
        <v>503</v>
      </c>
      <c r="E161" t="s">
        <v>504</v>
      </c>
    </row>
    <row r="162" spans="1:9" x14ac:dyDescent="0.3">
      <c r="A162" t="s">
        <v>505</v>
      </c>
      <c r="B162" t="s">
        <v>506</v>
      </c>
      <c r="C162">
        <v>0.25</v>
      </c>
      <c r="D162" t="s">
        <v>23</v>
      </c>
      <c r="E162" t="s">
        <v>507</v>
      </c>
    </row>
    <row r="163" spans="1:9" x14ac:dyDescent="0.3">
      <c r="A163" t="s">
        <v>508</v>
      </c>
      <c r="B163" t="s">
        <v>509</v>
      </c>
      <c r="C163">
        <v>1</v>
      </c>
      <c r="D163" t="s">
        <v>23</v>
      </c>
      <c r="E163" t="s">
        <v>320</v>
      </c>
    </row>
    <row r="164" spans="1:9" x14ac:dyDescent="0.3">
      <c r="A164" t="s">
        <v>510</v>
      </c>
      <c r="B164" t="s">
        <v>511</v>
      </c>
      <c r="C164">
        <v>1</v>
      </c>
      <c r="D164" t="s">
        <v>23</v>
      </c>
      <c r="E164" t="s">
        <v>512</v>
      </c>
      <c r="I164" t="s">
        <v>513</v>
      </c>
    </row>
    <row r="165" spans="1:9" x14ac:dyDescent="0.3">
      <c r="A165" t="s">
        <v>514</v>
      </c>
      <c r="B165" t="s">
        <v>515</v>
      </c>
      <c r="C165">
        <v>60</v>
      </c>
      <c r="D165" t="s">
        <v>29</v>
      </c>
      <c r="E165" t="s">
        <v>516</v>
      </c>
    </row>
    <row r="166" spans="1:9" x14ac:dyDescent="0.3">
      <c r="A166" t="s">
        <v>517</v>
      </c>
      <c r="B166" t="s">
        <v>518</v>
      </c>
      <c r="E166" t="s">
        <v>518</v>
      </c>
    </row>
    <row r="167" spans="1:9" x14ac:dyDescent="0.3">
      <c r="A167" t="s">
        <v>519</v>
      </c>
      <c r="B167" t="s">
        <v>434</v>
      </c>
      <c r="D167" t="s">
        <v>435</v>
      </c>
      <c r="E167" t="s">
        <v>152</v>
      </c>
      <c r="I167" t="s">
        <v>164</v>
      </c>
    </row>
    <row r="168" spans="1:9" x14ac:dyDescent="0.3">
      <c r="A168" t="s">
        <v>520</v>
      </c>
      <c r="B168" t="s">
        <v>521</v>
      </c>
      <c r="C168">
        <v>1</v>
      </c>
      <c r="D168" t="s">
        <v>11</v>
      </c>
      <c r="E168" t="s">
        <v>349</v>
      </c>
    </row>
    <row r="169" spans="1:9" x14ac:dyDescent="0.3">
      <c r="A169" t="s">
        <v>522</v>
      </c>
      <c r="B169" t="s">
        <v>523</v>
      </c>
      <c r="C169">
        <v>4</v>
      </c>
      <c r="D169" t="s">
        <v>23</v>
      </c>
      <c r="E169" t="s">
        <v>524</v>
      </c>
    </row>
    <row r="170" spans="1:9" x14ac:dyDescent="0.3">
      <c r="A170" t="s">
        <v>525</v>
      </c>
      <c r="B170" t="s">
        <v>526</v>
      </c>
      <c r="C170">
        <v>10.5</v>
      </c>
      <c r="D170" t="s">
        <v>91</v>
      </c>
      <c r="E170" t="s">
        <v>281</v>
      </c>
    </row>
    <row r="171" spans="1:9" x14ac:dyDescent="0.3">
      <c r="A171" t="s">
        <v>527</v>
      </c>
      <c r="B171" t="s">
        <v>528</v>
      </c>
      <c r="C171">
        <v>0.25</v>
      </c>
      <c r="D171" t="s">
        <v>37</v>
      </c>
      <c r="E171" t="s">
        <v>529</v>
      </c>
    </row>
    <row r="172" spans="1:9" x14ac:dyDescent="0.3">
      <c r="A172" t="s">
        <v>530</v>
      </c>
      <c r="B172" t="s">
        <v>531</v>
      </c>
      <c r="C172">
        <v>0.5</v>
      </c>
      <c r="D172" t="s">
        <v>206</v>
      </c>
      <c r="E172" t="s">
        <v>532</v>
      </c>
    </row>
    <row r="173" spans="1:9" x14ac:dyDescent="0.3">
      <c r="A173" t="s">
        <v>533</v>
      </c>
      <c r="B173" t="s">
        <v>534</v>
      </c>
      <c r="C173">
        <v>150</v>
      </c>
      <c r="D173" t="s">
        <v>29</v>
      </c>
      <c r="E173" t="s">
        <v>535</v>
      </c>
    </row>
    <row r="174" spans="1:9" x14ac:dyDescent="0.3">
      <c r="A174" t="s">
        <v>536</v>
      </c>
      <c r="B174" t="s">
        <v>537</v>
      </c>
      <c r="C174">
        <v>6</v>
      </c>
      <c r="E174" t="s">
        <v>538</v>
      </c>
    </row>
    <row r="175" spans="1:9" x14ac:dyDescent="0.3">
      <c r="A175" t="s">
        <v>539</v>
      </c>
      <c r="B175" t="s">
        <v>540</v>
      </c>
      <c r="C175">
        <v>1</v>
      </c>
      <c r="D175" t="s">
        <v>18</v>
      </c>
      <c r="E175" t="s">
        <v>541</v>
      </c>
    </row>
    <row r="176" spans="1:9" x14ac:dyDescent="0.3">
      <c r="A176" t="s">
        <v>542</v>
      </c>
      <c r="B176" t="s">
        <v>543</v>
      </c>
      <c r="C176">
        <v>10</v>
      </c>
      <c r="D176" t="s">
        <v>29</v>
      </c>
      <c r="E176" t="s">
        <v>183</v>
      </c>
    </row>
    <row r="177" spans="1:9" x14ac:dyDescent="0.3">
      <c r="A177" t="s">
        <v>544</v>
      </c>
      <c r="B177" t="s">
        <v>545</v>
      </c>
      <c r="C177" t="s">
        <v>546</v>
      </c>
      <c r="D177" t="s">
        <v>345</v>
      </c>
      <c r="E177" t="s">
        <v>547</v>
      </c>
      <c r="I177" t="s">
        <v>548</v>
      </c>
    </row>
    <row r="178" spans="1:9" x14ac:dyDescent="0.3">
      <c r="A178" t="s">
        <v>549</v>
      </c>
      <c r="B178" t="s">
        <v>550</v>
      </c>
      <c r="C178">
        <v>0.75</v>
      </c>
      <c r="D178" t="s">
        <v>37</v>
      </c>
      <c r="E178" t="s">
        <v>551</v>
      </c>
      <c r="F178" t="s">
        <v>167</v>
      </c>
      <c r="G178" t="s">
        <v>168</v>
      </c>
      <c r="I178" t="s">
        <v>325</v>
      </c>
    </row>
    <row r="179" spans="1:9" x14ac:dyDescent="0.3">
      <c r="A179" t="s">
        <v>552</v>
      </c>
      <c r="B179" t="s">
        <v>553</v>
      </c>
      <c r="C179">
        <v>0.5</v>
      </c>
      <c r="D179" t="s">
        <v>284</v>
      </c>
      <c r="E179" t="s">
        <v>554</v>
      </c>
      <c r="G179" t="s">
        <v>68</v>
      </c>
      <c r="I179" t="s">
        <v>555</v>
      </c>
    </row>
    <row r="180" spans="1:9" x14ac:dyDescent="0.3">
      <c r="A180" t="s">
        <v>556</v>
      </c>
      <c r="B180" t="s">
        <v>557</v>
      </c>
      <c r="C180">
        <v>0.33</v>
      </c>
      <c r="D180" t="s">
        <v>37</v>
      </c>
      <c r="E180" t="s">
        <v>558</v>
      </c>
      <c r="I180" t="s">
        <v>559</v>
      </c>
    </row>
    <row r="181" spans="1:9" x14ac:dyDescent="0.3">
      <c r="A181" t="s">
        <v>560</v>
      </c>
      <c r="B181" t="s">
        <v>489</v>
      </c>
      <c r="C181">
        <v>1</v>
      </c>
      <c r="D181" t="s">
        <v>23</v>
      </c>
      <c r="E181" t="s">
        <v>233</v>
      </c>
    </row>
    <row r="182" spans="1:9" x14ac:dyDescent="0.3">
      <c r="A182" t="s">
        <v>561</v>
      </c>
      <c r="B182" t="s">
        <v>562</v>
      </c>
      <c r="C182">
        <v>0.5</v>
      </c>
      <c r="D182" t="s">
        <v>23</v>
      </c>
      <c r="E182" t="s">
        <v>563</v>
      </c>
    </row>
    <row r="183" spans="1:9" x14ac:dyDescent="0.3">
      <c r="A183" t="s">
        <v>564</v>
      </c>
      <c r="B183" t="s">
        <v>565</v>
      </c>
      <c r="C183">
        <v>0.75</v>
      </c>
      <c r="D183" t="s">
        <v>23</v>
      </c>
      <c r="E183" t="s">
        <v>61</v>
      </c>
    </row>
    <row r="184" spans="1:9" x14ac:dyDescent="0.3">
      <c r="A184" t="s">
        <v>566</v>
      </c>
      <c r="B184" t="s">
        <v>567</v>
      </c>
      <c r="C184">
        <v>0.5</v>
      </c>
      <c r="D184" t="s">
        <v>23</v>
      </c>
      <c r="E184" t="s">
        <v>568</v>
      </c>
    </row>
    <row r="185" spans="1:9" x14ac:dyDescent="0.3">
      <c r="A185" t="s">
        <v>569</v>
      </c>
      <c r="B185" t="s">
        <v>570</v>
      </c>
      <c r="E185" t="s">
        <v>570</v>
      </c>
    </row>
    <row r="186" spans="1:9" x14ac:dyDescent="0.3">
      <c r="A186" t="s">
        <v>571</v>
      </c>
      <c r="B186" t="s">
        <v>572</v>
      </c>
      <c r="E186" t="s">
        <v>572</v>
      </c>
    </row>
    <row r="187" spans="1:9" x14ac:dyDescent="0.3">
      <c r="A187" t="s">
        <v>573</v>
      </c>
      <c r="B187" t="s">
        <v>574</v>
      </c>
      <c r="C187">
        <v>0.67</v>
      </c>
      <c r="D187" t="s">
        <v>23</v>
      </c>
      <c r="E187" t="s">
        <v>575</v>
      </c>
    </row>
    <row r="188" spans="1:9" x14ac:dyDescent="0.3">
      <c r="A188" t="s">
        <v>576</v>
      </c>
      <c r="B188" t="s">
        <v>577</v>
      </c>
      <c r="C188">
        <v>0.75</v>
      </c>
      <c r="D188" t="s">
        <v>23</v>
      </c>
      <c r="E188" t="s">
        <v>578</v>
      </c>
    </row>
    <row r="189" spans="1:9" x14ac:dyDescent="0.3">
      <c r="A189" t="s">
        <v>579</v>
      </c>
      <c r="B189" t="s">
        <v>580</v>
      </c>
      <c r="C189">
        <v>8</v>
      </c>
      <c r="D189" t="s">
        <v>23</v>
      </c>
      <c r="E189" t="s">
        <v>581</v>
      </c>
      <c r="H189" t="s">
        <v>582</v>
      </c>
    </row>
    <row r="190" spans="1:9" x14ac:dyDescent="0.3">
      <c r="A190" t="s">
        <v>583</v>
      </c>
      <c r="B190" t="s">
        <v>584</v>
      </c>
      <c r="D190" t="s">
        <v>585</v>
      </c>
      <c r="E190" t="s">
        <v>121</v>
      </c>
    </row>
    <row r="191" spans="1:9" x14ac:dyDescent="0.3">
      <c r="A191" t="s">
        <v>527</v>
      </c>
      <c r="B191" t="s">
        <v>586</v>
      </c>
      <c r="C191">
        <v>1</v>
      </c>
      <c r="D191" t="s">
        <v>11</v>
      </c>
      <c r="E191" t="s">
        <v>587</v>
      </c>
    </row>
    <row r="192" spans="1:9" x14ac:dyDescent="0.3">
      <c r="A192" t="s">
        <v>588</v>
      </c>
      <c r="B192" t="s">
        <v>589</v>
      </c>
      <c r="C192">
        <v>1</v>
      </c>
      <c r="D192" t="s">
        <v>590</v>
      </c>
      <c r="E192" t="s">
        <v>591</v>
      </c>
    </row>
    <row r="193" spans="1:9" x14ac:dyDescent="0.3">
      <c r="A193" t="s">
        <v>592</v>
      </c>
      <c r="B193" t="s">
        <v>593</v>
      </c>
      <c r="C193">
        <v>0.75</v>
      </c>
      <c r="D193" t="s">
        <v>37</v>
      </c>
      <c r="E193" t="s">
        <v>594</v>
      </c>
      <c r="I193" t="s">
        <v>134</v>
      </c>
    </row>
    <row r="194" spans="1:9" x14ac:dyDescent="0.3">
      <c r="A194" t="s">
        <v>595</v>
      </c>
      <c r="B194" t="s">
        <v>596</v>
      </c>
      <c r="C194">
        <v>2</v>
      </c>
      <c r="D194" t="s">
        <v>23</v>
      </c>
      <c r="E194" t="s">
        <v>597</v>
      </c>
    </row>
    <row r="195" spans="1:9" x14ac:dyDescent="0.3">
      <c r="A195" t="s">
        <v>598</v>
      </c>
      <c r="B195" t="s">
        <v>599</v>
      </c>
      <c r="C195">
        <v>2</v>
      </c>
      <c r="D195" t="s">
        <v>23</v>
      </c>
      <c r="E195" t="s">
        <v>30</v>
      </c>
    </row>
    <row r="196" spans="1:9" x14ac:dyDescent="0.3">
      <c r="A196" t="s">
        <v>600</v>
      </c>
      <c r="B196" t="s">
        <v>601</v>
      </c>
      <c r="C196">
        <v>0.5</v>
      </c>
      <c r="D196" t="s">
        <v>23</v>
      </c>
      <c r="E196" t="s">
        <v>602</v>
      </c>
    </row>
    <row r="197" spans="1:9" x14ac:dyDescent="0.3">
      <c r="A197" t="s">
        <v>603</v>
      </c>
      <c r="B197" t="s">
        <v>604</v>
      </c>
      <c r="C197">
        <v>0.5</v>
      </c>
      <c r="D197" t="s">
        <v>11</v>
      </c>
      <c r="E197" t="s">
        <v>605</v>
      </c>
      <c r="I197" t="s">
        <v>20</v>
      </c>
    </row>
    <row r="198" spans="1:9" x14ac:dyDescent="0.3">
      <c r="A198" t="s">
        <v>606</v>
      </c>
      <c r="B198" t="s">
        <v>607</v>
      </c>
      <c r="C198">
        <v>0.5</v>
      </c>
      <c r="D198" t="s">
        <v>23</v>
      </c>
      <c r="E198" t="s">
        <v>292</v>
      </c>
    </row>
    <row r="199" spans="1:9" x14ac:dyDescent="0.3">
      <c r="A199" t="s">
        <v>608</v>
      </c>
      <c r="B199" t="s">
        <v>609</v>
      </c>
      <c r="C199">
        <v>0.5</v>
      </c>
      <c r="D199" t="s">
        <v>460</v>
      </c>
      <c r="E199" t="s">
        <v>61</v>
      </c>
    </row>
    <row r="200" spans="1:9" x14ac:dyDescent="0.3">
      <c r="A200" t="s">
        <v>610</v>
      </c>
      <c r="B200" t="s">
        <v>611</v>
      </c>
      <c r="C200">
        <v>1</v>
      </c>
      <c r="D200" t="s">
        <v>612</v>
      </c>
      <c r="E200" t="s">
        <v>613</v>
      </c>
    </row>
    <row r="201" spans="1:9" x14ac:dyDescent="0.3">
      <c r="A201" t="s">
        <v>614</v>
      </c>
      <c r="B201" t="s">
        <v>615</v>
      </c>
      <c r="C201">
        <v>1</v>
      </c>
      <c r="D201" t="s">
        <v>23</v>
      </c>
      <c r="E201" t="s">
        <v>616</v>
      </c>
    </row>
    <row r="202" spans="1:9" x14ac:dyDescent="0.3">
      <c r="A202" t="s">
        <v>617</v>
      </c>
      <c r="B202" t="s">
        <v>618</v>
      </c>
      <c r="C202">
        <v>1</v>
      </c>
      <c r="E202" t="s">
        <v>299</v>
      </c>
      <c r="I202" t="s">
        <v>248</v>
      </c>
    </row>
    <row r="203" spans="1:9" x14ac:dyDescent="0.3">
      <c r="A203" t="s">
        <v>619</v>
      </c>
      <c r="B203" t="s">
        <v>620</v>
      </c>
      <c r="C203">
        <v>751</v>
      </c>
      <c r="D203" t="s">
        <v>29</v>
      </c>
      <c r="E203" t="s">
        <v>621</v>
      </c>
      <c r="I203" t="s">
        <v>622</v>
      </c>
    </row>
    <row r="204" spans="1:9" x14ac:dyDescent="0.3">
      <c r="A204" t="s">
        <v>623</v>
      </c>
      <c r="B204" t="s">
        <v>624</v>
      </c>
      <c r="C204">
        <v>3</v>
      </c>
      <c r="D204" t="s">
        <v>625</v>
      </c>
      <c r="E204" t="s">
        <v>626</v>
      </c>
      <c r="I204" t="s">
        <v>289</v>
      </c>
    </row>
    <row r="205" spans="1:9" x14ac:dyDescent="0.3">
      <c r="A205" t="s">
        <v>627</v>
      </c>
      <c r="B205" t="s">
        <v>94</v>
      </c>
      <c r="C205">
        <v>1</v>
      </c>
      <c r="D205" t="s">
        <v>23</v>
      </c>
      <c r="E205" t="s">
        <v>95</v>
      </c>
    </row>
    <row r="206" spans="1:9" x14ac:dyDescent="0.3">
      <c r="A206" t="s">
        <v>628</v>
      </c>
      <c r="B206" t="s">
        <v>629</v>
      </c>
      <c r="C206">
        <v>0.25</v>
      </c>
      <c r="D206" t="s">
        <v>37</v>
      </c>
      <c r="E206" t="s">
        <v>630</v>
      </c>
      <c r="I206" t="s">
        <v>631</v>
      </c>
    </row>
    <row r="207" spans="1:9" x14ac:dyDescent="0.3">
      <c r="A207" t="s">
        <v>632</v>
      </c>
      <c r="B207" t="s">
        <v>633</v>
      </c>
      <c r="C207">
        <v>1</v>
      </c>
      <c r="D207" t="s">
        <v>634</v>
      </c>
      <c r="E207" t="s">
        <v>635</v>
      </c>
    </row>
    <row r="208" spans="1:9" x14ac:dyDescent="0.3">
      <c r="A208" t="s">
        <v>636</v>
      </c>
      <c r="B208" t="s">
        <v>637</v>
      </c>
      <c r="C208">
        <v>1</v>
      </c>
      <c r="D208" t="s">
        <v>23</v>
      </c>
      <c r="E208" t="s">
        <v>638</v>
      </c>
    </row>
    <row r="209" spans="1:9" x14ac:dyDescent="0.3">
      <c r="A209" t="s">
        <v>639</v>
      </c>
      <c r="B209" t="s">
        <v>640</v>
      </c>
      <c r="C209">
        <v>0.75</v>
      </c>
      <c r="D209" t="s">
        <v>91</v>
      </c>
      <c r="E209" t="s">
        <v>641</v>
      </c>
      <c r="I209" t="s">
        <v>642</v>
      </c>
    </row>
    <row r="210" spans="1:9" x14ac:dyDescent="0.3">
      <c r="A210" t="s">
        <v>643</v>
      </c>
      <c r="B210" t="s">
        <v>644</v>
      </c>
      <c r="C210">
        <v>6</v>
      </c>
      <c r="D210" t="s">
        <v>23</v>
      </c>
      <c r="E210" t="s">
        <v>645</v>
      </c>
      <c r="I210" t="s">
        <v>289</v>
      </c>
    </row>
    <row r="211" spans="1:9" x14ac:dyDescent="0.3">
      <c r="A211" t="s">
        <v>646</v>
      </c>
      <c r="B211" t="s">
        <v>159</v>
      </c>
      <c r="C211">
        <v>0.75</v>
      </c>
      <c r="D211" t="s">
        <v>23</v>
      </c>
      <c r="E211" t="s">
        <v>160</v>
      </c>
      <c r="G211" t="s">
        <v>68</v>
      </c>
    </row>
    <row r="212" spans="1:9" x14ac:dyDescent="0.3">
      <c r="A212" t="s">
        <v>647</v>
      </c>
      <c r="B212" t="s">
        <v>648</v>
      </c>
      <c r="C212">
        <v>1.5</v>
      </c>
      <c r="D212" t="s">
        <v>345</v>
      </c>
      <c r="E212" t="s">
        <v>649</v>
      </c>
    </row>
    <row r="213" spans="1:9" x14ac:dyDescent="0.3">
      <c r="A213" t="s">
        <v>650</v>
      </c>
      <c r="B213" t="s">
        <v>159</v>
      </c>
      <c r="C213">
        <v>0.75</v>
      </c>
      <c r="D213" t="s">
        <v>23</v>
      </c>
      <c r="E213" t="s">
        <v>160</v>
      </c>
      <c r="G213" t="s">
        <v>68</v>
      </c>
    </row>
    <row r="214" spans="1:9" x14ac:dyDescent="0.3">
      <c r="A214" t="s">
        <v>651</v>
      </c>
      <c r="B214" t="s">
        <v>652</v>
      </c>
      <c r="C214">
        <v>0.5</v>
      </c>
      <c r="D214" t="s">
        <v>11</v>
      </c>
      <c r="E214" t="s">
        <v>653</v>
      </c>
      <c r="I214" t="s">
        <v>654</v>
      </c>
    </row>
    <row r="215" spans="1:9" x14ac:dyDescent="0.3">
      <c r="A215" t="s">
        <v>655</v>
      </c>
      <c r="B215" t="s">
        <v>656</v>
      </c>
      <c r="C215">
        <v>1</v>
      </c>
      <c r="D215" t="s">
        <v>23</v>
      </c>
      <c r="E215" t="s">
        <v>657</v>
      </c>
    </row>
    <row r="216" spans="1:9" x14ac:dyDescent="0.3">
      <c r="A216" t="s">
        <v>658</v>
      </c>
      <c r="B216" t="s">
        <v>659</v>
      </c>
      <c r="E216" t="s">
        <v>660</v>
      </c>
      <c r="F216" t="s">
        <v>661</v>
      </c>
      <c r="I216" t="s">
        <v>662</v>
      </c>
    </row>
    <row r="217" spans="1:9" x14ac:dyDescent="0.3">
      <c r="A217" t="s">
        <v>663</v>
      </c>
      <c r="B217" t="s">
        <v>664</v>
      </c>
      <c r="C217" t="s">
        <v>665</v>
      </c>
      <c r="D217" t="s">
        <v>60</v>
      </c>
      <c r="E217" t="s">
        <v>331</v>
      </c>
    </row>
    <row r="218" spans="1:9" x14ac:dyDescent="0.3">
      <c r="A218" t="s">
        <v>666</v>
      </c>
      <c r="B218" t="s">
        <v>667</v>
      </c>
      <c r="C218">
        <v>15</v>
      </c>
      <c r="D218" t="s">
        <v>29</v>
      </c>
      <c r="E218" t="s">
        <v>30</v>
      </c>
    </row>
    <row r="219" spans="1:9" x14ac:dyDescent="0.3">
      <c r="A219" t="s">
        <v>668</v>
      </c>
      <c r="B219" t="s">
        <v>669</v>
      </c>
      <c r="C219">
        <v>1.5</v>
      </c>
      <c r="D219" t="s">
        <v>50</v>
      </c>
      <c r="E219" t="s">
        <v>233</v>
      </c>
    </row>
    <row r="220" spans="1:9" x14ac:dyDescent="0.3">
      <c r="A220" t="s">
        <v>670</v>
      </c>
      <c r="B220" t="s">
        <v>671</v>
      </c>
      <c r="C220">
        <v>2</v>
      </c>
      <c r="D220" t="s">
        <v>189</v>
      </c>
      <c r="E220" t="s">
        <v>672</v>
      </c>
    </row>
    <row r="221" spans="1:9" x14ac:dyDescent="0.3">
      <c r="A221" t="s">
        <v>673</v>
      </c>
      <c r="B221" t="s">
        <v>674</v>
      </c>
      <c r="C221">
        <v>0.5</v>
      </c>
      <c r="D221" t="s">
        <v>23</v>
      </c>
      <c r="E221" t="s">
        <v>38</v>
      </c>
      <c r="G221" t="s">
        <v>68</v>
      </c>
    </row>
    <row r="222" spans="1:9" x14ac:dyDescent="0.3">
      <c r="A222" t="s">
        <v>675</v>
      </c>
      <c r="B222" t="s">
        <v>676</v>
      </c>
      <c r="C222">
        <v>2</v>
      </c>
      <c r="D222" t="s">
        <v>23</v>
      </c>
      <c r="E222" t="s">
        <v>677</v>
      </c>
    </row>
    <row r="223" spans="1:9" x14ac:dyDescent="0.3">
      <c r="A223" t="s">
        <v>678</v>
      </c>
      <c r="B223" t="s">
        <v>679</v>
      </c>
      <c r="C223">
        <v>2</v>
      </c>
      <c r="D223" t="s">
        <v>91</v>
      </c>
      <c r="E223" t="s">
        <v>680</v>
      </c>
    </row>
    <row r="224" spans="1:9" x14ac:dyDescent="0.3">
      <c r="A224" t="s">
        <v>681</v>
      </c>
      <c r="B224" t="s">
        <v>682</v>
      </c>
      <c r="C224">
        <v>0.5</v>
      </c>
      <c r="D224" t="s">
        <v>11</v>
      </c>
      <c r="E224" t="s">
        <v>683</v>
      </c>
    </row>
    <row r="225" spans="1:9" x14ac:dyDescent="0.3">
      <c r="A225" t="s">
        <v>684</v>
      </c>
      <c r="B225" t="s">
        <v>685</v>
      </c>
      <c r="C225">
        <v>2</v>
      </c>
      <c r="D225" t="s">
        <v>686</v>
      </c>
      <c r="E225" t="s">
        <v>687</v>
      </c>
    </row>
    <row r="226" spans="1:9" x14ac:dyDescent="0.3">
      <c r="A226" t="s">
        <v>688</v>
      </c>
      <c r="B226" t="s">
        <v>689</v>
      </c>
      <c r="C226">
        <v>15</v>
      </c>
      <c r="D226" t="s">
        <v>29</v>
      </c>
      <c r="E226" t="s">
        <v>690</v>
      </c>
    </row>
    <row r="227" spans="1:9" x14ac:dyDescent="0.3">
      <c r="A227" t="s">
        <v>691</v>
      </c>
      <c r="B227" t="s">
        <v>692</v>
      </c>
      <c r="C227">
        <v>2</v>
      </c>
      <c r="D227" t="s">
        <v>91</v>
      </c>
      <c r="E227" t="s">
        <v>233</v>
      </c>
    </row>
    <row r="228" spans="1:9" x14ac:dyDescent="0.3">
      <c r="A228" t="s">
        <v>693</v>
      </c>
      <c r="B228" t="s">
        <v>173</v>
      </c>
      <c r="E228" t="s">
        <v>173</v>
      </c>
    </row>
    <row r="229" spans="1:9" x14ac:dyDescent="0.3">
      <c r="A229" t="s">
        <v>694</v>
      </c>
      <c r="B229" t="s">
        <v>695</v>
      </c>
      <c r="C229">
        <v>1.5</v>
      </c>
      <c r="D229" t="s">
        <v>37</v>
      </c>
      <c r="E229" t="s">
        <v>529</v>
      </c>
      <c r="I229" t="s">
        <v>696</v>
      </c>
    </row>
    <row r="230" spans="1:9" x14ac:dyDescent="0.3">
      <c r="A230" t="s">
        <v>697</v>
      </c>
      <c r="B230" t="s">
        <v>698</v>
      </c>
      <c r="C230">
        <v>2</v>
      </c>
      <c r="D230" t="s">
        <v>91</v>
      </c>
      <c r="E230" t="s">
        <v>699</v>
      </c>
    </row>
    <row r="231" spans="1:9" x14ac:dyDescent="0.3">
      <c r="A231" t="s">
        <v>700</v>
      </c>
      <c r="B231" t="s">
        <v>701</v>
      </c>
      <c r="C231">
        <v>1</v>
      </c>
      <c r="D231" t="s">
        <v>23</v>
      </c>
      <c r="E231" t="s">
        <v>317</v>
      </c>
    </row>
    <row r="232" spans="1:9" x14ac:dyDescent="0.3">
      <c r="A232" t="s">
        <v>702</v>
      </c>
      <c r="B232" t="s">
        <v>703</v>
      </c>
      <c r="C232">
        <v>1</v>
      </c>
      <c r="D232" t="s">
        <v>469</v>
      </c>
      <c r="E232" t="s">
        <v>704</v>
      </c>
    </row>
    <row r="233" spans="1:9" x14ac:dyDescent="0.3">
      <c r="A233" t="s">
        <v>705</v>
      </c>
      <c r="B233" t="s">
        <v>706</v>
      </c>
      <c r="C233">
        <v>1</v>
      </c>
      <c r="D233" t="s">
        <v>60</v>
      </c>
      <c r="E233" t="s">
        <v>61</v>
      </c>
      <c r="I233" t="s">
        <v>289</v>
      </c>
    </row>
    <row r="234" spans="1:9" x14ac:dyDescent="0.3">
      <c r="A234" t="s">
        <v>707</v>
      </c>
      <c r="B234" t="s">
        <v>708</v>
      </c>
      <c r="C234">
        <v>0.5</v>
      </c>
      <c r="D234" t="s">
        <v>23</v>
      </c>
      <c r="E234" t="s">
        <v>709</v>
      </c>
    </row>
    <row r="235" spans="1:9" x14ac:dyDescent="0.3">
      <c r="A235" t="s">
        <v>710</v>
      </c>
      <c r="B235" t="s">
        <v>711</v>
      </c>
      <c r="C235">
        <v>1</v>
      </c>
      <c r="D235" t="s">
        <v>23</v>
      </c>
      <c r="E235" t="s">
        <v>712</v>
      </c>
    </row>
    <row r="236" spans="1:9" x14ac:dyDescent="0.3">
      <c r="A236" t="s">
        <v>713</v>
      </c>
      <c r="B236" t="s">
        <v>714</v>
      </c>
      <c r="C236">
        <v>2</v>
      </c>
      <c r="D236" t="s">
        <v>715</v>
      </c>
      <c r="E236" t="s">
        <v>716</v>
      </c>
    </row>
    <row r="237" spans="1:9" x14ac:dyDescent="0.3">
      <c r="A237" t="s">
        <v>717</v>
      </c>
      <c r="B237" t="s">
        <v>718</v>
      </c>
      <c r="C237">
        <v>1</v>
      </c>
      <c r="D237" t="s">
        <v>719</v>
      </c>
      <c r="E237" t="s">
        <v>720</v>
      </c>
    </row>
    <row r="238" spans="1:9" x14ac:dyDescent="0.3">
      <c r="A238" t="s">
        <v>721</v>
      </c>
      <c r="B238" t="s">
        <v>722</v>
      </c>
      <c r="C238">
        <v>2</v>
      </c>
      <c r="E238" t="s">
        <v>723</v>
      </c>
    </row>
    <row r="239" spans="1:9" x14ac:dyDescent="0.3">
      <c r="A239" t="s">
        <v>724</v>
      </c>
      <c r="B239" t="s">
        <v>725</v>
      </c>
      <c r="C239">
        <v>1</v>
      </c>
      <c r="D239" t="s">
        <v>585</v>
      </c>
      <c r="E239" t="s">
        <v>163</v>
      </c>
      <c r="I239" t="s">
        <v>248</v>
      </c>
    </row>
    <row r="240" spans="1:9" x14ac:dyDescent="0.3">
      <c r="A240" t="s">
        <v>726</v>
      </c>
      <c r="B240" t="s">
        <v>727</v>
      </c>
      <c r="C240">
        <v>1.5</v>
      </c>
      <c r="D240" t="s">
        <v>345</v>
      </c>
      <c r="E240" t="s">
        <v>728</v>
      </c>
    </row>
    <row r="241" spans="1:9" x14ac:dyDescent="0.3">
      <c r="A241" t="s">
        <v>729</v>
      </c>
      <c r="B241" t="s">
        <v>730</v>
      </c>
      <c r="C241">
        <v>45</v>
      </c>
      <c r="D241" t="s">
        <v>29</v>
      </c>
      <c r="E241" t="s">
        <v>731</v>
      </c>
    </row>
    <row r="242" spans="1:9" x14ac:dyDescent="0.3">
      <c r="A242" t="s">
        <v>732</v>
      </c>
      <c r="B242" t="s">
        <v>733</v>
      </c>
      <c r="C242">
        <v>0.25</v>
      </c>
      <c r="D242" t="s">
        <v>284</v>
      </c>
      <c r="E242" t="s">
        <v>734</v>
      </c>
      <c r="I242" t="s">
        <v>735</v>
      </c>
    </row>
    <row r="243" spans="1:9" x14ac:dyDescent="0.3">
      <c r="A243" t="s">
        <v>736</v>
      </c>
      <c r="B243" t="s">
        <v>737</v>
      </c>
      <c r="E243" t="s">
        <v>738</v>
      </c>
      <c r="I243" t="s">
        <v>65</v>
      </c>
    </row>
    <row r="244" spans="1:9" x14ac:dyDescent="0.3">
      <c r="A244" t="s">
        <v>739</v>
      </c>
      <c r="B244" t="s">
        <v>740</v>
      </c>
      <c r="C244">
        <v>8</v>
      </c>
      <c r="D244" t="s">
        <v>345</v>
      </c>
      <c r="E244" t="s">
        <v>741</v>
      </c>
      <c r="F244" t="s">
        <v>167</v>
      </c>
      <c r="G244" t="s">
        <v>168</v>
      </c>
      <c r="I244" t="s">
        <v>325</v>
      </c>
    </row>
    <row r="245" spans="1:9" x14ac:dyDescent="0.3">
      <c r="A245" t="s">
        <v>742</v>
      </c>
      <c r="B245" t="s">
        <v>743</v>
      </c>
      <c r="E245" t="s">
        <v>743</v>
      </c>
    </row>
    <row r="246" spans="1:9" x14ac:dyDescent="0.3">
      <c r="A246" t="s">
        <v>744</v>
      </c>
      <c r="B246" t="s">
        <v>745</v>
      </c>
      <c r="C246">
        <v>0.5</v>
      </c>
      <c r="D246" t="s">
        <v>23</v>
      </c>
      <c r="E246" t="s">
        <v>746</v>
      </c>
    </row>
    <row r="247" spans="1:9" x14ac:dyDescent="0.3">
      <c r="A247" t="s">
        <v>747</v>
      </c>
      <c r="B247" t="s">
        <v>748</v>
      </c>
      <c r="C247">
        <v>0.5</v>
      </c>
      <c r="D247" t="s">
        <v>23</v>
      </c>
      <c r="E247" t="s">
        <v>749</v>
      </c>
    </row>
    <row r="248" spans="1:9" x14ac:dyDescent="0.3">
      <c r="A248" t="s">
        <v>750</v>
      </c>
      <c r="B248" t="s">
        <v>751</v>
      </c>
      <c r="C248">
        <v>1</v>
      </c>
      <c r="D248" t="s">
        <v>752</v>
      </c>
      <c r="E248" t="s">
        <v>753</v>
      </c>
    </row>
    <row r="249" spans="1:9" x14ac:dyDescent="0.3">
      <c r="A249" t="s">
        <v>754</v>
      </c>
      <c r="B249" t="s">
        <v>755</v>
      </c>
      <c r="C249">
        <v>10</v>
      </c>
      <c r="D249" t="s">
        <v>29</v>
      </c>
      <c r="E249" t="s">
        <v>380</v>
      </c>
    </row>
    <row r="250" spans="1:9" x14ac:dyDescent="0.3">
      <c r="A250" t="s">
        <v>756</v>
      </c>
      <c r="B250" t="s">
        <v>757</v>
      </c>
      <c r="C250">
        <v>25</v>
      </c>
      <c r="D250" t="s">
        <v>29</v>
      </c>
      <c r="E250" t="s">
        <v>758</v>
      </c>
    </row>
    <row r="251" spans="1:9" x14ac:dyDescent="0.3">
      <c r="A251" t="s">
        <v>759</v>
      </c>
      <c r="B251" t="s">
        <v>760</v>
      </c>
      <c r="C251">
        <v>1.5</v>
      </c>
      <c r="D251" t="s">
        <v>23</v>
      </c>
      <c r="E251" t="s">
        <v>761</v>
      </c>
    </row>
    <row r="252" spans="1:9" x14ac:dyDescent="0.3">
      <c r="A252" t="s">
        <v>762</v>
      </c>
      <c r="B252" t="s">
        <v>763</v>
      </c>
      <c r="C252" t="s">
        <v>764</v>
      </c>
      <c r="D252" t="s">
        <v>23</v>
      </c>
      <c r="E252" t="s">
        <v>765</v>
      </c>
      <c r="I252" t="s">
        <v>548</v>
      </c>
    </row>
    <row r="253" spans="1:9" x14ac:dyDescent="0.3">
      <c r="A253" t="s">
        <v>766</v>
      </c>
      <c r="B253" t="s">
        <v>767</v>
      </c>
      <c r="C253">
        <v>0.5</v>
      </c>
      <c r="D253" t="s">
        <v>23</v>
      </c>
      <c r="E253" t="s">
        <v>768</v>
      </c>
    </row>
    <row r="254" spans="1:9" x14ac:dyDescent="0.3">
      <c r="A254" t="s">
        <v>769</v>
      </c>
      <c r="B254" t="s">
        <v>770</v>
      </c>
      <c r="C254">
        <v>2</v>
      </c>
      <c r="D254" t="s">
        <v>23</v>
      </c>
      <c r="E254" t="s">
        <v>771</v>
      </c>
    </row>
    <row r="255" spans="1:9" x14ac:dyDescent="0.3">
      <c r="A255" t="s">
        <v>772</v>
      </c>
      <c r="B255" t="s">
        <v>773</v>
      </c>
      <c r="C255">
        <v>1</v>
      </c>
      <c r="D255" t="s">
        <v>11</v>
      </c>
      <c r="E255" t="s">
        <v>88</v>
      </c>
    </row>
    <row r="256" spans="1:9" x14ac:dyDescent="0.3">
      <c r="A256" t="s">
        <v>774</v>
      </c>
      <c r="B256" t="s">
        <v>775</v>
      </c>
      <c r="C256">
        <v>1</v>
      </c>
      <c r="E256" t="s">
        <v>776</v>
      </c>
    </row>
    <row r="257" spans="1:9" x14ac:dyDescent="0.3">
      <c r="A257" t="s">
        <v>777</v>
      </c>
      <c r="B257" t="s">
        <v>778</v>
      </c>
      <c r="C257">
        <v>2</v>
      </c>
      <c r="D257" t="s">
        <v>23</v>
      </c>
      <c r="E257" t="s">
        <v>497</v>
      </c>
    </row>
    <row r="258" spans="1:9" x14ac:dyDescent="0.3">
      <c r="A258" t="s">
        <v>779</v>
      </c>
      <c r="B258" t="s">
        <v>780</v>
      </c>
      <c r="C258">
        <v>2</v>
      </c>
      <c r="D258" t="s">
        <v>23</v>
      </c>
      <c r="E258" t="s">
        <v>781</v>
      </c>
      <c r="I258" t="s">
        <v>289</v>
      </c>
    </row>
    <row r="259" spans="1:9" x14ac:dyDescent="0.3">
      <c r="A259" t="s">
        <v>782</v>
      </c>
      <c r="B259" t="s">
        <v>783</v>
      </c>
      <c r="C259">
        <v>12.5</v>
      </c>
      <c r="D259" t="s">
        <v>29</v>
      </c>
      <c r="E259" t="s">
        <v>784</v>
      </c>
    </row>
    <row r="260" spans="1:9" x14ac:dyDescent="0.3">
      <c r="A260" t="s">
        <v>628</v>
      </c>
      <c r="B260" t="s">
        <v>785</v>
      </c>
      <c r="C260">
        <v>2</v>
      </c>
      <c r="D260" t="s">
        <v>345</v>
      </c>
      <c r="E260" t="s">
        <v>786</v>
      </c>
      <c r="I260" t="s">
        <v>787</v>
      </c>
    </row>
    <row r="261" spans="1:9" x14ac:dyDescent="0.3">
      <c r="A261" t="s">
        <v>788</v>
      </c>
      <c r="B261" t="s">
        <v>789</v>
      </c>
      <c r="D261" t="s">
        <v>246</v>
      </c>
      <c r="E261" t="s">
        <v>591</v>
      </c>
      <c r="I261" t="s">
        <v>790</v>
      </c>
    </row>
    <row r="262" spans="1:9" x14ac:dyDescent="0.3">
      <c r="A262" t="s">
        <v>791</v>
      </c>
      <c r="B262" t="s">
        <v>792</v>
      </c>
      <c r="C262">
        <v>0.5</v>
      </c>
      <c r="D262" t="s">
        <v>11</v>
      </c>
      <c r="E262" t="s">
        <v>793</v>
      </c>
    </row>
    <row r="263" spans="1:9" x14ac:dyDescent="0.3">
      <c r="A263" t="s">
        <v>794</v>
      </c>
      <c r="B263" t="s">
        <v>795</v>
      </c>
      <c r="C263">
        <v>1</v>
      </c>
      <c r="D263" t="s">
        <v>23</v>
      </c>
      <c r="E263" t="s">
        <v>796</v>
      </c>
    </row>
    <row r="264" spans="1:9" x14ac:dyDescent="0.3">
      <c r="A264" t="s">
        <v>797</v>
      </c>
      <c r="B264" t="s">
        <v>333</v>
      </c>
      <c r="E264" t="s">
        <v>333</v>
      </c>
    </row>
    <row r="265" spans="1:9" x14ac:dyDescent="0.3">
      <c r="A265" t="s">
        <v>798</v>
      </c>
      <c r="B265" t="s">
        <v>711</v>
      </c>
      <c r="C265">
        <v>1</v>
      </c>
      <c r="D265" t="s">
        <v>23</v>
      </c>
      <c r="E265" t="s">
        <v>712</v>
      </c>
    </row>
    <row r="266" spans="1:9" x14ac:dyDescent="0.3">
      <c r="A266" t="s">
        <v>799</v>
      </c>
      <c r="B266" t="s">
        <v>800</v>
      </c>
      <c r="C266">
        <v>0.75</v>
      </c>
      <c r="D266" t="s">
        <v>37</v>
      </c>
      <c r="E266" t="s">
        <v>801</v>
      </c>
    </row>
    <row r="267" spans="1:9" x14ac:dyDescent="0.3">
      <c r="A267" t="s">
        <v>802</v>
      </c>
      <c r="B267" t="s">
        <v>333</v>
      </c>
      <c r="E267" t="s">
        <v>333</v>
      </c>
    </row>
    <row r="268" spans="1:9" x14ac:dyDescent="0.3">
      <c r="A268" t="s">
        <v>803</v>
      </c>
      <c r="B268" t="s">
        <v>804</v>
      </c>
      <c r="C268">
        <v>1</v>
      </c>
      <c r="D268" t="s">
        <v>37</v>
      </c>
      <c r="E268" t="s">
        <v>160</v>
      </c>
    </row>
    <row r="269" spans="1:9" x14ac:dyDescent="0.3">
      <c r="A269" t="s">
        <v>805</v>
      </c>
      <c r="B269" t="s">
        <v>806</v>
      </c>
      <c r="C269">
        <v>1</v>
      </c>
      <c r="D269" t="s">
        <v>23</v>
      </c>
      <c r="E269" t="s">
        <v>807</v>
      </c>
    </row>
    <row r="270" spans="1:9" x14ac:dyDescent="0.3">
      <c r="A270" t="s">
        <v>808</v>
      </c>
      <c r="B270" t="s">
        <v>809</v>
      </c>
      <c r="C270">
        <v>1</v>
      </c>
      <c r="D270" t="s">
        <v>60</v>
      </c>
      <c r="E270" t="s">
        <v>810</v>
      </c>
    </row>
    <row r="271" spans="1:9" x14ac:dyDescent="0.3">
      <c r="A271" t="s">
        <v>811</v>
      </c>
      <c r="B271" t="s">
        <v>812</v>
      </c>
      <c r="C271">
        <v>8</v>
      </c>
      <c r="E271" t="s">
        <v>813</v>
      </c>
      <c r="G271" t="s">
        <v>814</v>
      </c>
    </row>
    <row r="272" spans="1:9" x14ac:dyDescent="0.3">
      <c r="A272" t="s">
        <v>815</v>
      </c>
      <c r="B272" t="s">
        <v>816</v>
      </c>
      <c r="C272">
        <v>12.5</v>
      </c>
      <c r="D272" t="s">
        <v>29</v>
      </c>
      <c r="E272" t="s">
        <v>817</v>
      </c>
    </row>
    <row r="273" spans="1:9" x14ac:dyDescent="0.3">
      <c r="A273" t="s">
        <v>818</v>
      </c>
      <c r="B273" t="s">
        <v>819</v>
      </c>
      <c r="C273">
        <v>0.25</v>
      </c>
      <c r="D273" t="s">
        <v>284</v>
      </c>
      <c r="E273" t="s">
        <v>81</v>
      </c>
    </row>
    <row r="274" spans="1:9" x14ac:dyDescent="0.3">
      <c r="A274" t="s">
        <v>820</v>
      </c>
      <c r="B274" t="s">
        <v>821</v>
      </c>
      <c r="C274">
        <v>1</v>
      </c>
      <c r="D274" t="s">
        <v>460</v>
      </c>
      <c r="E274" t="s">
        <v>822</v>
      </c>
    </row>
    <row r="275" spans="1:9" x14ac:dyDescent="0.3">
      <c r="A275" t="s">
        <v>823</v>
      </c>
      <c r="B275" t="s">
        <v>824</v>
      </c>
      <c r="C275">
        <v>1</v>
      </c>
      <c r="E275" t="s">
        <v>825</v>
      </c>
      <c r="I275" t="s">
        <v>248</v>
      </c>
    </row>
    <row r="276" spans="1:9" x14ac:dyDescent="0.3">
      <c r="A276" t="s">
        <v>826</v>
      </c>
      <c r="B276" t="s">
        <v>827</v>
      </c>
      <c r="C276">
        <v>1</v>
      </c>
      <c r="E276" t="s">
        <v>828</v>
      </c>
    </row>
    <row r="277" spans="1:9" x14ac:dyDescent="0.3">
      <c r="A277" t="s">
        <v>829</v>
      </c>
      <c r="B277" t="s">
        <v>830</v>
      </c>
      <c r="C277">
        <v>2</v>
      </c>
      <c r="D277" t="s">
        <v>345</v>
      </c>
      <c r="E277" t="s">
        <v>831</v>
      </c>
      <c r="I277" t="s">
        <v>20</v>
      </c>
    </row>
    <row r="278" spans="1:9" x14ac:dyDescent="0.3">
      <c r="A278" t="s">
        <v>832</v>
      </c>
      <c r="B278" t="s">
        <v>755</v>
      </c>
      <c r="C278">
        <v>10</v>
      </c>
      <c r="D278" t="s">
        <v>29</v>
      </c>
      <c r="E278" t="s">
        <v>380</v>
      </c>
    </row>
    <row r="279" spans="1:9" x14ac:dyDescent="0.3">
      <c r="A279" t="s">
        <v>833</v>
      </c>
      <c r="B279" t="s">
        <v>834</v>
      </c>
      <c r="C279">
        <v>4</v>
      </c>
      <c r="D279" t="s">
        <v>835</v>
      </c>
      <c r="E279" t="s">
        <v>836</v>
      </c>
    </row>
    <row r="280" spans="1:9" x14ac:dyDescent="0.3">
      <c r="A280" t="s">
        <v>837</v>
      </c>
      <c r="B280" t="s">
        <v>838</v>
      </c>
      <c r="C280">
        <v>1</v>
      </c>
      <c r="D280" t="s">
        <v>37</v>
      </c>
      <c r="E280" t="s">
        <v>672</v>
      </c>
      <c r="I280" t="s">
        <v>839</v>
      </c>
    </row>
    <row r="281" spans="1:9" x14ac:dyDescent="0.3">
      <c r="A281" t="s">
        <v>840</v>
      </c>
      <c r="B281" t="s">
        <v>841</v>
      </c>
      <c r="C281">
        <v>1</v>
      </c>
      <c r="D281" t="s">
        <v>23</v>
      </c>
      <c r="E281" t="s">
        <v>793</v>
      </c>
    </row>
    <row r="282" spans="1:9" x14ac:dyDescent="0.3">
      <c r="A282" t="s">
        <v>842</v>
      </c>
      <c r="B282" t="s">
        <v>843</v>
      </c>
      <c r="C282">
        <v>15</v>
      </c>
      <c r="D282" t="s">
        <v>29</v>
      </c>
      <c r="E282" t="s">
        <v>844</v>
      </c>
    </row>
    <row r="283" spans="1:9" x14ac:dyDescent="0.3">
      <c r="A283" t="s">
        <v>845</v>
      </c>
      <c r="B283" t="s">
        <v>846</v>
      </c>
      <c r="C283">
        <v>10</v>
      </c>
      <c r="D283" t="s">
        <v>23</v>
      </c>
      <c r="E283" t="s">
        <v>847</v>
      </c>
    </row>
    <row r="284" spans="1:9" x14ac:dyDescent="0.3">
      <c r="A284" t="s">
        <v>848</v>
      </c>
      <c r="B284" t="s">
        <v>849</v>
      </c>
      <c r="C284">
        <v>0.25</v>
      </c>
      <c r="D284" t="s">
        <v>850</v>
      </c>
      <c r="E284" t="s">
        <v>365</v>
      </c>
    </row>
    <row r="285" spans="1:9" x14ac:dyDescent="0.3">
      <c r="A285" t="s">
        <v>851</v>
      </c>
      <c r="B285" t="s">
        <v>852</v>
      </c>
      <c r="C285">
        <v>4</v>
      </c>
      <c r="D285" t="s">
        <v>853</v>
      </c>
      <c r="E285" t="s">
        <v>854</v>
      </c>
    </row>
    <row r="286" spans="1:9" x14ac:dyDescent="0.3">
      <c r="A286" t="s">
        <v>855</v>
      </c>
      <c r="B286" t="s">
        <v>856</v>
      </c>
      <c r="C286">
        <v>15</v>
      </c>
      <c r="D286" t="s">
        <v>29</v>
      </c>
      <c r="E286" t="s">
        <v>857</v>
      </c>
    </row>
    <row r="287" spans="1:9" x14ac:dyDescent="0.3">
      <c r="A287" t="s">
        <v>858</v>
      </c>
      <c r="B287" t="s">
        <v>859</v>
      </c>
      <c r="C287">
        <v>1</v>
      </c>
      <c r="D287" t="s">
        <v>37</v>
      </c>
      <c r="E287" t="s">
        <v>860</v>
      </c>
      <c r="I287" t="s">
        <v>861</v>
      </c>
    </row>
    <row r="288" spans="1:9" x14ac:dyDescent="0.3">
      <c r="A288" t="s">
        <v>862</v>
      </c>
      <c r="B288" t="s">
        <v>863</v>
      </c>
      <c r="C288">
        <v>2</v>
      </c>
      <c r="D288" t="s">
        <v>37</v>
      </c>
      <c r="E288" t="s">
        <v>864</v>
      </c>
    </row>
    <row r="289" spans="1:9" x14ac:dyDescent="0.3">
      <c r="A289" t="s">
        <v>865</v>
      </c>
      <c r="B289" t="s">
        <v>866</v>
      </c>
      <c r="C289">
        <v>1</v>
      </c>
      <c r="D289" t="s">
        <v>23</v>
      </c>
      <c r="E289" t="s">
        <v>61</v>
      </c>
    </row>
    <row r="290" spans="1:9" x14ac:dyDescent="0.3">
      <c r="A290" t="s">
        <v>867</v>
      </c>
      <c r="B290" t="s">
        <v>868</v>
      </c>
      <c r="C290">
        <v>1</v>
      </c>
      <c r="D290" t="s">
        <v>23</v>
      </c>
      <c r="E290" t="s">
        <v>399</v>
      </c>
    </row>
    <row r="291" spans="1:9" x14ac:dyDescent="0.3">
      <c r="A291" t="s">
        <v>869</v>
      </c>
      <c r="B291" t="s">
        <v>870</v>
      </c>
      <c r="C291">
        <v>1</v>
      </c>
      <c r="D291" t="s">
        <v>151</v>
      </c>
      <c r="E291" t="s">
        <v>85</v>
      </c>
      <c r="I291" t="s">
        <v>248</v>
      </c>
    </row>
    <row r="292" spans="1:9" x14ac:dyDescent="0.3">
      <c r="A292" t="s">
        <v>871</v>
      </c>
      <c r="B292" t="s">
        <v>872</v>
      </c>
      <c r="C292">
        <v>1</v>
      </c>
      <c r="D292" t="s">
        <v>23</v>
      </c>
      <c r="E292" t="s">
        <v>873</v>
      </c>
      <c r="I292" t="s">
        <v>874</v>
      </c>
    </row>
    <row r="293" spans="1:9" x14ac:dyDescent="0.3">
      <c r="A293" t="s">
        <v>875</v>
      </c>
      <c r="B293" t="s">
        <v>876</v>
      </c>
      <c r="C293">
        <v>2</v>
      </c>
      <c r="D293" t="s">
        <v>345</v>
      </c>
      <c r="E293" t="s">
        <v>877</v>
      </c>
    </row>
    <row r="294" spans="1:9" x14ac:dyDescent="0.3">
      <c r="A294" t="s">
        <v>878</v>
      </c>
      <c r="B294" t="s">
        <v>879</v>
      </c>
      <c r="C294">
        <v>1</v>
      </c>
      <c r="D294" t="s">
        <v>23</v>
      </c>
      <c r="E294" t="s">
        <v>880</v>
      </c>
    </row>
    <row r="295" spans="1:9" x14ac:dyDescent="0.3">
      <c r="A295" t="s">
        <v>881</v>
      </c>
      <c r="B295" t="s">
        <v>882</v>
      </c>
      <c r="C295">
        <v>0.5</v>
      </c>
      <c r="D295" t="s">
        <v>37</v>
      </c>
      <c r="E295" t="s">
        <v>883</v>
      </c>
    </row>
    <row r="296" spans="1:9" x14ac:dyDescent="0.3">
      <c r="A296" t="s">
        <v>884</v>
      </c>
      <c r="B296" t="s">
        <v>885</v>
      </c>
      <c r="C296">
        <v>0.25</v>
      </c>
      <c r="D296" t="s">
        <v>37</v>
      </c>
      <c r="E296" t="s">
        <v>886</v>
      </c>
    </row>
    <row r="297" spans="1:9" x14ac:dyDescent="0.3">
      <c r="A297" t="s">
        <v>887</v>
      </c>
      <c r="B297" t="s">
        <v>152</v>
      </c>
      <c r="E297" t="s">
        <v>152</v>
      </c>
    </row>
    <row r="298" spans="1:9" x14ac:dyDescent="0.3">
      <c r="A298" t="s">
        <v>888</v>
      </c>
      <c r="B298" t="s">
        <v>889</v>
      </c>
      <c r="C298">
        <v>1</v>
      </c>
      <c r="D298" t="s">
        <v>23</v>
      </c>
      <c r="E298" t="s">
        <v>524</v>
      </c>
    </row>
    <row r="299" spans="1:9" x14ac:dyDescent="0.3">
      <c r="A299" t="s">
        <v>890</v>
      </c>
      <c r="B299" t="s">
        <v>891</v>
      </c>
      <c r="C299">
        <v>1</v>
      </c>
      <c r="D299" t="s">
        <v>11</v>
      </c>
      <c r="E299" t="s">
        <v>892</v>
      </c>
      <c r="I299" t="s">
        <v>893</v>
      </c>
    </row>
    <row r="300" spans="1:9" x14ac:dyDescent="0.3">
      <c r="A300" t="s">
        <v>894</v>
      </c>
      <c r="B300" t="s">
        <v>895</v>
      </c>
      <c r="C300">
        <v>1</v>
      </c>
      <c r="D300" t="s">
        <v>11</v>
      </c>
      <c r="E300" t="s">
        <v>233</v>
      </c>
      <c r="I300" t="s">
        <v>896</v>
      </c>
    </row>
    <row r="301" spans="1:9" x14ac:dyDescent="0.3">
      <c r="A301" t="s">
        <v>897</v>
      </c>
      <c r="B301" t="s">
        <v>348</v>
      </c>
      <c r="C301">
        <v>1</v>
      </c>
      <c r="D301" t="s">
        <v>23</v>
      </c>
      <c r="E301" t="s">
        <v>349</v>
      </c>
    </row>
    <row r="302" spans="1:9" x14ac:dyDescent="0.3">
      <c r="A302" t="s">
        <v>898</v>
      </c>
      <c r="B302" t="s">
        <v>163</v>
      </c>
      <c r="E302" t="s">
        <v>163</v>
      </c>
    </row>
    <row r="303" spans="1:9" x14ac:dyDescent="0.3">
      <c r="A303" t="s">
        <v>899</v>
      </c>
      <c r="B303" t="s">
        <v>900</v>
      </c>
      <c r="C303">
        <v>22</v>
      </c>
      <c r="D303" t="s">
        <v>29</v>
      </c>
      <c r="E303" t="s">
        <v>901</v>
      </c>
    </row>
    <row r="304" spans="1:9" x14ac:dyDescent="0.3">
      <c r="A304" t="s">
        <v>902</v>
      </c>
      <c r="B304" t="s">
        <v>903</v>
      </c>
      <c r="C304">
        <v>0.25</v>
      </c>
      <c r="D304" t="s">
        <v>904</v>
      </c>
      <c r="E304" t="s">
        <v>61</v>
      </c>
    </row>
    <row r="305" spans="1:9" x14ac:dyDescent="0.3">
      <c r="A305" t="s">
        <v>905</v>
      </c>
      <c r="B305" t="s">
        <v>906</v>
      </c>
      <c r="C305">
        <v>1</v>
      </c>
      <c r="E305" t="s">
        <v>907</v>
      </c>
      <c r="F305" t="s">
        <v>908</v>
      </c>
    </row>
    <row r="306" spans="1:9" x14ac:dyDescent="0.3">
      <c r="A306" t="s">
        <v>909</v>
      </c>
      <c r="B306" t="s">
        <v>910</v>
      </c>
      <c r="C306">
        <v>1.5</v>
      </c>
      <c r="D306" t="s">
        <v>227</v>
      </c>
      <c r="E306" t="s">
        <v>911</v>
      </c>
    </row>
    <row r="307" spans="1:9" x14ac:dyDescent="0.3">
      <c r="A307" t="s">
        <v>912</v>
      </c>
      <c r="B307" t="s">
        <v>913</v>
      </c>
      <c r="C307">
        <v>0.5</v>
      </c>
      <c r="D307" t="s">
        <v>37</v>
      </c>
      <c r="E307" t="s">
        <v>914</v>
      </c>
    </row>
    <row r="308" spans="1:9" x14ac:dyDescent="0.3">
      <c r="A308" t="s">
        <v>915</v>
      </c>
      <c r="B308" t="s">
        <v>916</v>
      </c>
      <c r="C308">
        <v>1</v>
      </c>
      <c r="E308" t="s">
        <v>233</v>
      </c>
      <c r="I308" t="s">
        <v>917</v>
      </c>
    </row>
    <row r="309" spans="1:9" x14ac:dyDescent="0.3">
      <c r="A309" t="s">
        <v>918</v>
      </c>
      <c r="B309" t="s">
        <v>919</v>
      </c>
      <c r="C309">
        <v>2</v>
      </c>
      <c r="D309" t="s">
        <v>189</v>
      </c>
      <c r="E309" t="s">
        <v>920</v>
      </c>
      <c r="I309" t="s">
        <v>20</v>
      </c>
    </row>
    <row r="310" spans="1:9" x14ac:dyDescent="0.3">
      <c r="A310" t="s">
        <v>921</v>
      </c>
      <c r="B310" t="s">
        <v>591</v>
      </c>
      <c r="E310" t="s">
        <v>591</v>
      </c>
    </row>
    <row r="311" spans="1:9" x14ac:dyDescent="0.3">
      <c r="A311" t="s">
        <v>922</v>
      </c>
      <c r="B311" t="s">
        <v>923</v>
      </c>
      <c r="C311">
        <v>1.5</v>
      </c>
      <c r="D311" t="s">
        <v>23</v>
      </c>
      <c r="E311" t="s">
        <v>233</v>
      </c>
    </row>
    <row r="312" spans="1:9" x14ac:dyDescent="0.3">
      <c r="A312" t="s">
        <v>924</v>
      </c>
      <c r="B312" t="s">
        <v>925</v>
      </c>
      <c r="C312">
        <v>7.5</v>
      </c>
      <c r="D312" t="s">
        <v>29</v>
      </c>
      <c r="E312" t="s">
        <v>926</v>
      </c>
    </row>
    <row r="313" spans="1:9" x14ac:dyDescent="0.3">
      <c r="A313" t="s">
        <v>927</v>
      </c>
      <c r="B313" t="s">
        <v>928</v>
      </c>
      <c r="C313">
        <v>1</v>
      </c>
      <c r="D313" t="s">
        <v>284</v>
      </c>
      <c r="E313" t="s">
        <v>413</v>
      </c>
      <c r="I313" t="s">
        <v>929</v>
      </c>
    </row>
    <row r="314" spans="1:9" x14ac:dyDescent="0.3">
      <c r="A314" t="s">
        <v>930</v>
      </c>
      <c r="B314" t="s">
        <v>931</v>
      </c>
      <c r="E314" t="s">
        <v>932</v>
      </c>
      <c r="I314" t="s">
        <v>933</v>
      </c>
    </row>
    <row r="315" spans="1:9" x14ac:dyDescent="0.3">
      <c r="A315" t="s">
        <v>934</v>
      </c>
      <c r="B315" t="s">
        <v>935</v>
      </c>
      <c r="C315">
        <v>1</v>
      </c>
      <c r="D315" t="s">
        <v>23</v>
      </c>
      <c r="E315" t="s">
        <v>936</v>
      </c>
    </row>
    <row r="316" spans="1:9" x14ac:dyDescent="0.3">
      <c r="A316" t="s">
        <v>937</v>
      </c>
      <c r="B316" t="s">
        <v>923</v>
      </c>
      <c r="C316">
        <v>1.5</v>
      </c>
      <c r="D316" t="s">
        <v>23</v>
      </c>
      <c r="E316" t="s">
        <v>233</v>
      </c>
    </row>
    <row r="317" spans="1:9" x14ac:dyDescent="0.3">
      <c r="A317" t="s">
        <v>938</v>
      </c>
      <c r="B317" t="s">
        <v>939</v>
      </c>
      <c r="C317">
        <v>0.25</v>
      </c>
      <c r="D317" t="s">
        <v>23</v>
      </c>
      <c r="E317" t="s">
        <v>940</v>
      </c>
    </row>
    <row r="318" spans="1:9" x14ac:dyDescent="0.3">
      <c r="A318" t="s">
        <v>941</v>
      </c>
      <c r="B318" t="s">
        <v>942</v>
      </c>
      <c r="C318">
        <v>8</v>
      </c>
      <c r="D318" t="s">
        <v>23</v>
      </c>
      <c r="E318" t="s">
        <v>943</v>
      </c>
    </row>
    <row r="319" spans="1:9" x14ac:dyDescent="0.3">
      <c r="A319" t="s">
        <v>944</v>
      </c>
      <c r="B319" t="s">
        <v>945</v>
      </c>
      <c r="C319">
        <v>10.5</v>
      </c>
      <c r="D319" t="s">
        <v>91</v>
      </c>
      <c r="E319" t="s">
        <v>57</v>
      </c>
    </row>
    <row r="320" spans="1:9" x14ac:dyDescent="0.3">
      <c r="A320" t="s">
        <v>239</v>
      </c>
      <c r="B320" t="s">
        <v>946</v>
      </c>
      <c r="C320">
        <v>0.5</v>
      </c>
      <c r="D320" t="s">
        <v>23</v>
      </c>
      <c r="E320" t="s">
        <v>947</v>
      </c>
    </row>
    <row r="321" spans="1:9" x14ac:dyDescent="0.3">
      <c r="A321" t="s">
        <v>948</v>
      </c>
      <c r="B321" t="s">
        <v>949</v>
      </c>
      <c r="C321">
        <v>6</v>
      </c>
      <c r="E321" t="s">
        <v>950</v>
      </c>
      <c r="I321" t="s">
        <v>951</v>
      </c>
    </row>
    <row r="322" spans="1:9" x14ac:dyDescent="0.3">
      <c r="A322" t="s">
        <v>952</v>
      </c>
      <c r="B322" t="s">
        <v>953</v>
      </c>
      <c r="C322">
        <v>2</v>
      </c>
      <c r="D322" t="s">
        <v>23</v>
      </c>
      <c r="E322" t="s">
        <v>738</v>
      </c>
    </row>
    <row r="323" spans="1:9" x14ac:dyDescent="0.3">
      <c r="A323" t="s">
        <v>954</v>
      </c>
      <c r="B323" t="s">
        <v>955</v>
      </c>
      <c r="D323" t="s">
        <v>236</v>
      </c>
      <c r="E323" t="s">
        <v>956</v>
      </c>
      <c r="F323" t="s">
        <v>957</v>
      </c>
      <c r="I323" t="s">
        <v>432</v>
      </c>
    </row>
    <row r="324" spans="1:9" x14ac:dyDescent="0.3">
      <c r="A324" t="s">
        <v>958</v>
      </c>
      <c r="B324" t="s">
        <v>959</v>
      </c>
      <c r="C324">
        <v>0.5</v>
      </c>
      <c r="D324" t="s">
        <v>23</v>
      </c>
      <c r="E324" t="s">
        <v>960</v>
      </c>
    </row>
    <row r="325" spans="1:9" x14ac:dyDescent="0.3">
      <c r="A325" t="s">
        <v>961</v>
      </c>
      <c r="B325" t="s">
        <v>962</v>
      </c>
      <c r="C325">
        <v>2</v>
      </c>
      <c r="D325" t="s">
        <v>91</v>
      </c>
      <c r="E325" t="s">
        <v>963</v>
      </c>
    </row>
    <row r="326" spans="1:9" x14ac:dyDescent="0.3">
      <c r="A326" t="s">
        <v>964</v>
      </c>
      <c r="B326" t="s">
        <v>965</v>
      </c>
      <c r="C326">
        <v>10</v>
      </c>
      <c r="D326" t="s">
        <v>29</v>
      </c>
      <c r="E326" t="s">
        <v>966</v>
      </c>
    </row>
    <row r="327" spans="1:9" x14ac:dyDescent="0.3">
      <c r="A327" t="s">
        <v>967</v>
      </c>
      <c r="B327" t="s">
        <v>968</v>
      </c>
      <c r="C327">
        <v>1</v>
      </c>
      <c r="D327" t="s">
        <v>23</v>
      </c>
      <c r="E327" t="s">
        <v>199</v>
      </c>
    </row>
    <row r="328" spans="1:9" x14ac:dyDescent="0.3">
      <c r="A328" t="s">
        <v>969</v>
      </c>
      <c r="B328" t="s">
        <v>970</v>
      </c>
      <c r="C328">
        <v>0.5</v>
      </c>
      <c r="D328" t="s">
        <v>37</v>
      </c>
      <c r="E328" t="s">
        <v>230</v>
      </c>
    </row>
    <row r="329" spans="1:9" x14ac:dyDescent="0.3">
      <c r="A329" t="s">
        <v>971</v>
      </c>
      <c r="B329" t="s">
        <v>972</v>
      </c>
      <c r="C329">
        <v>1.5</v>
      </c>
      <c r="D329" t="s">
        <v>91</v>
      </c>
      <c r="E329" t="s">
        <v>973</v>
      </c>
    </row>
    <row r="330" spans="1:9" x14ac:dyDescent="0.3">
      <c r="A330" t="s">
        <v>974</v>
      </c>
      <c r="B330" t="s">
        <v>975</v>
      </c>
      <c r="C330">
        <v>3.5</v>
      </c>
      <c r="D330" t="s">
        <v>23</v>
      </c>
      <c r="E330" t="s">
        <v>976</v>
      </c>
    </row>
    <row r="331" spans="1:9" x14ac:dyDescent="0.3">
      <c r="A331" t="s">
        <v>977</v>
      </c>
      <c r="B331" t="s">
        <v>978</v>
      </c>
      <c r="C331">
        <v>0.75</v>
      </c>
      <c r="D331" t="s">
        <v>37</v>
      </c>
      <c r="E331" t="s">
        <v>979</v>
      </c>
    </row>
    <row r="332" spans="1:9" x14ac:dyDescent="0.3">
      <c r="A332" t="s">
        <v>980</v>
      </c>
      <c r="B332" t="s">
        <v>981</v>
      </c>
      <c r="C332">
        <v>1</v>
      </c>
      <c r="D332" t="s">
        <v>151</v>
      </c>
      <c r="E332" t="s">
        <v>163</v>
      </c>
    </row>
    <row r="333" spans="1:9" x14ac:dyDescent="0.3">
      <c r="A333" t="s">
        <v>982</v>
      </c>
      <c r="B333" t="s">
        <v>983</v>
      </c>
      <c r="C333">
        <v>1</v>
      </c>
      <c r="E333" t="s">
        <v>984</v>
      </c>
    </row>
    <row r="334" spans="1:9" x14ac:dyDescent="0.3">
      <c r="A334" t="s">
        <v>985</v>
      </c>
      <c r="B334" t="s">
        <v>986</v>
      </c>
      <c r="C334">
        <v>0.5</v>
      </c>
      <c r="D334" t="s">
        <v>23</v>
      </c>
      <c r="E334" t="s">
        <v>712</v>
      </c>
    </row>
    <row r="335" spans="1:9" x14ac:dyDescent="0.3">
      <c r="A335" t="s">
        <v>987</v>
      </c>
      <c r="B335" t="s">
        <v>988</v>
      </c>
      <c r="C335">
        <v>0.5</v>
      </c>
      <c r="D335" t="s">
        <v>23</v>
      </c>
      <c r="E335" t="s">
        <v>81</v>
      </c>
    </row>
    <row r="336" spans="1:9" x14ac:dyDescent="0.3">
      <c r="A336" t="s">
        <v>989</v>
      </c>
      <c r="B336" t="s">
        <v>738</v>
      </c>
      <c r="E336" t="s">
        <v>738</v>
      </c>
    </row>
    <row r="337" spans="1:9" x14ac:dyDescent="0.3">
      <c r="A337" t="s">
        <v>990</v>
      </c>
      <c r="B337" t="s">
        <v>991</v>
      </c>
      <c r="E337" t="s">
        <v>992</v>
      </c>
      <c r="I337" t="s">
        <v>993</v>
      </c>
    </row>
    <row r="338" spans="1:9" x14ac:dyDescent="0.3">
      <c r="A338" t="s">
        <v>994</v>
      </c>
      <c r="B338" t="s">
        <v>968</v>
      </c>
      <c r="C338">
        <v>1</v>
      </c>
      <c r="D338" t="s">
        <v>23</v>
      </c>
      <c r="E338" t="s">
        <v>199</v>
      </c>
    </row>
    <row r="339" spans="1:9" x14ac:dyDescent="0.3">
      <c r="A339" t="s">
        <v>372</v>
      </c>
      <c r="B339" t="s">
        <v>983</v>
      </c>
      <c r="C339">
        <v>1</v>
      </c>
      <c r="E339" t="s">
        <v>984</v>
      </c>
    </row>
    <row r="340" spans="1:9" x14ac:dyDescent="0.3">
      <c r="A340" t="s">
        <v>995</v>
      </c>
      <c r="B340" t="s">
        <v>996</v>
      </c>
      <c r="E340" t="s">
        <v>997</v>
      </c>
      <c r="F340" t="s">
        <v>68</v>
      </c>
      <c r="I340" t="s">
        <v>998</v>
      </c>
    </row>
    <row r="341" spans="1:9" x14ac:dyDescent="0.3">
      <c r="A341" t="s">
        <v>999</v>
      </c>
      <c r="B341" t="s">
        <v>1000</v>
      </c>
      <c r="C341">
        <v>10</v>
      </c>
      <c r="D341" t="s">
        <v>29</v>
      </c>
      <c r="E341" t="s">
        <v>793</v>
      </c>
    </row>
    <row r="342" spans="1:9" x14ac:dyDescent="0.3">
      <c r="A342" t="s">
        <v>1001</v>
      </c>
      <c r="B342" t="s">
        <v>1002</v>
      </c>
      <c r="C342">
        <v>2</v>
      </c>
      <c r="D342" t="s">
        <v>23</v>
      </c>
      <c r="E342" t="s">
        <v>1003</v>
      </c>
    </row>
    <row r="343" spans="1:9" x14ac:dyDescent="0.3">
      <c r="A343" t="s">
        <v>1004</v>
      </c>
      <c r="B343" t="s">
        <v>1005</v>
      </c>
      <c r="C343">
        <v>2</v>
      </c>
      <c r="D343" t="s">
        <v>189</v>
      </c>
      <c r="E343" t="s">
        <v>1006</v>
      </c>
    </row>
    <row r="344" spans="1:9" x14ac:dyDescent="0.3">
      <c r="A344" t="s">
        <v>1007</v>
      </c>
      <c r="B344" t="s">
        <v>1008</v>
      </c>
      <c r="C344">
        <v>0.5</v>
      </c>
      <c r="D344" t="s">
        <v>23</v>
      </c>
      <c r="E344" t="s">
        <v>1009</v>
      </c>
    </row>
    <row r="345" spans="1:9" x14ac:dyDescent="0.3">
      <c r="A345" t="s">
        <v>1010</v>
      </c>
      <c r="B345" t="s">
        <v>1011</v>
      </c>
      <c r="E345" t="s">
        <v>1011</v>
      </c>
    </row>
    <row r="346" spans="1:9" x14ac:dyDescent="0.3">
      <c r="A346" t="s">
        <v>1012</v>
      </c>
      <c r="B346" t="s">
        <v>1013</v>
      </c>
      <c r="C346">
        <v>1</v>
      </c>
      <c r="D346" t="s">
        <v>284</v>
      </c>
      <c r="E346" t="s">
        <v>413</v>
      </c>
      <c r="F346" t="s">
        <v>1014</v>
      </c>
    </row>
    <row r="347" spans="1:9" x14ac:dyDescent="0.3">
      <c r="A347" t="s">
        <v>1015</v>
      </c>
      <c r="B347" t="s">
        <v>1016</v>
      </c>
      <c r="C347">
        <v>0.75</v>
      </c>
      <c r="D347" t="s">
        <v>37</v>
      </c>
      <c r="E347" t="s">
        <v>81</v>
      </c>
      <c r="I347" t="s">
        <v>1017</v>
      </c>
    </row>
    <row r="348" spans="1:9" x14ac:dyDescent="0.3">
      <c r="A348" t="s">
        <v>1018</v>
      </c>
      <c r="B348" t="s">
        <v>57</v>
      </c>
      <c r="E348" t="s">
        <v>57</v>
      </c>
    </row>
    <row r="349" spans="1:9" x14ac:dyDescent="0.3">
      <c r="A349" t="s">
        <v>1019</v>
      </c>
      <c r="B349" t="s">
        <v>1020</v>
      </c>
      <c r="C349">
        <v>2</v>
      </c>
      <c r="D349" t="s">
        <v>206</v>
      </c>
      <c r="E349" t="s">
        <v>1021</v>
      </c>
    </row>
    <row r="350" spans="1:9" x14ac:dyDescent="0.3">
      <c r="A350" t="s">
        <v>1022</v>
      </c>
      <c r="B350" t="s">
        <v>333</v>
      </c>
      <c r="E350" t="s">
        <v>333</v>
      </c>
    </row>
    <row r="351" spans="1:9" x14ac:dyDescent="0.3">
      <c r="A351" t="s">
        <v>1023</v>
      </c>
      <c r="B351" t="s">
        <v>1024</v>
      </c>
      <c r="C351">
        <v>1</v>
      </c>
      <c r="D351" t="s">
        <v>11</v>
      </c>
      <c r="E351" t="s">
        <v>793</v>
      </c>
    </row>
    <row r="352" spans="1:9" x14ac:dyDescent="0.3">
      <c r="A352" t="s">
        <v>1025</v>
      </c>
      <c r="B352" t="s">
        <v>1026</v>
      </c>
      <c r="C352">
        <v>1</v>
      </c>
      <c r="D352" t="s">
        <v>23</v>
      </c>
      <c r="E352" t="s">
        <v>1027</v>
      </c>
    </row>
    <row r="353" spans="1:9" x14ac:dyDescent="0.3">
      <c r="A353" t="s">
        <v>1028</v>
      </c>
      <c r="B353" t="s">
        <v>1029</v>
      </c>
      <c r="C353">
        <v>4</v>
      </c>
      <c r="D353" t="s">
        <v>23</v>
      </c>
      <c r="E353" t="s">
        <v>1030</v>
      </c>
      <c r="I353" t="s">
        <v>289</v>
      </c>
    </row>
    <row r="354" spans="1:9" x14ac:dyDescent="0.3">
      <c r="A354" t="s">
        <v>16</v>
      </c>
      <c r="B354" t="s">
        <v>1031</v>
      </c>
      <c r="C354">
        <v>1</v>
      </c>
      <c r="D354" t="s">
        <v>11</v>
      </c>
      <c r="E354" t="s">
        <v>1032</v>
      </c>
    </row>
    <row r="355" spans="1:9" x14ac:dyDescent="0.3">
      <c r="A355" t="s">
        <v>1033</v>
      </c>
      <c r="B355" t="s">
        <v>1034</v>
      </c>
      <c r="C355">
        <v>25</v>
      </c>
      <c r="D355" t="s">
        <v>29</v>
      </c>
      <c r="E355" t="s">
        <v>1035</v>
      </c>
    </row>
    <row r="356" spans="1:9" x14ac:dyDescent="0.3">
      <c r="A356" t="s">
        <v>1036</v>
      </c>
      <c r="B356" t="s">
        <v>1037</v>
      </c>
      <c r="C356">
        <v>1</v>
      </c>
      <c r="D356" t="s">
        <v>460</v>
      </c>
      <c r="E356" t="s">
        <v>30</v>
      </c>
    </row>
    <row r="357" spans="1:9" x14ac:dyDescent="0.3">
      <c r="A357" t="s">
        <v>1038</v>
      </c>
      <c r="B357" t="s">
        <v>1039</v>
      </c>
      <c r="C357">
        <v>50</v>
      </c>
      <c r="D357" t="s">
        <v>29</v>
      </c>
      <c r="E357" t="s">
        <v>1040</v>
      </c>
    </row>
    <row r="358" spans="1:9" x14ac:dyDescent="0.3">
      <c r="A358" t="s">
        <v>1041</v>
      </c>
      <c r="B358" t="s">
        <v>1042</v>
      </c>
      <c r="C358">
        <v>1</v>
      </c>
      <c r="D358" t="s">
        <v>18</v>
      </c>
      <c r="E358" t="s">
        <v>1043</v>
      </c>
    </row>
    <row r="359" spans="1:9" x14ac:dyDescent="0.3">
      <c r="A359" t="s">
        <v>1044</v>
      </c>
      <c r="B359" t="s">
        <v>738</v>
      </c>
      <c r="E359" t="s">
        <v>738</v>
      </c>
    </row>
    <row r="360" spans="1:9" x14ac:dyDescent="0.3">
      <c r="A360" t="s">
        <v>1045</v>
      </c>
      <c r="B360" t="s">
        <v>1046</v>
      </c>
      <c r="C360">
        <v>1.5</v>
      </c>
      <c r="D360" t="s">
        <v>23</v>
      </c>
      <c r="E360" t="s">
        <v>1047</v>
      </c>
    </row>
    <row r="361" spans="1:9" x14ac:dyDescent="0.3">
      <c r="A361" t="s">
        <v>1048</v>
      </c>
      <c r="B361" t="s">
        <v>1049</v>
      </c>
      <c r="C361">
        <v>1</v>
      </c>
      <c r="D361" t="s">
        <v>23</v>
      </c>
      <c r="E361" t="s">
        <v>1050</v>
      </c>
    </row>
    <row r="362" spans="1:9" x14ac:dyDescent="0.3">
      <c r="A362" t="s">
        <v>1051</v>
      </c>
      <c r="B362" t="s">
        <v>1052</v>
      </c>
      <c r="C362">
        <v>100</v>
      </c>
      <c r="D362" t="s">
        <v>29</v>
      </c>
      <c r="E362" t="s">
        <v>1053</v>
      </c>
    </row>
    <row r="363" spans="1:9" x14ac:dyDescent="0.3">
      <c r="A363" t="s">
        <v>1054</v>
      </c>
      <c r="B363" t="s">
        <v>1055</v>
      </c>
      <c r="C363">
        <v>1</v>
      </c>
      <c r="D363" t="s">
        <v>585</v>
      </c>
      <c r="E363" t="s">
        <v>1056</v>
      </c>
      <c r="I363" t="s">
        <v>248</v>
      </c>
    </row>
    <row r="364" spans="1:9" x14ac:dyDescent="0.3">
      <c r="A364" t="s">
        <v>1057</v>
      </c>
      <c r="B364" t="s">
        <v>1058</v>
      </c>
      <c r="C364">
        <v>1</v>
      </c>
      <c r="D364" t="s">
        <v>426</v>
      </c>
      <c r="E364" t="s">
        <v>1059</v>
      </c>
    </row>
    <row r="365" spans="1:9" x14ac:dyDescent="0.3">
      <c r="A365" t="s">
        <v>1060</v>
      </c>
      <c r="B365" t="s">
        <v>1061</v>
      </c>
      <c r="C365">
        <v>0.33</v>
      </c>
      <c r="D365" t="s">
        <v>11</v>
      </c>
      <c r="E365" t="s">
        <v>423</v>
      </c>
    </row>
    <row r="366" spans="1:9" x14ac:dyDescent="0.3">
      <c r="A366" t="s">
        <v>964</v>
      </c>
      <c r="B366" t="s">
        <v>1062</v>
      </c>
      <c r="C366">
        <v>50</v>
      </c>
      <c r="D366" t="s">
        <v>29</v>
      </c>
      <c r="E366" t="s">
        <v>1063</v>
      </c>
    </row>
    <row r="367" spans="1:9" x14ac:dyDescent="0.3">
      <c r="A367" t="s">
        <v>1064</v>
      </c>
      <c r="B367" t="s">
        <v>1065</v>
      </c>
      <c r="C367">
        <v>6</v>
      </c>
      <c r="E367" t="s">
        <v>950</v>
      </c>
    </row>
    <row r="368" spans="1:9" x14ac:dyDescent="0.3">
      <c r="A368" t="s">
        <v>1066</v>
      </c>
      <c r="B368" t="s">
        <v>1067</v>
      </c>
      <c r="C368">
        <v>130</v>
      </c>
      <c r="D368" t="s">
        <v>29</v>
      </c>
      <c r="E368" t="s">
        <v>765</v>
      </c>
    </row>
    <row r="369" spans="1:9" x14ac:dyDescent="0.3">
      <c r="A369" t="s">
        <v>1068</v>
      </c>
      <c r="B369" t="s">
        <v>1069</v>
      </c>
      <c r="C369">
        <v>0.5</v>
      </c>
      <c r="D369" t="s">
        <v>11</v>
      </c>
      <c r="E369" t="s">
        <v>1070</v>
      </c>
      <c r="I369" t="s">
        <v>20</v>
      </c>
    </row>
    <row r="370" spans="1:9" x14ac:dyDescent="0.3">
      <c r="A370" t="s">
        <v>1071</v>
      </c>
      <c r="B370" t="s">
        <v>1072</v>
      </c>
      <c r="C370">
        <v>1</v>
      </c>
      <c r="D370" t="s">
        <v>111</v>
      </c>
      <c r="E370" t="s">
        <v>183</v>
      </c>
    </row>
    <row r="371" spans="1:9" x14ac:dyDescent="0.3">
      <c r="A371" t="s">
        <v>1073</v>
      </c>
      <c r="B371" t="s">
        <v>1074</v>
      </c>
      <c r="C371">
        <v>1</v>
      </c>
      <c r="D371" t="s">
        <v>11</v>
      </c>
      <c r="E371" t="s">
        <v>1056</v>
      </c>
    </row>
    <row r="372" spans="1:9" x14ac:dyDescent="0.3">
      <c r="A372" t="s">
        <v>1075</v>
      </c>
      <c r="B372" t="s">
        <v>1076</v>
      </c>
      <c r="C372">
        <v>2</v>
      </c>
      <c r="D372" t="s">
        <v>146</v>
      </c>
      <c r="E372" t="s">
        <v>1077</v>
      </c>
      <c r="H372" t="s">
        <v>1078</v>
      </c>
      <c r="I372" t="s">
        <v>1079</v>
      </c>
    </row>
    <row r="373" spans="1:9" x14ac:dyDescent="0.3">
      <c r="A373" t="s">
        <v>1012</v>
      </c>
      <c r="B373" t="s">
        <v>1080</v>
      </c>
      <c r="C373">
        <v>1</v>
      </c>
      <c r="D373" t="s">
        <v>227</v>
      </c>
      <c r="E373" t="s">
        <v>413</v>
      </c>
      <c r="F373" t="s">
        <v>1081</v>
      </c>
    </row>
    <row r="374" spans="1:9" x14ac:dyDescent="0.3">
      <c r="A374" t="s">
        <v>1082</v>
      </c>
      <c r="B374" t="s">
        <v>1083</v>
      </c>
      <c r="C374">
        <v>0.25</v>
      </c>
      <c r="D374" t="s">
        <v>11</v>
      </c>
      <c r="E374" t="s">
        <v>1084</v>
      </c>
    </row>
    <row r="375" spans="1:9" x14ac:dyDescent="0.3">
      <c r="A375" t="s">
        <v>1085</v>
      </c>
      <c r="B375" t="s">
        <v>1086</v>
      </c>
      <c r="C375">
        <v>0.5</v>
      </c>
      <c r="D375" t="s">
        <v>23</v>
      </c>
      <c r="E375" t="s">
        <v>1087</v>
      </c>
    </row>
    <row r="376" spans="1:9" x14ac:dyDescent="0.3">
      <c r="A376" t="s">
        <v>1088</v>
      </c>
      <c r="B376" t="s">
        <v>1089</v>
      </c>
      <c r="C376">
        <v>0.75</v>
      </c>
      <c r="D376" t="s">
        <v>37</v>
      </c>
      <c r="E376" t="s">
        <v>1090</v>
      </c>
    </row>
    <row r="377" spans="1:9" x14ac:dyDescent="0.3">
      <c r="A377" t="s">
        <v>1091</v>
      </c>
      <c r="B377" t="s">
        <v>1092</v>
      </c>
      <c r="C377">
        <v>1</v>
      </c>
      <c r="D377" t="s">
        <v>23</v>
      </c>
      <c r="E377" t="s">
        <v>1093</v>
      </c>
    </row>
    <row r="378" spans="1:9" x14ac:dyDescent="0.3">
      <c r="A378" t="s">
        <v>1094</v>
      </c>
      <c r="B378" t="s">
        <v>1095</v>
      </c>
      <c r="C378">
        <v>3</v>
      </c>
      <c r="E378" t="s">
        <v>723</v>
      </c>
    </row>
    <row r="379" spans="1:9" x14ac:dyDescent="0.3">
      <c r="A379" t="s">
        <v>1096</v>
      </c>
      <c r="B379" t="s">
        <v>1097</v>
      </c>
      <c r="E379" t="s">
        <v>1097</v>
      </c>
    </row>
    <row r="380" spans="1:9" x14ac:dyDescent="0.3">
      <c r="A380" t="s">
        <v>1098</v>
      </c>
      <c r="B380" t="s">
        <v>1099</v>
      </c>
      <c r="C380">
        <v>1</v>
      </c>
      <c r="D380" t="s">
        <v>37</v>
      </c>
      <c r="E380" t="s">
        <v>497</v>
      </c>
    </row>
    <row r="381" spans="1:9" x14ac:dyDescent="0.3">
      <c r="A381" t="s">
        <v>1100</v>
      </c>
      <c r="B381" t="s">
        <v>1101</v>
      </c>
      <c r="C381">
        <v>1</v>
      </c>
      <c r="D381" t="s">
        <v>23</v>
      </c>
      <c r="E381" t="s">
        <v>328</v>
      </c>
    </row>
    <row r="382" spans="1:9" x14ac:dyDescent="0.3">
      <c r="A382" t="s">
        <v>1102</v>
      </c>
      <c r="B382" t="s">
        <v>1103</v>
      </c>
      <c r="E382" t="s">
        <v>1104</v>
      </c>
      <c r="I382" t="s">
        <v>1105</v>
      </c>
    </row>
    <row r="383" spans="1:9" x14ac:dyDescent="0.3">
      <c r="A383" t="s">
        <v>1106</v>
      </c>
      <c r="B383" t="s">
        <v>1107</v>
      </c>
      <c r="C383">
        <v>1</v>
      </c>
      <c r="D383" t="s">
        <v>23</v>
      </c>
      <c r="E383" t="s">
        <v>374</v>
      </c>
    </row>
    <row r="384" spans="1:9" x14ac:dyDescent="0.3">
      <c r="A384" t="s">
        <v>1108</v>
      </c>
      <c r="B384" t="s">
        <v>1109</v>
      </c>
      <c r="C384">
        <v>0.5</v>
      </c>
      <c r="D384" t="s">
        <v>23</v>
      </c>
      <c r="E384" t="s">
        <v>1110</v>
      </c>
    </row>
    <row r="385" spans="1:9" x14ac:dyDescent="0.3">
      <c r="A385" t="s">
        <v>1111</v>
      </c>
      <c r="B385" t="s">
        <v>1112</v>
      </c>
      <c r="C385">
        <v>4</v>
      </c>
      <c r="D385" t="s">
        <v>1113</v>
      </c>
      <c r="E385" t="s">
        <v>635</v>
      </c>
    </row>
    <row r="386" spans="1:9" x14ac:dyDescent="0.3">
      <c r="A386" t="s">
        <v>1114</v>
      </c>
      <c r="B386" t="s">
        <v>1115</v>
      </c>
      <c r="C386">
        <v>1</v>
      </c>
      <c r="D386" t="s">
        <v>23</v>
      </c>
      <c r="E386" t="s">
        <v>1116</v>
      </c>
      <c r="H386" t="s">
        <v>1078</v>
      </c>
    </row>
    <row r="387" spans="1:9" x14ac:dyDescent="0.3">
      <c r="A387" t="s">
        <v>1117</v>
      </c>
      <c r="B387" t="s">
        <v>1118</v>
      </c>
      <c r="C387">
        <v>1</v>
      </c>
      <c r="D387" t="s">
        <v>23</v>
      </c>
      <c r="E387" t="s">
        <v>281</v>
      </c>
    </row>
    <row r="388" spans="1:9" x14ac:dyDescent="0.3">
      <c r="A388" t="s">
        <v>1119</v>
      </c>
      <c r="B388" t="s">
        <v>1120</v>
      </c>
      <c r="C388">
        <v>1</v>
      </c>
      <c r="E388" t="s">
        <v>1121</v>
      </c>
    </row>
    <row r="389" spans="1:9" x14ac:dyDescent="0.3">
      <c r="A389" t="s">
        <v>1122</v>
      </c>
      <c r="B389" t="s">
        <v>1123</v>
      </c>
      <c r="D389" t="s">
        <v>585</v>
      </c>
      <c r="E389" t="s">
        <v>1056</v>
      </c>
      <c r="I389" t="s">
        <v>1124</v>
      </c>
    </row>
    <row r="390" spans="1:9" x14ac:dyDescent="0.3">
      <c r="A390" t="s">
        <v>542</v>
      </c>
      <c r="B390" t="s">
        <v>1125</v>
      </c>
      <c r="C390">
        <v>15</v>
      </c>
      <c r="D390" t="s">
        <v>29</v>
      </c>
      <c r="E390" t="s">
        <v>1126</v>
      </c>
    </row>
    <row r="391" spans="1:9" x14ac:dyDescent="0.3">
      <c r="A391" t="s">
        <v>1127</v>
      </c>
      <c r="B391" t="s">
        <v>1128</v>
      </c>
      <c r="C391">
        <v>1</v>
      </c>
      <c r="D391" t="s">
        <v>426</v>
      </c>
      <c r="E391" t="s">
        <v>1129</v>
      </c>
    </row>
    <row r="392" spans="1:9" x14ac:dyDescent="0.3">
      <c r="A392" t="s">
        <v>1130</v>
      </c>
      <c r="B392" t="s">
        <v>1131</v>
      </c>
      <c r="C392">
        <v>1</v>
      </c>
      <c r="D392" t="s">
        <v>1132</v>
      </c>
      <c r="E392" t="s">
        <v>1133</v>
      </c>
    </row>
    <row r="393" spans="1:9" x14ac:dyDescent="0.3">
      <c r="A393" t="s">
        <v>1134</v>
      </c>
      <c r="B393" t="s">
        <v>1135</v>
      </c>
      <c r="C393">
        <v>37.5</v>
      </c>
      <c r="D393" t="s">
        <v>29</v>
      </c>
      <c r="E393" t="s">
        <v>1136</v>
      </c>
    </row>
    <row r="394" spans="1:9" x14ac:dyDescent="0.3">
      <c r="A394" t="s">
        <v>1137</v>
      </c>
      <c r="B394" t="s">
        <v>1138</v>
      </c>
      <c r="C394">
        <v>2</v>
      </c>
      <c r="D394" t="s">
        <v>345</v>
      </c>
      <c r="E394" t="s">
        <v>1139</v>
      </c>
    </row>
    <row r="395" spans="1:9" x14ac:dyDescent="0.3">
      <c r="A395" t="s">
        <v>1140</v>
      </c>
      <c r="B395" t="s">
        <v>1141</v>
      </c>
      <c r="C395">
        <v>50</v>
      </c>
      <c r="D395" t="s">
        <v>29</v>
      </c>
      <c r="E395" t="s">
        <v>1142</v>
      </c>
    </row>
    <row r="396" spans="1:9" x14ac:dyDescent="0.3">
      <c r="A396" t="s">
        <v>1143</v>
      </c>
      <c r="B396" t="s">
        <v>1144</v>
      </c>
      <c r="E396" t="s">
        <v>1145</v>
      </c>
      <c r="I396" t="s">
        <v>1146</v>
      </c>
    </row>
    <row r="397" spans="1:9" x14ac:dyDescent="0.3">
      <c r="A397" t="s">
        <v>1147</v>
      </c>
      <c r="B397" t="s">
        <v>572</v>
      </c>
      <c r="E397" t="s">
        <v>572</v>
      </c>
    </row>
    <row r="398" spans="1:9" x14ac:dyDescent="0.3">
      <c r="A398" t="s">
        <v>881</v>
      </c>
      <c r="B398" t="s">
        <v>1148</v>
      </c>
      <c r="C398">
        <v>50</v>
      </c>
      <c r="D398" t="s">
        <v>29</v>
      </c>
      <c r="E398" t="s">
        <v>233</v>
      </c>
    </row>
    <row r="399" spans="1:9" x14ac:dyDescent="0.3">
      <c r="A399" t="s">
        <v>1149</v>
      </c>
      <c r="B399" t="s">
        <v>1150</v>
      </c>
      <c r="C399">
        <v>1</v>
      </c>
      <c r="D399" t="s">
        <v>23</v>
      </c>
      <c r="E399" t="s">
        <v>115</v>
      </c>
    </row>
    <row r="400" spans="1:9" x14ac:dyDescent="0.3">
      <c r="A400" t="s">
        <v>1151</v>
      </c>
      <c r="B400" t="s">
        <v>1152</v>
      </c>
      <c r="E400" t="s">
        <v>1153</v>
      </c>
      <c r="I400" t="s">
        <v>1154</v>
      </c>
    </row>
    <row r="401" spans="1:9" x14ac:dyDescent="0.3">
      <c r="A401" t="s">
        <v>1155</v>
      </c>
      <c r="B401" t="s">
        <v>1156</v>
      </c>
      <c r="C401">
        <v>4</v>
      </c>
      <c r="D401" t="s">
        <v>189</v>
      </c>
      <c r="E401" t="s">
        <v>190</v>
      </c>
    </row>
    <row r="402" spans="1:9" x14ac:dyDescent="0.3">
      <c r="A402" t="s">
        <v>1157</v>
      </c>
      <c r="B402" t="s">
        <v>1158</v>
      </c>
      <c r="C402">
        <v>3</v>
      </c>
      <c r="D402" t="s">
        <v>1159</v>
      </c>
      <c r="E402" t="s">
        <v>81</v>
      </c>
    </row>
    <row r="403" spans="1:9" x14ac:dyDescent="0.3">
      <c r="A403" t="s">
        <v>1160</v>
      </c>
      <c r="B403" t="s">
        <v>1161</v>
      </c>
      <c r="C403">
        <v>1</v>
      </c>
      <c r="D403" t="s">
        <v>361</v>
      </c>
      <c r="E403" t="s">
        <v>1162</v>
      </c>
      <c r="I403" t="s">
        <v>1163</v>
      </c>
    </row>
    <row r="404" spans="1:9" x14ac:dyDescent="0.3">
      <c r="A404" t="s">
        <v>1164</v>
      </c>
      <c r="B404" t="s">
        <v>1165</v>
      </c>
      <c r="C404">
        <v>10</v>
      </c>
      <c r="D404" t="s">
        <v>29</v>
      </c>
      <c r="E404" t="s">
        <v>30</v>
      </c>
      <c r="G404" t="s">
        <v>814</v>
      </c>
    </row>
    <row r="405" spans="1:9" x14ac:dyDescent="0.3">
      <c r="A405" t="s">
        <v>1166</v>
      </c>
      <c r="B405" t="s">
        <v>1167</v>
      </c>
      <c r="C405">
        <v>3</v>
      </c>
      <c r="D405" t="s">
        <v>1168</v>
      </c>
      <c r="E405" t="s">
        <v>1169</v>
      </c>
    </row>
    <row r="406" spans="1:9" x14ac:dyDescent="0.3">
      <c r="A406" t="s">
        <v>1170</v>
      </c>
      <c r="B406" t="s">
        <v>1171</v>
      </c>
      <c r="C406">
        <v>1</v>
      </c>
      <c r="D406" t="s">
        <v>1172</v>
      </c>
      <c r="E406" t="s">
        <v>1173</v>
      </c>
      <c r="I406" t="s">
        <v>248</v>
      </c>
    </row>
    <row r="407" spans="1:9" x14ac:dyDescent="0.3">
      <c r="A407" t="s">
        <v>1174</v>
      </c>
      <c r="B407" t="s">
        <v>1175</v>
      </c>
      <c r="C407" t="s">
        <v>1176</v>
      </c>
      <c r="D407" t="s">
        <v>23</v>
      </c>
      <c r="E407" t="s">
        <v>716</v>
      </c>
      <c r="I407" t="s">
        <v>1177</v>
      </c>
    </row>
    <row r="408" spans="1:9" x14ac:dyDescent="0.3">
      <c r="A408" t="s">
        <v>1178</v>
      </c>
      <c r="B408" t="s">
        <v>1179</v>
      </c>
      <c r="C408">
        <v>1</v>
      </c>
      <c r="D408" t="s">
        <v>23</v>
      </c>
      <c r="E408" t="s">
        <v>233</v>
      </c>
    </row>
    <row r="409" spans="1:9" x14ac:dyDescent="0.3">
      <c r="A409" t="s">
        <v>1180</v>
      </c>
      <c r="B409" t="s">
        <v>1181</v>
      </c>
      <c r="C409">
        <v>1</v>
      </c>
      <c r="D409" t="s">
        <v>23</v>
      </c>
      <c r="E409" t="s">
        <v>1182</v>
      </c>
      <c r="G409" t="s">
        <v>68</v>
      </c>
    </row>
    <row r="410" spans="1:9" x14ac:dyDescent="0.3">
      <c r="A410" t="s">
        <v>1183</v>
      </c>
      <c r="B410" t="s">
        <v>1184</v>
      </c>
      <c r="C410">
        <v>1</v>
      </c>
      <c r="E410" t="s">
        <v>1185</v>
      </c>
    </row>
    <row r="411" spans="1:9" x14ac:dyDescent="0.3">
      <c r="A411" t="s">
        <v>1186</v>
      </c>
      <c r="B411" t="s">
        <v>1187</v>
      </c>
      <c r="C411">
        <v>1</v>
      </c>
      <c r="D411" t="s">
        <v>23</v>
      </c>
      <c r="E411" t="s">
        <v>1188</v>
      </c>
    </row>
    <row r="412" spans="1:9" x14ac:dyDescent="0.3">
      <c r="A412" t="s">
        <v>1189</v>
      </c>
      <c r="B412" t="s">
        <v>1190</v>
      </c>
      <c r="C412">
        <v>0.5</v>
      </c>
      <c r="D412" t="s">
        <v>23</v>
      </c>
      <c r="E412" t="s">
        <v>199</v>
      </c>
    </row>
    <row r="413" spans="1:9" x14ac:dyDescent="0.3">
      <c r="A413" t="s">
        <v>1191</v>
      </c>
      <c r="B413" t="s">
        <v>1192</v>
      </c>
      <c r="C413">
        <v>6</v>
      </c>
      <c r="E413" t="s">
        <v>1193</v>
      </c>
      <c r="I413" t="s">
        <v>951</v>
      </c>
    </row>
    <row r="414" spans="1:9" x14ac:dyDescent="0.3">
      <c r="A414" t="s">
        <v>1194</v>
      </c>
      <c r="B414" t="s">
        <v>1195</v>
      </c>
      <c r="C414">
        <v>3</v>
      </c>
      <c r="D414" t="s">
        <v>227</v>
      </c>
      <c r="E414" t="s">
        <v>233</v>
      </c>
    </row>
    <row r="415" spans="1:9" x14ac:dyDescent="0.3">
      <c r="A415" t="s">
        <v>1196</v>
      </c>
      <c r="B415" t="s">
        <v>1197</v>
      </c>
      <c r="C415">
        <v>10.5</v>
      </c>
      <c r="D415" t="s">
        <v>23</v>
      </c>
      <c r="E415" t="s">
        <v>1198</v>
      </c>
    </row>
    <row r="416" spans="1:9" x14ac:dyDescent="0.3">
      <c r="A416" t="s">
        <v>1199</v>
      </c>
      <c r="B416" t="s">
        <v>1200</v>
      </c>
      <c r="D416" t="s">
        <v>634</v>
      </c>
      <c r="E416" t="s">
        <v>1201</v>
      </c>
      <c r="I416" t="s">
        <v>289</v>
      </c>
    </row>
    <row r="417" spans="1:9" x14ac:dyDescent="0.3">
      <c r="A417" t="s">
        <v>1202</v>
      </c>
      <c r="B417" t="s">
        <v>1203</v>
      </c>
      <c r="C417">
        <v>4</v>
      </c>
      <c r="D417" t="s">
        <v>23</v>
      </c>
      <c r="E417" t="s">
        <v>1204</v>
      </c>
    </row>
    <row r="418" spans="1:9" x14ac:dyDescent="0.3">
      <c r="A418" t="s">
        <v>1205</v>
      </c>
      <c r="B418" t="s">
        <v>1206</v>
      </c>
      <c r="C418">
        <v>1</v>
      </c>
      <c r="D418" t="s">
        <v>111</v>
      </c>
      <c r="E418" t="s">
        <v>253</v>
      </c>
    </row>
    <row r="419" spans="1:9" x14ac:dyDescent="0.3">
      <c r="A419" t="s">
        <v>1207</v>
      </c>
      <c r="B419" t="s">
        <v>1208</v>
      </c>
      <c r="C419">
        <v>40</v>
      </c>
      <c r="D419" t="s">
        <v>29</v>
      </c>
      <c r="E419" t="s">
        <v>1209</v>
      </c>
    </row>
    <row r="420" spans="1:9" x14ac:dyDescent="0.3">
      <c r="A420" t="s">
        <v>1210</v>
      </c>
      <c r="B420" t="s">
        <v>1211</v>
      </c>
      <c r="C420">
        <v>6</v>
      </c>
      <c r="D420" t="s">
        <v>1212</v>
      </c>
      <c r="E420" t="s">
        <v>1213</v>
      </c>
      <c r="I420" t="s">
        <v>1214</v>
      </c>
    </row>
    <row r="421" spans="1:9" x14ac:dyDescent="0.3">
      <c r="A421" t="s">
        <v>1215</v>
      </c>
      <c r="B421" t="s">
        <v>1216</v>
      </c>
      <c r="C421">
        <v>2</v>
      </c>
      <c r="D421" t="s">
        <v>473</v>
      </c>
      <c r="E421" t="s">
        <v>1217</v>
      </c>
    </row>
    <row r="422" spans="1:9" x14ac:dyDescent="0.3">
      <c r="A422" t="s">
        <v>1218</v>
      </c>
      <c r="B422" t="s">
        <v>1219</v>
      </c>
      <c r="C422">
        <v>1.5</v>
      </c>
      <c r="D422" t="s">
        <v>23</v>
      </c>
      <c r="E422" t="s">
        <v>1220</v>
      </c>
    </row>
    <row r="423" spans="1:9" x14ac:dyDescent="0.3">
      <c r="A423" t="s">
        <v>1221</v>
      </c>
      <c r="B423" t="s">
        <v>1222</v>
      </c>
      <c r="C423">
        <v>2</v>
      </c>
      <c r="D423" t="s">
        <v>189</v>
      </c>
      <c r="E423" t="s">
        <v>1223</v>
      </c>
    </row>
    <row r="424" spans="1:9" x14ac:dyDescent="0.3">
      <c r="A424" t="s">
        <v>1224</v>
      </c>
      <c r="B424" t="s">
        <v>1225</v>
      </c>
      <c r="C424">
        <v>75</v>
      </c>
      <c r="D424" t="s">
        <v>29</v>
      </c>
      <c r="E424" t="s">
        <v>233</v>
      </c>
    </row>
    <row r="425" spans="1:9" x14ac:dyDescent="0.3">
      <c r="A425" t="s">
        <v>1226</v>
      </c>
      <c r="B425" t="s">
        <v>988</v>
      </c>
      <c r="C425">
        <v>0.5</v>
      </c>
      <c r="D425" t="s">
        <v>23</v>
      </c>
      <c r="E425" t="s">
        <v>81</v>
      </c>
    </row>
    <row r="426" spans="1:9" x14ac:dyDescent="0.3">
      <c r="A426" t="s">
        <v>1227</v>
      </c>
      <c r="B426" t="s">
        <v>1228</v>
      </c>
      <c r="C426">
        <v>0.5</v>
      </c>
      <c r="D426" t="s">
        <v>23</v>
      </c>
      <c r="E426" t="s">
        <v>587</v>
      </c>
    </row>
    <row r="427" spans="1:9" x14ac:dyDescent="0.3">
      <c r="A427" t="s">
        <v>1229</v>
      </c>
      <c r="B427" t="s">
        <v>1230</v>
      </c>
      <c r="C427">
        <v>0.5</v>
      </c>
      <c r="D427" t="s">
        <v>37</v>
      </c>
      <c r="E427" t="s">
        <v>1231</v>
      </c>
    </row>
    <row r="428" spans="1:9" x14ac:dyDescent="0.3">
      <c r="A428" t="s">
        <v>1232</v>
      </c>
      <c r="B428" t="s">
        <v>1233</v>
      </c>
      <c r="C428">
        <v>1</v>
      </c>
      <c r="D428" t="s">
        <v>111</v>
      </c>
      <c r="E428" t="s">
        <v>396</v>
      </c>
      <c r="I428" t="s">
        <v>289</v>
      </c>
    </row>
    <row r="429" spans="1:9" x14ac:dyDescent="0.3">
      <c r="A429" t="s">
        <v>1234</v>
      </c>
      <c r="B429" t="s">
        <v>1235</v>
      </c>
      <c r="C429">
        <v>0.5</v>
      </c>
      <c r="D429" t="s">
        <v>11</v>
      </c>
      <c r="E429" t="s">
        <v>88</v>
      </c>
    </row>
    <row r="430" spans="1:9" x14ac:dyDescent="0.3">
      <c r="A430" t="s">
        <v>1236</v>
      </c>
      <c r="B430" t="s">
        <v>1237</v>
      </c>
      <c r="C430">
        <v>1</v>
      </c>
      <c r="D430" t="s">
        <v>23</v>
      </c>
      <c r="E430" t="s">
        <v>1238</v>
      </c>
    </row>
    <row r="431" spans="1:9" x14ac:dyDescent="0.3">
      <c r="A431" t="s">
        <v>1239</v>
      </c>
      <c r="B431" t="s">
        <v>738</v>
      </c>
      <c r="E431" t="s">
        <v>738</v>
      </c>
    </row>
    <row r="432" spans="1:9" x14ac:dyDescent="0.3">
      <c r="A432" t="s">
        <v>1240</v>
      </c>
      <c r="B432" t="s">
        <v>1241</v>
      </c>
      <c r="C432">
        <v>20</v>
      </c>
      <c r="D432" t="s">
        <v>29</v>
      </c>
      <c r="E432" t="s">
        <v>183</v>
      </c>
    </row>
    <row r="433" spans="1:9" x14ac:dyDescent="0.3">
      <c r="A433" t="s">
        <v>1242</v>
      </c>
      <c r="B433" t="s">
        <v>1243</v>
      </c>
      <c r="C433">
        <v>0.75</v>
      </c>
      <c r="D433" t="s">
        <v>23</v>
      </c>
      <c r="E433" t="s">
        <v>30</v>
      </c>
    </row>
    <row r="434" spans="1:9" x14ac:dyDescent="0.3">
      <c r="A434" t="s">
        <v>125</v>
      </c>
      <c r="B434" t="s">
        <v>1244</v>
      </c>
      <c r="C434">
        <v>2</v>
      </c>
      <c r="D434" t="s">
        <v>23</v>
      </c>
      <c r="E434" t="s">
        <v>716</v>
      </c>
    </row>
    <row r="435" spans="1:9" x14ac:dyDescent="0.3">
      <c r="A435" t="s">
        <v>1245</v>
      </c>
      <c r="B435" t="s">
        <v>1246</v>
      </c>
      <c r="C435">
        <v>5</v>
      </c>
      <c r="D435" t="s">
        <v>1247</v>
      </c>
      <c r="E435" t="s">
        <v>1248</v>
      </c>
    </row>
    <row r="436" spans="1:9" x14ac:dyDescent="0.3">
      <c r="A436" t="s">
        <v>1249</v>
      </c>
      <c r="B436" t="s">
        <v>1179</v>
      </c>
      <c r="C436">
        <v>1</v>
      </c>
      <c r="D436" t="s">
        <v>23</v>
      </c>
      <c r="E436" t="s">
        <v>233</v>
      </c>
    </row>
    <row r="437" spans="1:9" x14ac:dyDescent="0.3">
      <c r="A437" t="s">
        <v>1250</v>
      </c>
      <c r="B437" t="s">
        <v>1251</v>
      </c>
      <c r="C437">
        <v>2</v>
      </c>
      <c r="D437" t="s">
        <v>91</v>
      </c>
      <c r="E437" t="s">
        <v>1252</v>
      </c>
      <c r="I437" t="s">
        <v>20</v>
      </c>
    </row>
    <row r="438" spans="1:9" x14ac:dyDescent="0.3">
      <c r="A438" t="s">
        <v>1253</v>
      </c>
      <c r="B438" t="s">
        <v>1254</v>
      </c>
      <c r="C438">
        <v>0.5</v>
      </c>
      <c r="D438" t="s">
        <v>23</v>
      </c>
      <c r="E438" t="s">
        <v>1182</v>
      </c>
    </row>
    <row r="439" spans="1:9" x14ac:dyDescent="0.3">
      <c r="A439" t="s">
        <v>1255</v>
      </c>
      <c r="B439" t="s">
        <v>1256</v>
      </c>
      <c r="C439">
        <v>2</v>
      </c>
      <c r="D439" t="s">
        <v>176</v>
      </c>
      <c r="E439" t="s">
        <v>1257</v>
      </c>
    </row>
    <row r="440" spans="1:9" x14ac:dyDescent="0.3">
      <c r="A440" t="s">
        <v>1258</v>
      </c>
      <c r="B440" t="s">
        <v>1259</v>
      </c>
      <c r="C440">
        <v>1</v>
      </c>
      <c r="E440" t="s">
        <v>1260</v>
      </c>
      <c r="I440" t="s">
        <v>248</v>
      </c>
    </row>
    <row r="441" spans="1:9" x14ac:dyDescent="0.3">
      <c r="A441" t="s">
        <v>1261</v>
      </c>
      <c r="B441" t="s">
        <v>1262</v>
      </c>
      <c r="C441">
        <v>1.5</v>
      </c>
      <c r="D441" t="s">
        <v>345</v>
      </c>
      <c r="E441" t="s">
        <v>1263</v>
      </c>
      <c r="I441" t="s">
        <v>20</v>
      </c>
    </row>
    <row r="442" spans="1:9" x14ac:dyDescent="0.3">
      <c r="A442" t="s">
        <v>1264</v>
      </c>
      <c r="B442" t="s">
        <v>1265</v>
      </c>
      <c r="C442">
        <v>0.25</v>
      </c>
      <c r="D442" t="s">
        <v>23</v>
      </c>
      <c r="E442" t="s">
        <v>447</v>
      </c>
    </row>
    <row r="443" spans="1:9" x14ac:dyDescent="0.3">
      <c r="A443" t="s">
        <v>1266</v>
      </c>
      <c r="B443" t="s">
        <v>1267</v>
      </c>
      <c r="E443" t="s">
        <v>1267</v>
      </c>
    </row>
    <row r="444" spans="1:9" x14ac:dyDescent="0.3">
      <c r="A444" t="s">
        <v>1268</v>
      </c>
      <c r="B444" t="s">
        <v>1269</v>
      </c>
      <c r="C444">
        <v>1</v>
      </c>
      <c r="D444" t="s">
        <v>23</v>
      </c>
      <c r="E444" t="s">
        <v>380</v>
      </c>
    </row>
    <row r="445" spans="1:9" x14ac:dyDescent="0.3">
      <c r="A445" t="s">
        <v>1270</v>
      </c>
      <c r="B445" t="s">
        <v>1271</v>
      </c>
      <c r="C445">
        <v>2</v>
      </c>
      <c r="D445" t="s">
        <v>23</v>
      </c>
      <c r="E445" t="s">
        <v>672</v>
      </c>
    </row>
    <row r="446" spans="1:9" x14ac:dyDescent="0.3">
      <c r="A446" t="s">
        <v>1272</v>
      </c>
      <c r="B446" t="s">
        <v>489</v>
      </c>
      <c r="C446">
        <v>1</v>
      </c>
      <c r="D446" t="s">
        <v>23</v>
      </c>
      <c r="E446" t="s">
        <v>233</v>
      </c>
    </row>
    <row r="447" spans="1:9" x14ac:dyDescent="0.3">
      <c r="A447" t="s">
        <v>1273</v>
      </c>
      <c r="B447" t="s">
        <v>1274</v>
      </c>
      <c r="C447">
        <v>0.75</v>
      </c>
      <c r="D447" t="s">
        <v>11</v>
      </c>
      <c r="E447" t="s">
        <v>88</v>
      </c>
    </row>
    <row r="448" spans="1:9" x14ac:dyDescent="0.3">
      <c r="A448" t="s">
        <v>1275</v>
      </c>
      <c r="B448" t="s">
        <v>1276</v>
      </c>
      <c r="C448">
        <v>1</v>
      </c>
      <c r="D448" t="s">
        <v>368</v>
      </c>
      <c r="E448" t="s">
        <v>1097</v>
      </c>
    </row>
    <row r="449" spans="1:9" x14ac:dyDescent="0.3">
      <c r="A449" t="s">
        <v>1277</v>
      </c>
      <c r="B449" t="s">
        <v>1278</v>
      </c>
      <c r="C449">
        <v>3</v>
      </c>
      <c r="D449" t="s">
        <v>23</v>
      </c>
      <c r="E449" t="s">
        <v>738</v>
      </c>
    </row>
    <row r="450" spans="1:9" x14ac:dyDescent="0.3">
      <c r="A450" t="s">
        <v>1279</v>
      </c>
      <c r="B450" t="s">
        <v>1280</v>
      </c>
      <c r="C450">
        <v>0.5</v>
      </c>
      <c r="E450" t="s">
        <v>163</v>
      </c>
      <c r="F450" t="s">
        <v>1281</v>
      </c>
    </row>
    <row r="451" spans="1:9" x14ac:dyDescent="0.3">
      <c r="A451" t="s">
        <v>1282</v>
      </c>
      <c r="B451" t="s">
        <v>1283</v>
      </c>
      <c r="C451">
        <v>150</v>
      </c>
      <c r="D451" t="s">
        <v>29</v>
      </c>
      <c r="E451" t="s">
        <v>1284</v>
      </c>
      <c r="I451" t="s">
        <v>20</v>
      </c>
    </row>
    <row r="452" spans="1:9" x14ac:dyDescent="0.3">
      <c r="A452" t="s">
        <v>1285</v>
      </c>
      <c r="B452" t="s">
        <v>1286</v>
      </c>
      <c r="C452">
        <v>2</v>
      </c>
      <c r="D452" t="s">
        <v>91</v>
      </c>
      <c r="E452" t="s">
        <v>281</v>
      </c>
    </row>
    <row r="453" spans="1:9" x14ac:dyDescent="0.3">
      <c r="A453" t="s">
        <v>1287</v>
      </c>
      <c r="B453" t="s">
        <v>1288</v>
      </c>
      <c r="D453" t="s">
        <v>469</v>
      </c>
      <c r="E453" t="s">
        <v>1289</v>
      </c>
      <c r="I453" t="s">
        <v>289</v>
      </c>
    </row>
    <row r="454" spans="1:9" x14ac:dyDescent="0.3">
      <c r="A454" t="s">
        <v>1290</v>
      </c>
      <c r="B454" t="s">
        <v>1291</v>
      </c>
      <c r="C454">
        <v>0.5</v>
      </c>
      <c r="E454" t="s">
        <v>1292</v>
      </c>
    </row>
    <row r="455" spans="1:9" x14ac:dyDescent="0.3">
      <c r="A455" t="s">
        <v>1293</v>
      </c>
      <c r="B455" t="s">
        <v>1294</v>
      </c>
      <c r="C455">
        <v>4</v>
      </c>
      <c r="D455" t="s">
        <v>23</v>
      </c>
      <c r="E455" t="s">
        <v>1295</v>
      </c>
      <c r="I455" t="s">
        <v>289</v>
      </c>
    </row>
    <row r="456" spans="1:9" x14ac:dyDescent="0.3">
      <c r="A456" t="s">
        <v>1296</v>
      </c>
      <c r="B456" t="s">
        <v>1297</v>
      </c>
      <c r="C456">
        <v>1.5</v>
      </c>
      <c r="D456" t="s">
        <v>23</v>
      </c>
      <c r="E456" t="s">
        <v>98</v>
      </c>
    </row>
    <row r="457" spans="1:9" x14ac:dyDescent="0.3">
      <c r="A457" t="s">
        <v>1298</v>
      </c>
      <c r="B457" t="s">
        <v>1299</v>
      </c>
      <c r="C457">
        <v>4</v>
      </c>
      <c r="D457" t="s">
        <v>23</v>
      </c>
      <c r="E457" t="s">
        <v>199</v>
      </c>
    </row>
    <row r="458" spans="1:9" x14ac:dyDescent="0.3">
      <c r="A458" t="s">
        <v>1300</v>
      </c>
      <c r="B458" t="s">
        <v>1301</v>
      </c>
      <c r="C458">
        <v>1</v>
      </c>
      <c r="D458" t="s">
        <v>284</v>
      </c>
      <c r="E458" t="s">
        <v>64</v>
      </c>
    </row>
    <row r="459" spans="1:9" x14ac:dyDescent="0.3">
      <c r="A459" t="s">
        <v>1302</v>
      </c>
      <c r="B459" t="s">
        <v>1303</v>
      </c>
      <c r="C459">
        <v>2</v>
      </c>
      <c r="D459" t="s">
        <v>227</v>
      </c>
      <c r="E459" t="s">
        <v>581</v>
      </c>
    </row>
    <row r="460" spans="1:9" x14ac:dyDescent="0.3">
      <c r="A460" t="s">
        <v>1304</v>
      </c>
      <c r="B460" t="s">
        <v>1305</v>
      </c>
      <c r="C460">
        <v>3</v>
      </c>
      <c r="D460" t="s">
        <v>473</v>
      </c>
      <c r="E460" t="s">
        <v>1169</v>
      </c>
      <c r="F460" t="s">
        <v>1014</v>
      </c>
    </row>
    <row r="461" spans="1:9" x14ac:dyDescent="0.3">
      <c r="A461" t="s">
        <v>1306</v>
      </c>
      <c r="B461" t="s">
        <v>1307</v>
      </c>
      <c r="C461">
        <v>50</v>
      </c>
      <c r="D461" t="s">
        <v>29</v>
      </c>
      <c r="E461" t="s">
        <v>1308</v>
      </c>
      <c r="I461" t="s">
        <v>289</v>
      </c>
    </row>
    <row r="462" spans="1:9" x14ac:dyDescent="0.3">
      <c r="A462" t="s">
        <v>1309</v>
      </c>
      <c r="B462" t="s">
        <v>1310</v>
      </c>
      <c r="I462" t="s">
        <v>1310</v>
      </c>
    </row>
    <row r="463" spans="1:9" x14ac:dyDescent="0.3">
      <c r="A463" t="s">
        <v>1311</v>
      </c>
      <c r="B463" t="s">
        <v>1312</v>
      </c>
      <c r="C463">
        <v>0.75</v>
      </c>
      <c r="D463" t="s">
        <v>284</v>
      </c>
      <c r="E463" t="s">
        <v>81</v>
      </c>
      <c r="I463" t="s">
        <v>289</v>
      </c>
    </row>
    <row r="464" spans="1:9" x14ac:dyDescent="0.3">
      <c r="A464" t="s">
        <v>1313</v>
      </c>
      <c r="B464" t="s">
        <v>74</v>
      </c>
      <c r="C464">
        <v>2</v>
      </c>
      <c r="D464" t="s">
        <v>23</v>
      </c>
      <c r="E464" t="s">
        <v>75</v>
      </c>
    </row>
    <row r="465" spans="1:9" x14ac:dyDescent="0.3">
      <c r="A465" t="s">
        <v>1314</v>
      </c>
      <c r="B465" t="s">
        <v>1315</v>
      </c>
      <c r="C465">
        <v>1</v>
      </c>
      <c r="D465" t="s">
        <v>23</v>
      </c>
      <c r="E465" t="s">
        <v>1003</v>
      </c>
    </row>
    <row r="466" spans="1:9" x14ac:dyDescent="0.3">
      <c r="A466" t="s">
        <v>1316</v>
      </c>
      <c r="B466" t="s">
        <v>1317</v>
      </c>
      <c r="C466">
        <v>1</v>
      </c>
      <c r="D466" t="s">
        <v>11</v>
      </c>
      <c r="E466" t="s">
        <v>524</v>
      </c>
    </row>
    <row r="467" spans="1:9" x14ac:dyDescent="0.3">
      <c r="A467" t="s">
        <v>1318</v>
      </c>
      <c r="B467" t="s">
        <v>1319</v>
      </c>
      <c r="E467" t="s">
        <v>333</v>
      </c>
      <c r="I467" t="s">
        <v>1320</v>
      </c>
    </row>
    <row r="468" spans="1:9" x14ac:dyDescent="0.3">
      <c r="A468" t="s">
        <v>1321</v>
      </c>
      <c r="B468" t="s">
        <v>648</v>
      </c>
      <c r="C468">
        <v>1.5</v>
      </c>
      <c r="D468" t="s">
        <v>345</v>
      </c>
      <c r="E468" t="s">
        <v>649</v>
      </c>
    </row>
    <row r="469" spans="1:9" x14ac:dyDescent="0.3">
      <c r="A469" t="s">
        <v>1322</v>
      </c>
      <c r="B469" t="s">
        <v>1323</v>
      </c>
      <c r="C469">
        <v>1.5</v>
      </c>
      <c r="D469" t="s">
        <v>23</v>
      </c>
      <c r="E469" t="s">
        <v>374</v>
      </c>
    </row>
    <row r="470" spans="1:9" x14ac:dyDescent="0.3">
      <c r="A470" t="s">
        <v>1324</v>
      </c>
      <c r="B470" t="s">
        <v>1325</v>
      </c>
      <c r="C470">
        <v>15</v>
      </c>
      <c r="D470" t="s">
        <v>29</v>
      </c>
      <c r="E470" t="s">
        <v>793</v>
      </c>
    </row>
    <row r="471" spans="1:9" x14ac:dyDescent="0.3">
      <c r="A471" t="s">
        <v>1326</v>
      </c>
      <c r="B471" t="s">
        <v>1327</v>
      </c>
      <c r="C471">
        <v>0.5</v>
      </c>
      <c r="D471" t="s">
        <v>37</v>
      </c>
      <c r="E471" t="s">
        <v>1328</v>
      </c>
    </row>
    <row r="472" spans="1:9" x14ac:dyDescent="0.3">
      <c r="A472" t="s">
        <v>1329</v>
      </c>
      <c r="B472" t="s">
        <v>188</v>
      </c>
      <c r="C472">
        <v>2</v>
      </c>
      <c r="D472" t="s">
        <v>189</v>
      </c>
      <c r="E472" t="s">
        <v>190</v>
      </c>
    </row>
    <row r="473" spans="1:9" x14ac:dyDescent="0.3">
      <c r="A473" t="s">
        <v>1330</v>
      </c>
      <c r="B473" t="s">
        <v>1331</v>
      </c>
      <c r="C473">
        <v>0.5</v>
      </c>
      <c r="D473" t="s">
        <v>37</v>
      </c>
      <c r="E473" t="s">
        <v>1332</v>
      </c>
    </row>
    <row r="474" spans="1:9" x14ac:dyDescent="0.3">
      <c r="A474" t="s">
        <v>1333</v>
      </c>
      <c r="B474" t="s">
        <v>1055</v>
      </c>
      <c r="C474">
        <v>1</v>
      </c>
      <c r="D474" t="s">
        <v>585</v>
      </c>
      <c r="E474" t="s">
        <v>1056</v>
      </c>
      <c r="I474" t="s">
        <v>248</v>
      </c>
    </row>
    <row r="475" spans="1:9" x14ac:dyDescent="0.3">
      <c r="A475" t="s">
        <v>1334</v>
      </c>
      <c r="B475" t="s">
        <v>1335</v>
      </c>
      <c r="C475">
        <v>1</v>
      </c>
      <c r="D475" t="s">
        <v>60</v>
      </c>
      <c r="E475" t="s">
        <v>1043</v>
      </c>
    </row>
    <row r="476" spans="1:9" x14ac:dyDescent="0.3">
      <c r="A476" t="s">
        <v>1336</v>
      </c>
      <c r="B476" t="s">
        <v>1337</v>
      </c>
      <c r="C476">
        <v>12</v>
      </c>
      <c r="D476" t="s">
        <v>1338</v>
      </c>
      <c r="E476" t="s">
        <v>1339</v>
      </c>
    </row>
    <row r="477" spans="1:9" x14ac:dyDescent="0.3">
      <c r="A477" t="s">
        <v>1340</v>
      </c>
      <c r="B477" t="s">
        <v>540</v>
      </c>
      <c r="C477">
        <v>1</v>
      </c>
      <c r="D477" t="s">
        <v>18</v>
      </c>
      <c r="E477" t="s">
        <v>541</v>
      </c>
    </row>
    <row r="478" spans="1:9" x14ac:dyDescent="0.3">
      <c r="A478" t="s">
        <v>1341</v>
      </c>
      <c r="B478" t="s">
        <v>1342</v>
      </c>
      <c r="C478">
        <v>2.5</v>
      </c>
      <c r="D478" t="s">
        <v>345</v>
      </c>
      <c r="E478" t="s">
        <v>220</v>
      </c>
    </row>
    <row r="479" spans="1:9" x14ac:dyDescent="0.3">
      <c r="A479" t="s">
        <v>1343</v>
      </c>
      <c r="B479" t="s">
        <v>1344</v>
      </c>
      <c r="C479">
        <v>2</v>
      </c>
      <c r="D479" t="s">
        <v>23</v>
      </c>
      <c r="E479" t="s">
        <v>1345</v>
      </c>
    </row>
    <row r="480" spans="1:9" x14ac:dyDescent="0.3">
      <c r="A480" t="s">
        <v>1346</v>
      </c>
      <c r="B480" t="s">
        <v>51</v>
      </c>
      <c r="E480" t="s">
        <v>51</v>
      </c>
    </row>
    <row r="481" spans="1:9" x14ac:dyDescent="0.3">
      <c r="A481" t="s">
        <v>1347</v>
      </c>
      <c r="B481" t="s">
        <v>163</v>
      </c>
      <c r="E481" t="s">
        <v>163</v>
      </c>
    </row>
    <row r="482" spans="1:9" x14ac:dyDescent="0.3">
      <c r="A482" t="s">
        <v>1348</v>
      </c>
      <c r="B482" t="s">
        <v>1349</v>
      </c>
      <c r="C482">
        <v>2</v>
      </c>
      <c r="D482" t="s">
        <v>23</v>
      </c>
      <c r="E482" t="s">
        <v>328</v>
      </c>
    </row>
    <row r="483" spans="1:9" x14ac:dyDescent="0.3">
      <c r="A483" t="s">
        <v>1350</v>
      </c>
      <c r="B483" t="s">
        <v>1351</v>
      </c>
      <c r="C483">
        <v>1</v>
      </c>
      <c r="D483" t="s">
        <v>151</v>
      </c>
      <c r="E483" t="s">
        <v>85</v>
      </c>
      <c r="I483" t="s">
        <v>1352</v>
      </c>
    </row>
    <row r="484" spans="1:9" x14ac:dyDescent="0.3">
      <c r="A484" t="s">
        <v>1353</v>
      </c>
      <c r="B484" t="s">
        <v>1354</v>
      </c>
      <c r="C484">
        <v>1.5</v>
      </c>
      <c r="D484" t="s">
        <v>23</v>
      </c>
      <c r="E484" t="s">
        <v>220</v>
      </c>
    </row>
    <row r="485" spans="1:9" x14ac:dyDescent="0.3">
      <c r="A485" t="s">
        <v>1355</v>
      </c>
      <c r="B485" t="s">
        <v>743</v>
      </c>
      <c r="E485" t="s">
        <v>743</v>
      </c>
    </row>
    <row r="486" spans="1:9" x14ac:dyDescent="0.3">
      <c r="A486" t="s">
        <v>576</v>
      </c>
      <c r="B486" t="s">
        <v>1356</v>
      </c>
      <c r="C486">
        <v>0.75</v>
      </c>
      <c r="D486" t="s">
        <v>23</v>
      </c>
      <c r="E486" t="s">
        <v>602</v>
      </c>
      <c r="I486" t="s">
        <v>289</v>
      </c>
    </row>
    <row r="487" spans="1:9" x14ac:dyDescent="0.3">
      <c r="A487" t="s">
        <v>1357</v>
      </c>
      <c r="B487" t="s">
        <v>1101</v>
      </c>
      <c r="C487">
        <v>1</v>
      </c>
      <c r="D487" t="s">
        <v>23</v>
      </c>
      <c r="E487" t="s">
        <v>328</v>
      </c>
    </row>
    <row r="488" spans="1:9" x14ac:dyDescent="0.3">
      <c r="A488" t="s">
        <v>1358</v>
      </c>
      <c r="B488" t="s">
        <v>163</v>
      </c>
      <c r="E488" t="s">
        <v>163</v>
      </c>
    </row>
    <row r="489" spans="1:9" x14ac:dyDescent="0.3">
      <c r="A489" t="s">
        <v>1359</v>
      </c>
      <c r="B489" t="s">
        <v>1360</v>
      </c>
      <c r="C489">
        <v>4</v>
      </c>
      <c r="E489" t="s">
        <v>1361</v>
      </c>
    </row>
    <row r="490" spans="1:9" x14ac:dyDescent="0.3">
      <c r="A490" t="s">
        <v>1362</v>
      </c>
      <c r="B490" t="s">
        <v>1363</v>
      </c>
      <c r="C490">
        <v>15</v>
      </c>
      <c r="D490" t="s">
        <v>29</v>
      </c>
      <c r="E490" t="s">
        <v>95</v>
      </c>
    </row>
    <row r="491" spans="1:9" x14ac:dyDescent="0.3">
      <c r="A491" t="s">
        <v>1364</v>
      </c>
      <c r="B491" t="s">
        <v>1365</v>
      </c>
      <c r="C491">
        <v>2</v>
      </c>
      <c r="D491" t="s">
        <v>1366</v>
      </c>
      <c r="E491" t="s">
        <v>183</v>
      </c>
    </row>
    <row r="492" spans="1:9" x14ac:dyDescent="0.3">
      <c r="A492" t="s">
        <v>1367</v>
      </c>
      <c r="B492" t="s">
        <v>320</v>
      </c>
      <c r="E492" t="s">
        <v>320</v>
      </c>
    </row>
    <row r="493" spans="1:9" x14ac:dyDescent="0.3">
      <c r="A493" t="s">
        <v>1368</v>
      </c>
      <c r="B493" t="s">
        <v>1369</v>
      </c>
      <c r="C493">
        <v>1</v>
      </c>
      <c r="D493" t="s">
        <v>460</v>
      </c>
      <c r="E493" t="s">
        <v>331</v>
      </c>
    </row>
    <row r="494" spans="1:9" x14ac:dyDescent="0.3">
      <c r="A494" t="s">
        <v>1370</v>
      </c>
      <c r="B494" t="s">
        <v>1371</v>
      </c>
      <c r="C494">
        <v>0.5</v>
      </c>
      <c r="D494" t="s">
        <v>23</v>
      </c>
      <c r="E494" t="s">
        <v>199</v>
      </c>
    </row>
    <row r="495" spans="1:9" x14ac:dyDescent="0.3">
      <c r="A495" t="s">
        <v>1372</v>
      </c>
      <c r="B495" t="s">
        <v>1373</v>
      </c>
      <c r="C495">
        <v>4</v>
      </c>
      <c r="D495" t="s">
        <v>835</v>
      </c>
      <c r="E495" t="s">
        <v>1374</v>
      </c>
    </row>
    <row r="496" spans="1:9" x14ac:dyDescent="0.3">
      <c r="A496" t="s">
        <v>1375</v>
      </c>
      <c r="B496" t="s">
        <v>1376</v>
      </c>
      <c r="C496">
        <v>25</v>
      </c>
      <c r="D496" t="s">
        <v>29</v>
      </c>
      <c r="E496" t="s">
        <v>1377</v>
      </c>
      <c r="I496" t="s">
        <v>1378</v>
      </c>
    </row>
    <row r="497" spans="1:9" x14ac:dyDescent="0.3">
      <c r="A497" t="s">
        <v>1379</v>
      </c>
      <c r="B497" t="s">
        <v>1380</v>
      </c>
      <c r="C497">
        <v>8</v>
      </c>
      <c r="D497" t="s">
        <v>23</v>
      </c>
      <c r="E497" t="s">
        <v>1381</v>
      </c>
      <c r="F497" t="s">
        <v>1382</v>
      </c>
      <c r="I497" t="s">
        <v>325</v>
      </c>
    </row>
    <row r="498" spans="1:9" x14ac:dyDescent="0.3">
      <c r="A498" t="s">
        <v>1383</v>
      </c>
      <c r="B498" t="s">
        <v>1384</v>
      </c>
      <c r="C498">
        <v>30</v>
      </c>
      <c r="D498" t="s">
        <v>29</v>
      </c>
      <c r="E498" t="s">
        <v>1385</v>
      </c>
    </row>
    <row r="499" spans="1:9" x14ac:dyDescent="0.3">
      <c r="A499" t="s">
        <v>1386</v>
      </c>
      <c r="B499" t="s">
        <v>1387</v>
      </c>
      <c r="C499">
        <v>1.5</v>
      </c>
      <c r="D499" t="s">
        <v>345</v>
      </c>
      <c r="E499" t="s">
        <v>728</v>
      </c>
      <c r="I499" t="s">
        <v>1388</v>
      </c>
    </row>
    <row r="500" spans="1:9" x14ac:dyDescent="0.3">
      <c r="A500" t="s">
        <v>1389</v>
      </c>
      <c r="B500" t="s">
        <v>1390</v>
      </c>
      <c r="C500">
        <v>1</v>
      </c>
      <c r="D500" t="s">
        <v>426</v>
      </c>
      <c r="E500" t="s">
        <v>64</v>
      </c>
    </row>
    <row r="501" spans="1:9" x14ac:dyDescent="0.3">
      <c r="A501" t="s">
        <v>1391</v>
      </c>
      <c r="B501" t="s">
        <v>1392</v>
      </c>
      <c r="C501">
        <v>1</v>
      </c>
      <c r="D501" t="s">
        <v>151</v>
      </c>
      <c r="E501" t="s">
        <v>152</v>
      </c>
    </row>
    <row r="502" spans="1:9" x14ac:dyDescent="0.3">
      <c r="A502" t="s">
        <v>1393</v>
      </c>
      <c r="B502" t="s">
        <v>1394</v>
      </c>
      <c r="C502">
        <v>0.5</v>
      </c>
      <c r="D502" t="s">
        <v>612</v>
      </c>
      <c r="E502" t="s">
        <v>1395</v>
      </c>
    </row>
    <row r="503" spans="1:9" x14ac:dyDescent="0.3">
      <c r="A503" t="s">
        <v>1396</v>
      </c>
      <c r="B503" t="s">
        <v>1397</v>
      </c>
      <c r="E503" t="s">
        <v>1398</v>
      </c>
      <c r="I503" t="s">
        <v>1399</v>
      </c>
    </row>
    <row r="504" spans="1:9" x14ac:dyDescent="0.3">
      <c r="A504" t="s">
        <v>1400</v>
      </c>
      <c r="B504" t="s">
        <v>1401</v>
      </c>
      <c r="C504">
        <v>45</v>
      </c>
      <c r="D504" t="s">
        <v>29</v>
      </c>
      <c r="E504" t="s">
        <v>1402</v>
      </c>
    </row>
    <row r="505" spans="1:9" x14ac:dyDescent="0.3">
      <c r="A505" t="s">
        <v>1403</v>
      </c>
      <c r="B505" t="s">
        <v>1404</v>
      </c>
      <c r="C505">
        <v>1</v>
      </c>
      <c r="D505" t="s">
        <v>11</v>
      </c>
      <c r="E505" t="s">
        <v>183</v>
      </c>
    </row>
    <row r="506" spans="1:9" x14ac:dyDescent="0.3">
      <c r="A506" t="s">
        <v>1405</v>
      </c>
      <c r="B506" t="s">
        <v>1406</v>
      </c>
      <c r="C506">
        <v>0.75</v>
      </c>
      <c r="D506" t="s">
        <v>11</v>
      </c>
      <c r="E506" t="s">
        <v>1407</v>
      </c>
    </row>
    <row r="507" spans="1:9" x14ac:dyDescent="0.3">
      <c r="A507" t="s">
        <v>1408</v>
      </c>
      <c r="B507" t="s">
        <v>1409</v>
      </c>
      <c r="C507">
        <v>0.5</v>
      </c>
      <c r="D507" t="s">
        <v>37</v>
      </c>
      <c r="E507" t="s">
        <v>1410</v>
      </c>
      <c r="I507" t="s">
        <v>1411</v>
      </c>
    </row>
    <row r="508" spans="1:9" x14ac:dyDescent="0.3">
      <c r="A508" t="s">
        <v>1412</v>
      </c>
      <c r="B508" t="s">
        <v>1413</v>
      </c>
      <c r="C508">
        <v>1</v>
      </c>
      <c r="D508" t="s">
        <v>23</v>
      </c>
      <c r="E508" t="s">
        <v>292</v>
      </c>
    </row>
    <row r="509" spans="1:9" x14ac:dyDescent="0.3">
      <c r="A509" t="s">
        <v>1127</v>
      </c>
      <c r="B509" t="s">
        <v>104</v>
      </c>
      <c r="C509">
        <v>1</v>
      </c>
      <c r="E509" t="s">
        <v>105</v>
      </c>
    </row>
    <row r="510" spans="1:9" x14ac:dyDescent="0.3">
      <c r="A510" t="s">
        <v>1414</v>
      </c>
      <c r="B510" t="s">
        <v>1415</v>
      </c>
      <c r="C510">
        <v>0.5</v>
      </c>
      <c r="D510" t="s">
        <v>37</v>
      </c>
      <c r="E510" t="s">
        <v>1416</v>
      </c>
    </row>
    <row r="511" spans="1:9" x14ac:dyDescent="0.3">
      <c r="A511" t="s">
        <v>1417</v>
      </c>
      <c r="B511" t="s">
        <v>1418</v>
      </c>
      <c r="C511">
        <v>1</v>
      </c>
      <c r="D511" t="s">
        <v>426</v>
      </c>
      <c r="E511" t="s">
        <v>317</v>
      </c>
    </row>
    <row r="512" spans="1:9" x14ac:dyDescent="0.3">
      <c r="A512" t="s">
        <v>1419</v>
      </c>
      <c r="B512" t="s">
        <v>1420</v>
      </c>
      <c r="C512">
        <v>1.5</v>
      </c>
      <c r="D512" t="s">
        <v>345</v>
      </c>
      <c r="E512" t="s">
        <v>1421</v>
      </c>
      <c r="I512" t="s">
        <v>1422</v>
      </c>
    </row>
    <row r="513" spans="1:9" x14ac:dyDescent="0.3">
      <c r="A513" t="s">
        <v>1423</v>
      </c>
      <c r="B513" t="s">
        <v>1424</v>
      </c>
      <c r="C513">
        <v>2</v>
      </c>
      <c r="D513" t="s">
        <v>23</v>
      </c>
      <c r="E513" t="s">
        <v>516</v>
      </c>
    </row>
    <row r="514" spans="1:9" x14ac:dyDescent="0.3">
      <c r="A514" t="s">
        <v>1425</v>
      </c>
      <c r="B514" t="s">
        <v>1426</v>
      </c>
      <c r="C514">
        <v>1</v>
      </c>
      <c r="D514" t="s">
        <v>23</v>
      </c>
      <c r="E514" t="s">
        <v>602</v>
      </c>
    </row>
    <row r="515" spans="1:9" x14ac:dyDescent="0.3">
      <c r="A515" t="s">
        <v>1427</v>
      </c>
      <c r="B515" t="s">
        <v>1428</v>
      </c>
      <c r="C515">
        <v>0.5</v>
      </c>
      <c r="D515" t="s">
        <v>284</v>
      </c>
      <c r="E515" t="s">
        <v>516</v>
      </c>
      <c r="F515" t="s">
        <v>68</v>
      </c>
    </row>
    <row r="516" spans="1:9" x14ac:dyDescent="0.3">
      <c r="A516" t="s">
        <v>1429</v>
      </c>
      <c r="B516" t="s">
        <v>1430</v>
      </c>
      <c r="C516">
        <v>25</v>
      </c>
      <c r="D516" t="s">
        <v>29</v>
      </c>
      <c r="E516" t="s">
        <v>1431</v>
      </c>
    </row>
    <row r="517" spans="1:9" x14ac:dyDescent="0.3">
      <c r="A517" t="s">
        <v>458</v>
      </c>
      <c r="B517" t="s">
        <v>1190</v>
      </c>
      <c r="C517">
        <v>0.5</v>
      </c>
      <c r="D517" t="s">
        <v>23</v>
      </c>
      <c r="E517" t="s">
        <v>199</v>
      </c>
    </row>
    <row r="518" spans="1:9" x14ac:dyDescent="0.3">
      <c r="A518" t="s">
        <v>1432</v>
      </c>
      <c r="B518" t="s">
        <v>1433</v>
      </c>
      <c r="E518" t="s">
        <v>1433</v>
      </c>
    </row>
    <row r="519" spans="1:9" x14ac:dyDescent="0.3">
      <c r="A519" t="s">
        <v>1434</v>
      </c>
      <c r="B519" t="s">
        <v>1435</v>
      </c>
      <c r="C519">
        <v>0.5</v>
      </c>
      <c r="E519" t="s">
        <v>1436</v>
      </c>
      <c r="F519" t="s">
        <v>1437</v>
      </c>
    </row>
    <row r="520" spans="1:9" x14ac:dyDescent="0.3">
      <c r="A520" t="s">
        <v>1438</v>
      </c>
      <c r="B520" t="s">
        <v>1439</v>
      </c>
      <c r="C520">
        <v>6</v>
      </c>
      <c r="E520" t="s">
        <v>1440</v>
      </c>
    </row>
    <row r="521" spans="1:9" x14ac:dyDescent="0.3">
      <c r="A521" t="s">
        <v>1441</v>
      </c>
      <c r="B521" t="s">
        <v>1442</v>
      </c>
      <c r="C521">
        <v>6</v>
      </c>
      <c r="D521" t="s">
        <v>23</v>
      </c>
      <c r="E521" t="s">
        <v>108</v>
      </c>
    </row>
    <row r="522" spans="1:9" x14ac:dyDescent="0.3">
      <c r="A522" t="s">
        <v>1443</v>
      </c>
      <c r="B522" t="s">
        <v>1444</v>
      </c>
      <c r="C522">
        <v>1</v>
      </c>
      <c r="D522" t="s">
        <v>11</v>
      </c>
      <c r="E522" t="s">
        <v>1445</v>
      </c>
    </row>
    <row r="523" spans="1:9" x14ac:dyDescent="0.3">
      <c r="A523" t="s">
        <v>1446</v>
      </c>
      <c r="B523" t="s">
        <v>1447</v>
      </c>
      <c r="E523" t="s">
        <v>932</v>
      </c>
      <c r="I523" t="s">
        <v>1448</v>
      </c>
    </row>
    <row r="524" spans="1:9" x14ac:dyDescent="0.3">
      <c r="A524" t="s">
        <v>1449</v>
      </c>
      <c r="B524" t="s">
        <v>1450</v>
      </c>
      <c r="E524" t="s">
        <v>1451</v>
      </c>
      <c r="I524" t="s">
        <v>1452</v>
      </c>
    </row>
    <row r="525" spans="1:9" x14ac:dyDescent="0.3">
      <c r="A525" t="s">
        <v>1453</v>
      </c>
      <c r="B525" t="s">
        <v>1454</v>
      </c>
      <c r="C525">
        <v>1</v>
      </c>
      <c r="D525" t="s">
        <v>227</v>
      </c>
      <c r="E525" t="s">
        <v>728</v>
      </c>
    </row>
    <row r="526" spans="1:9" x14ac:dyDescent="0.3">
      <c r="A526" t="s">
        <v>1455</v>
      </c>
      <c r="B526" t="s">
        <v>1456</v>
      </c>
      <c r="C526">
        <v>1</v>
      </c>
      <c r="D526" t="s">
        <v>460</v>
      </c>
      <c r="E526" t="s">
        <v>1457</v>
      </c>
    </row>
    <row r="527" spans="1:9" x14ac:dyDescent="0.3">
      <c r="A527" t="s">
        <v>1458</v>
      </c>
      <c r="B527" t="s">
        <v>1459</v>
      </c>
      <c r="C527">
        <v>1</v>
      </c>
      <c r="D527" t="s">
        <v>23</v>
      </c>
      <c r="E527" t="s">
        <v>1460</v>
      </c>
      <c r="I527" t="s">
        <v>20</v>
      </c>
    </row>
    <row r="528" spans="1:9" x14ac:dyDescent="0.3">
      <c r="A528" t="s">
        <v>1461</v>
      </c>
      <c r="B528" t="s">
        <v>1462</v>
      </c>
      <c r="C528">
        <v>6</v>
      </c>
      <c r="D528" t="s">
        <v>71</v>
      </c>
      <c r="E528" t="s">
        <v>1463</v>
      </c>
    </row>
    <row r="529" spans="1:9" x14ac:dyDescent="0.3">
      <c r="A529" t="s">
        <v>1464</v>
      </c>
      <c r="B529" t="s">
        <v>1465</v>
      </c>
      <c r="C529">
        <v>1</v>
      </c>
      <c r="D529" t="s">
        <v>23</v>
      </c>
      <c r="E529" t="s">
        <v>1466</v>
      </c>
    </row>
    <row r="530" spans="1:9" x14ac:dyDescent="0.3">
      <c r="A530" t="s">
        <v>1467</v>
      </c>
      <c r="B530" t="s">
        <v>1468</v>
      </c>
      <c r="C530">
        <v>2</v>
      </c>
      <c r="D530" t="s">
        <v>91</v>
      </c>
      <c r="E530" t="s">
        <v>1469</v>
      </c>
      <c r="I530" t="s">
        <v>1470</v>
      </c>
    </row>
    <row r="531" spans="1:9" x14ac:dyDescent="0.3">
      <c r="A531" t="s">
        <v>1471</v>
      </c>
      <c r="B531" t="s">
        <v>1472</v>
      </c>
      <c r="C531">
        <v>1</v>
      </c>
      <c r="D531" t="s">
        <v>37</v>
      </c>
      <c r="E531" t="s">
        <v>1473</v>
      </c>
    </row>
    <row r="532" spans="1:9" x14ac:dyDescent="0.3">
      <c r="A532" t="s">
        <v>1474</v>
      </c>
      <c r="B532" t="s">
        <v>1475</v>
      </c>
      <c r="C532">
        <v>3</v>
      </c>
      <c r="D532" t="s">
        <v>176</v>
      </c>
      <c r="E532" t="s">
        <v>1476</v>
      </c>
    </row>
    <row r="533" spans="1:9" x14ac:dyDescent="0.3">
      <c r="A533" t="s">
        <v>1477</v>
      </c>
      <c r="B533" t="s">
        <v>1478</v>
      </c>
      <c r="C533">
        <v>0.25</v>
      </c>
      <c r="D533" t="s">
        <v>11</v>
      </c>
      <c r="E533" t="s">
        <v>1479</v>
      </c>
    </row>
    <row r="534" spans="1:9" x14ac:dyDescent="0.3">
      <c r="A534" t="s">
        <v>161</v>
      </c>
      <c r="B534" t="s">
        <v>1480</v>
      </c>
      <c r="C534">
        <v>0.75</v>
      </c>
      <c r="D534" t="s">
        <v>23</v>
      </c>
      <c r="E534" t="s">
        <v>233</v>
      </c>
      <c r="I534" t="s">
        <v>289</v>
      </c>
    </row>
    <row r="535" spans="1:9" x14ac:dyDescent="0.3">
      <c r="A535" t="s">
        <v>1481</v>
      </c>
      <c r="B535" t="s">
        <v>1482</v>
      </c>
      <c r="C535">
        <v>50</v>
      </c>
      <c r="D535" t="s">
        <v>29</v>
      </c>
      <c r="E535" t="s">
        <v>1483</v>
      </c>
    </row>
    <row r="536" spans="1:9" x14ac:dyDescent="0.3">
      <c r="A536" t="s">
        <v>1484</v>
      </c>
      <c r="B536" t="s">
        <v>1485</v>
      </c>
      <c r="C536">
        <v>0.75</v>
      </c>
      <c r="D536" t="s">
        <v>37</v>
      </c>
      <c r="E536" t="s">
        <v>160</v>
      </c>
      <c r="F536" t="s">
        <v>167</v>
      </c>
      <c r="G536" t="s">
        <v>168</v>
      </c>
    </row>
    <row r="537" spans="1:9" x14ac:dyDescent="0.3">
      <c r="A537" t="s">
        <v>1486</v>
      </c>
      <c r="B537" t="s">
        <v>1487</v>
      </c>
      <c r="C537">
        <v>1</v>
      </c>
      <c r="D537" t="s">
        <v>23</v>
      </c>
      <c r="E537" t="s">
        <v>1488</v>
      </c>
      <c r="I537" t="s">
        <v>1489</v>
      </c>
    </row>
    <row r="538" spans="1:9" x14ac:dyDescent="0.3">
      <c r="A538" t="s">
        <v>1490</v>
      </c>
      <c r="B538" t="s">
        <v>28</v>
      </c>
      <c r="C538">
        <v>25</v>
      </c>
      <c r="D538" t="s">
        <v>29</v>
      </c>
      <c r="E538" t="s">
        <v>30</v>
      </c>
    </row>
    <row r="539" spans="1:9" x14ac:dyDescent="0.3">
      <c r="A539" t="s">
        <v>1491</v>
      </c>
      <c r="B539" t="s">
        <v>1492</v>
      </c>
      <c r="C539">
        <v>1</v>
      </c>
      <c r="D539" t="s">
        <v>23</v>
      </c>
      <c r="E539" t="s">
        <v>1493</v>
      </c>
    </row>
    <row r="540" spans="1:9" x14ac:dyDescent="0.3">
      <c r="A540" t="s">
        <v>1494</v>
      </c>
      <c r="B540" t="s">
        <v>1495</v>
      </c>
      <c r="C540">
        <v>4</v>
      </c>
      <c r="D540" t="s">
        <v>91</v>
      </c>
      <c r="E540" t="s">
        <v>1496</v>
      </c>
    </row>
    <row r="541" spans="1:9" x14ac:dyDescent="0.3">
      <c r="A541" t="s">
        <v>1497</v>
      </c>
      <c r="B541" t="s">
        <v>953</v>
      </c>
      <c r="C541">
        <v>2</v>
      </c>
      <c r="D541" t="s">
        <v>23</v>
      </c>
      <c r="E541" t="s">
        <v>738</v>
      </c>
    </row>
    <row r="542" spans="1:9" x14ac:dyDescent="0.3">
      <c r="A542" t="s">
        <v>1498</v>
      </c>
      <c r="B542" t="s">
        <v>1499</v>
      </c>
      <c r="C542">
        <v>0.5</v>
      </c>
      <c r="D542" t="s">
        <v>50</v>
      </c>
      <c r="E542" t="s">
        <v>333</v>
      </c>
      <c r="I542">
        <v>1</v>
      </c>
    </row>
    <row r="543" spans="1:9" x14ac:dyDescent="0.3">
      <c r="A543" t="s">
        <v>1500</v>
      </c>
      <c r="B543" t="s">
        <v>1501</v>
      </c>
      <c r="C543">
        <v>1.5</v>
      </c>
      <c r="D543" t="s">
        <v>345</v>
      </c>
      <c r="E543" t="s">
        <v>529</v>
      </c>
      <c r="I543" t="s">
        <v>1502</v>
      </c>
    </row>
    <row r="544" spans="1:9" x14ac:dyDescent="0.3">
      <c r="A544" t="s">
        <v>1503</v>
      </c>
      <c r="B544" t="s">
        <v>1424</v>
      </c>
      <c r="C544">
        <v>2</v>
      </c>
      <c r="D544" t="s">
        <v>23</v>
      </c>
      <c r="E544" t="s">
        <v>516</v>
      </c>
    </row>
    <row r="545" spans="1:9" x14ac:dyDescent="0.3">
      <c r="A545" t="s">
        <v>1504</v>
      </c>
      <c r="B545" t="s">
        <v>1505</v>
      </c>
      <c r="C545">
        <v>0.5</v>
      </c>
      <c r="D545" t="s">
        <v>23</v>
      </c>
      <c r="E545" t="s">
        <v>1506</v>
      </c>
    </row>
    <row r="546" spans="1:9" x14ac:dyDescent="0.3">
      <c r="A546" t="s">
        <v>1507</v>
      </c>
      <c r="B546" t="s">
        <v>1508</v>
      </c>
      <c r="C546">
        <v>3</v>
      </c>
      <c r="D546" t="s">
        <v>23</v>
      </c>
      <c r="E546" t="s">
        <v>1509</v>
      </c>
    </row>
    <row r="547" spans="1:9" x14ac:dyDescent="0.3">
      <c r="A547" t="s">
        <v>1510</v>
      </c>
      <c r="B547" t="s">
        <v>1511</v>
      </c>
      <c r="E547" t="s">
        <v>413</v>
      </c>
      <c r="F547" t="s">
        <v>1512</v>
      </c>
      <c r="I547" t="s">
        <v>1513</v>
      </c>
    </row>
    <row r="548" spans="1:9" x14ac:dyDescent="0.3">
      <c r="A548" t="s">
        <v>1514</v>
      </c>
      <c r="B548" t="s">
        <v>1515</v>
      </c>
      <c r="C548">
        <v>50</v>
      </c>
      <c r="D548" t="s">
        <v>29</v>
      </c>
      <c r="E548" t="s">
        <v>281</v>
      </c>
      <c r="I548" t="s">
        <v>1516</v>
      </c>
    </row>
    <row r="549" spans="1:9" x14ac:dyDescent="0.3">
      <c r="A549" t="s">
        <v>1517</v>
      </c>
      <c r="B549" t="s">
        <v>1518</v>
      </c>
      <c r="C549">
        <v>0.75</v>
      </c>
      <c r="D549" t="s">
        <v>23</v>
      </c>
      <c r="E549" t="s">
        <v>979</v>
      </c>
      <c r="I549" t="s">
        <v>289</v>
      </c>
    </row>
    <row r="550" spans="1:9" x14ac:dyDescent="0.3">
      <c r="A550" t="s">
        <v>1275</v>
      </c>
      <c r="B550" t="s">
        <v>1519</v>
      </c>
      <c r="C550">
        <v>0.5</v>
      </c>
      <c r="D550" t="s">
        <v>37</v>
      </c>
      <c r="E550" t="s">
        <v>38</v>
      </c>
      <c r="F550" t="s">
        <v>167</v>
      </c>
      <c r="G550" t="s">
        <v>168</v>
      </c>
      <c r="I550" t="s">
        <v>325</v>
      </c>
    </row>
    <row r="551" spans="1:9" x14ac:dyDescent="0.3">
      <c r="A551" t="s">
        <v>1520</v>
      </c>
      <c r="B551" t="s">
        <v>1521</v>
      </c>
      <c r="C551">
        <v>0.25</v>
      </c>
      <c r="D551" t="s">
        <v>37</v>
      </c>
      <c r="E551" t="s">
        <v>1522</v>
      </c>
      <c r="I551" t="s">
        <v>1523</v>
      </c>
    </row>
    <row r="552" spans="1:9" x14ac:dyDescent="0.3">
      <c r="A552" t="s">
        <v>1524</v>
      </c>
      <c r="B552" t="s">
        <v>1525</v>
      </c>
      <c r="C552">
        <v>2</v>
      </c>
      <c r="D552" t="s">
        <v>176</v>
      </c>
      <c r="E552" t="s">
        <v>1526</v>
      </c>
    </row>
    <row r="553" spans="1:9" x14ac:dyDescent="0.3">
      <c r="A553" t="s">
        <v>1527</v>
      </c>
      <c r="B553" t="s">
        <v>1528</v>
      </c>
      <c r="C553">
        <v>0.25</v>
      </c>
      <c r="D553" t="s">
        <v>11</v>
      </c>
      <c r="E553" t="s">
        <v>112</v>
      </c>
    </row>
    <row r="554" spans="1:9" x14ac:dyDescent="0.3">
      <c r="A554" t="s">
        <v>1529</v>
      </c>
      <c r="B554" t="s">
        <v>1013</v>
      </c>
      <c r="C554">
        <v>1</v>
      </c>
      <c r="D554" t="s">
        <v>284</v>
      </c>
      <c r="E554" t="s">
        <v>413</v>
      </c>
      <c r="F554" t="s">
        <v>1014</v>
      </c>
    </row>
    <row r="555" spans="1:9" x14ac:dyDescent="0.3">
      <c r="A555" t="s">
        <v>1530</v>
      </c>
      <c r="B555" t="s">
        <v>1531</v>
      </c>
      <c r="C555">
        <v>10</v>
      </c>
      <c r="D555" t="s">
        <v>29</v>
      </c>
      <c r="E555" t="s">
        <v>1532</v>
      </c>
    </row>
    <row r="556" spans="1:9" x14ac:dyDescent="0.3">
      <c r="A556" t="s">
        <v>1533</v>
      </c>
      <c r="B556" t="s">
        <v>1534</v>
      </c>
      <c r="E556" t="s">
        <v>1534</v>
      </c>
    </row>
    <row r="557" spans="1:9" x14ac:dyDescent="0.3">
      <c r="A557" t="s">
        <v>1535</v>
      </c>
      <c r="B557" t="s">
        <v>1536</v>
      </c>
      <c r="C557">
        <v>0.25</v>
      </c>
      <c r="D557" t="s">
        <v>206</v>
      </c>
      <c r="E557" t="s">
        <v>1537</v>
      </c>
    </row>
    <row r="558" spans="1:9" x14ac:dyDescent="0.3">
      <c r="A558" t="s">
        <v>1538</v>
      </c>
      <c r="B558" t="s">
        <v>1539</v>
      </c>
      <c r="C558">
        <v>1</v>
      </c>
      <c r="D558" t="s">
        <v>23</v>
      </c>
      <c r="E558" t="s">
        <v>738</v>
      </c>
    </row>
    <row r="559" spans="1:9" x14ac:dyDescent="0.3">
      <c r="A559" t="s">
        <v>1540</v>
      </c>
      <c r="B559" t="s">
        <v>1002</v>
      </c>
      <c r="C559">
        <v>2</v>
      </c>
      <c r="D559" t="s">
        <v>23</v>
      </c>
      <c r="E559" t="s">
        <v>1003</v>
      </c>
    </row>
    <row r="560" spans="1:9" x14ac:dyDescent="0.3">
      <c r="A560" t="s">
        <v>1541</v>
      </c>
      <c r="B560" t="s">
        <v>1542</v>
      </c>
      <c r="C560">
        <v>1.5</v>
      </c>
      <c r="D560" t="s">
        <v>23</v>
      </c>
      <c r="E560" t="s">
        <v>1543</v>
      </c>
    </row>
    <row r="561" spans="1:9" x14ac:dyDescent="0.3">
      <c r="A561" t="s">
        <v>1544</v>
      </c>
      <c r="B561" t="s">
        <v>1545</v>
      </c>
      <c r="E561" t="s">
        <v>333</v>
      </c>
      <c r="F561" t="s">
        <v>1247</v>
      </c>
    </row>
    <row r="562" spans="1:9" x14ac:dyDescent="0.3">
      <c r="A562" t="s">
        <v>1546</v>
      </c>
      <c r="B562" t="s">
        <v>337</v>
      </c>
      <c r="C562">
        <v>1</v>
      </c>
      <c r="D562" t="s">
        <v>23</v>
      </c>
      <c r="E562" t="s">
        <v>338</v>
      </c>
    </row>
    <row r="563" spans="1:9" x14ac:dyDescent="0.3">
      <c r="A563" t="s">
        <v>293</v>
      </c>
      <c r="B563" t="s">
        <v>1547</v>
      </c>
      <c r="C563">
        <v>0.25</v>
      </c>
      <c r="D563" t="s">
        <v>37</v>
      </c>
      <c r="E563" t="s">
        <v>160</v>
      </c>
      <c r="F563" t="s">
        <v>167</v>
      </c>
      <c r="G563" t="s">
        <v>168</v>
      </c>
      <c r="I563" t="s">
        <v>325</v>
      </c>
    </row>
    <row r="564" spans="1:9" x14ac:dyDescent="0.3">
      <c r="A564" t="s">
        <v>1548</v>
      </c>
      <c r="B564" t="s">
        <v>1549</v>
      </c>
      <c r="C564">
        <v>3</v>
      </c>
      <c r="D564" t="s">
        <v>176</v>
      </c>
      <c r="E564" t="s">
        <v>1550</v>
      </c>
    </row>
    <row r="565" spans="1:9" x14ac:dyDescent="0.3">
      <c r="A565" t="s">
        <v>1551</v>
      </c>
      <c r="B565" t="s">
        <v>1552</v>
      </c>
      <c r="C565">
        <v>2</v>
      </c>
      <c r="D565" t="s">
        <v>1553</v>
      </c>
      <c r="E565" t="s">
        <v>75</v>
      </c>
    </row>
    <row r="566" spans="1:9" x14ac:dyDescent="0.3">
      <c r="A566" t="s">
        <v>1554</v>
      </c>
      <c r="B566" t="s">
        <v>1555</v>
      </c>
      <c r="C566">
        <v>1</v>
      </c>
      <c r="D566" t="s">
        <v>206</v>
      </c>
      <c r="E566" t="s">
        <v>81</v>
      </c>
    </row>
    <row r="567" spans="1:9" x14ac:dyDescent="0.3">
      <c r="A567" t="s">
        <v>1556</v>
      </c>
      <c r="B567" t="s">
        <v>1557</v>
      </c>
      <c r="C567">
        <v>2</v>
      </c>
      <c r="D567" t="s">
        <v>23</v>
      </c>
      <c r="E567" t="s">
        <v>1558</v>
      </c>
    </row>
    <row r="568" spans="1:9" x14ac:dyDescent="0.3">
      <c r="A568" t="s">
        <v>1559</v>
      </c>
      <c r="B568" t="s">
        <v>1560</v>
      </c>
      <c r="C568">
        <v>3</v>
      </c>
      <c r="E568" t="s">
        <v>1561</v>
      </c>
      <c r="I568" t="s">
        <v>248</v>
      </c>
    </row>
    <row r="569" spans="1:9" x14ac:dyDescent="0.3">
      <c r="A569" t="s">
        <v>1562</v>
      </c>
      <c r="B569" t="s">
        <v>1563</v>
      </c>
      <c r="C569">
        <v>0.5</v>
      </c>
      <c r="D569" t="s">
        <v>11</v>
      </c>
      <c r="E569" t="s">
        <v>1564</v>
      </c>
      <c r="I569" t="s">
        <v>1565</v>
      </c>
    </row>
    <row r="570" spans="1:9" x14ac:dyDescent="0.3">
      <c r="A570" t="s">
        <v>1566</v>
      </c>
      <c r="B570" t="s">
        <v>1567</v>
      </c>
      <c r="C570">
        <v>3</v>
      </c>
      <c r="D570" t="s">
        <v>1212</v>
      </c>
      <c r="E570" t="s">
        <v>1568</v>
      </c>
    </row>
    <row r="571" spans="1:9" x14ac:dyDescent="0.3">
      <c r="A571" t="s">
        <v>1569</v>
      </c>
      <c r="B571" t="s">
        <v>1570</v>
      </c>
      <c r="E571" t="s">
        <v>413</v>
      </c>
      <c r="F571" t="s">
        <v>1571</v>
      </c>
      <c r="I571" t="s">
        <v>1572</v>
      </c>
    </row>
    <row r="572" spans="1:9" x14ac:dyDescent="0.3">
      <c r="A572" t="s">
        <v>1573</v>
      </c>
      <c r="B572" t="s">
        <v>1574</v>
      </c>
      <c r="C572">
        <v>10.5</v>
      </c>
      <c r="D572" t="s">
        <v>11</v>
      </c>
      <c r="E572" t="s">
        <v>781</v>
      </c>
    </row>
    <row r="573" spans="1:9" x14ac:dyDescent="0.3">
      <c r="A573" t="s">
        <v>1575</v>
      </c>
      <c r="B573" t="s">
        <v>1576</v>
      </c>
      <c r="C573" t="s">
        <v>1577</v>
      </c>
      <c r="D573" t="s">
        <v>835</v>
      </c>
      <c r="E573" t="s">
        <v>1578</v>
      </c>
      <c r="I573" t="s">
        <v>1579</v>
      </c>
    </row>
    <row r="574" spans="1:9" x14ac:dyDescent="0.3">
      <c r="A574" t="s">
        <v>1580</v>
      </c>
      <c r="B574" t="s">
        <v>1581</v>
      </c>
      <c r="C574">
        <v>2</v>
      </c>
      <c r="D574" t="s">
        <v>23</v>
      </c>
      <c r="E574" t="s">
        <v>1582</v>
      </c>
    </row>
    <row r="575" spans="1:9" x14ac:dyDescent="0.3">
      <c r="A575" t="s">
        <v>1583</v>
      </c>
      <c r="B575" t="s">
        <v>1584</v>
      </c>
      <c r="C575">
        <v>35</v>
      </c>
      <c r="D575" t="s">
        <v>29</v>
      </c>
      <c r="E575" t="s">
        <v>311</v>
      </c>
    </row>
    <row r="576" spans="1:9" x14ac:dyDescent="0.3">
      <c r="A576" t="s">
        <v>1585</v>
      </c>
      <c r="B576" t="s">
        <v>725</v>
      </c>
      <c r="C576">
        <v>1</v>
      </c>
      <c r="D576" t="s">
        <v>585</v>
      </c>
      <c r="E576" t="s">
        <v>1586</v>
      </c>
      <c r="I576" t="s">
        <v>248</v>
      </c>
    </row>
    <row r="577" spans="1:9" x14ac:dyDescent="0.3">
      <c r="A577" t="s">
        <v>1587</v>
      </c>
      <c r="B577" t="s">
        <v>1588</v>
      </c>
      <c r="C577">
        <v>3</v>
      </c>
      <c r="D577" t="s">
        <v>23</v>
      </c>
      <c r="E577" t="s">
        <v>1589</v>
      </c>
    </row>
    <row r="578" spans="1:9" x14ac:dyDescent="0.3">
      <c r="A578" t="s">
        <v>1590</v>
      </c>
      <c r="B578" t="s">
        <v>1591</v>
      </c>
      <c r="C578">
        <v>0.5</v>
      </c>
      <c r="D578" t="s">
        <v>206</v>
      </c>
      <c r="E578" t="s">
        <v>1009</v>
      </c>
    </row>
    <row r="579" spans="1:9" x14ac:dyDescent="0.3">
      <c r="A579" t="s">
        <v>1592</v>
      </c>
      <c r="B579" t="s">
        <v>1593</v>
      </c>
      <c r="C579">
        <v>0.25</v>
      </c>
      <c r="D579" t="s">
        <v>227</v>
      </c>
      <c r="E579" t="s">
        <v>1594</v>
      </c>
    </row>
    <row r="580" spans="1:9" x14ac:dyDescent="0.3">
      <c r="A580" t="s">
        <v>1595</v>
      </c>
      <c r="B580" t="s">
        <v>1596</v>
      </c>
      <c r="C580">
        <v>1</v>
      </c>
      <c r="D580" t="s">
        <v>18</v>
      </c>
      <c r="E580" t="s">
        <v>190</v>
      </c>
    </row>
    <row r="581" spans="1:9" x14ac:dyDescent="0.3">
      <c r="A581" t="s">
        <v>1597</v>
      </c>
      <c r="B581" t="s">
        <v>1598</v>
      </c>
      <c r="C581">
        <v>2</v>
      </c>
      <c r="D581" t="s">
        <v>23</v>
      </c>
      <c r="E581" t="s">
        <v>1030</v>
      </c>
      <c r="I581" t="s">
        <v>289</v>
      </c>
    </row>
    <row r="582" spans="1:9" x14ac:dyDescent="0.3">
      <c r="A582" t="s">
        <v>1599</v>
      </c>
      <c r="B582" t="s">
        <v>1600</v>
      </c>
      <c r="E582" t="s">
        <v>1601</v>
      </c>
      <c r="I582" t="s">
        <v>1602</v>
      </c>
    </row>
    <row r="583" spans="1:9" x14ac:dyDescent="0.3">
      <c r="A583" t="s">
        <v>1603</v>
      </c>
      <c r="B583" t="s">
        <v>1604</v>
      </c>
      <c r="C583">
        <v>0.5</v>
      </c>
      <c r="D583" t="s">
        <v>23</v>
      </c>
      <c r="E583" t="s">
        <v>30</v>
      </c>
    </row>
    <row r="584" spans="1:9" x14ac:dyDescent="0.3">
      <c r="A584" t="s">
        <v>1605</v>
      </c>
      <c r="B584" t="s">
        <v>1606</v>
      </c>
      <c r="C584">
        <v>1</v>
      </c>
      <c r="D584" t="s">
        <v>23</v>
      </c>
      <c r="E584" t="s">
        <v>1607</v>
      </c>
    </row>
    <row r="585" spans="1:9" x14ac:dyDescent="0.3">
      <c r="A585" t="s">
        <v>1608</v>
      </c>
      <c r="B585" t="s">
        <v>1609</v>
      </c>
      <c r="D585" t="s">
        <v>151</v>
      </c>
      <c r="E585" t="s">
        <v>1568</v>
      </c>
    </row>
    <row r="586" spans="1:9" x14ac:dyDescent="0.3">
      <c r="A586" t="s">
        <v>1610</v>
      </c>
      <c r="B586" t="s">
        <v>1611</v>
      </c>
      <c r="C586">
        <v>0.75</v>
      </c>
      <c r="D586" t="s">
        <v>37</v>
      </c>
      <c r="E586" t="s">
        <v>160</v>
      </c>
    </row>
    <row r="587" spans="1:9" x14ac:dyDescent="0.3">
      <c r="A587" t="s">
        <v>1612</v>
      </c>
      <c r="B587" t="s">
        <v>1613</v>
      </c>
      <c r="C587">
        <v>12</v>
      </c>
      <c r="D587" t="s">
        <v>91</v>
      </c>
      <c r="E587" t="s">
        <v>1614</v>
      </c>
    </row>
    <row r="588" spans="1:9" x14ac:dyDescent="0.3">
      <c r="A588" t="s">
        <v>1615</v>
      </c>
      <c r="B588" t="s">
        <v>337</v>
      </c>
      <c r="C588">
        <v>1</v>
      </c>
      <c r="D588" t="s">
        <v>23</v>
      </c>
      <c r="E588" t="s">
        <v>338</v>
      </c>
    </row>
    <row r="589" spans="1:9" x14ac:dyDescent="0.3">
      <c r="A589" t="s">
        <v>1616</v>
      </c>
      <c r="B589" t="s">
        <v>1179</v>
      </c>
      <c r="C589">
        <v>1</v>
      </c>
      <c r="D589" t="s">
        <v>23</v>
      </c>
      <c r="E589" t="s">
        <v>233</v>
      </c>
    </row>
    <row r="590" spans="1:9" x14ac:dyDescent="0.3">
      <c r="A590" t="s">
        <v>1617</v>
      </c>
      <c r="B590" t="s">
        <v>1618</v>
      </c>
      <c r="C590">
        <v>1</v>
      </c>
      <c r="D590" t="s">
        <v>23</v>
      </c>
      <c r="E590" t="s">
        <v>1619</v>
      </c>
    </row>
    <row r="591" spans="1:9" x14ac:dyDescent="0.3">
      <c r="A591" t="s">
        <v>1620</v>
      </c>
      <c r="B591" t="s">
        <v>1621</v>
      </c>
      <c r="C591">
        <v>2</v>
      </c>
      <c r="D591" t="s">
        <v>23</v>
      </c>
      <c r="E591" t="s">
        <v>1463</v>
      </c>
    </row>
    <row r="592" spans="1:9" x14ac:dyDescent="0.3">
      <c r="A592" t="s">
        <v>1622</v>
      </c>
      <c r="B592" t="s">
        <v>499</v>
      </c>
      <c r="C592">
        <v>1</v>
      </c>
      <c r="D592" t="s">
        <v>23</v>
      </c>
      <c r="E592" t="s">
        <v>500</v>
      </c>
    </row>
    <row r="593" spans="1:9" x14ac:dyDescent="0.3">
      <c r="A593" t="s">
        <v>1623</v>
      </c>
      <c r="B593" t="s">
        <v>1624</v>
      </c>
      <c r="C593">
        <v>0.5</v>
      </c>
      <c r="D593" t="s">
        <v>37</v>
      </c>
      <c r="E593" t="s">
        <v>1537</v>
      </c>
    </row>
    <row r="594" spans="1:9" x14ac:dyDescent="0.3">
      <c r="A594" t="s">
        <v>1625</v>
      </c>
      <c r="B594" t="s">
        <v>333</v>
      </c>
      <c r="E594" t="s">
        <v>333</v>
      </c>
    </row>
    <row r="595" spans="1:9" x14ac:dyDescent="0.3">
      <c r="A595" t="s">
        <v>1122</v>
      </c>
      <c r="B595" t="s">
        <v>1626</v>
      </c>
      <c r="C595">
        <v>1</v>
      </c>
      <c r="D595" t="s">
        <v>11</v>
      </c>
      <c r="E595" t="s">
        <v>1627</v>
      </c>
      <c r="I595" t="s">
        <v>1628</v>
      </c>
    </row>
    <row r="596" spans="1:9" x14ac:dyDescent="0.3">
      <c r="A596" t="s">
        <v>1629</v>
      </c>
      <c r="B596" t="s">
        <v>1630</v>
      </c>
      <c r="C596">
        <v>10</v>
      </c>
      <c r="D596" t="s">
        <v>29</v>
      </c>
      <c r="E596" t="s">
        <v>936</v>
      </c>
    </row>
    <row r="597" spans="1:9" x14ac:dyDescent="0.3">
      <c r="A597" t="s">
        <v>1631</v>
      </c>
      <c r="B597" t="s">
        <v>1632</v>
      </c>
      <c r="C597">
        <v>1</v>
      </c>
      <c r="D597" t="s">
        <v>37</v>
      </c>
      <c r="E597" t="s">
        <v>1633</v>
      </c>
    </row>
    <row r="598" spans="1:9" x14ac:dyDescent="0.3">
      <c r="A598" t="s">
        <v>181</v>
      </c>
      <c r="B598" t="s">
        <v>1634</v>
      </c>
      <c r="D598" t="s">
        <v>60</v>
      </c>
      <c r="E598" t="s">
        <v>1635</v>
      </c>
    </row>
    <row r="599" spans="1:9" x14ac:dyDescent="0.3">
      <c r="A599" t="s">
        <v>1636</v>
      </c>
      <c r="B599" t="s">
        <v>1637</v>
      </c>
      <c r="C599">
        <v>10</v>
      </c>
      <c r="D599" t="s">
        <v>29</v>
      </c>
      <c r="E599" t="s">
        <v>1638</v>
      </c>
    </row>
    <row r="600" spans="1:9" x14ac:dyDescent="0.3">
      <c r="A600" t="s">
        <v>1639</v>
      </c>
      <c r="B600" t="s">
        <v>1640</v>
      </c>
      <c r="C600">
        <v>50</v>
      </c>
      <c r="D600" t="s">
        <v>29</v>
      </c>
      <c r="E600" t="s">
        <v>1641</v>
      </c>
    </row>
    <row r="601" spans="1:9" x14ac:dyDescent="0.3">
      <c r="A601" t="s">
        <v>1500</v>
      </c>
      <c r="B601" t="s">
        <v>1611</v>
      </c>
      <c r="C601">
        <v>0.75</v>
      </c>
      <c r="D601" t="s">
        <v>37</v>
      </c>
      <c r="E601" t="s">
        <v>160</v>
      </c>
    </row>
    <row r="602" spans="1:9" x14ac:dyDescent="0.3">
      <c r="A602" t="s">
        <v>1642</v>
      </c>
      <c r="B602" t="s">
        <v>1643</v>
      </c>
      <c r="E602" t="s">
        <v>1644</v>
      </c>
      <c r="I602" t="s">
        <v>1146</v>
      </c>
    </row>
    <row r="603" spans="1:9" x14ac:dyDescent="0.3">
      <c r="A603" t="s">
        <v>1645</v>
      </c>
      <c r="B603" t="s">
        <v>1646</v>
      </c>
      <c r="C603">
        <v>1.5</v>
      </c>
      <c r="D603" t="s">
        <v>23</v>
      </c>
      <c r="E603" t="s">
        <v>1647</v>
      </c>
    </row>
    <row r="604" spans="1:9" x14ac:dyDescent="0.3">
      <c r="A604" t="s">
        <v>1648</v>
      </c>
      <c r="B604" t="s">
        <v>1649</v>
      </c>
      <c r="C604" t="s">
        <v>1650</v>
      </c>
      <c r="D604" t="s">
        <v>71</v>
      </c>
      <c r="E604" t="s">
        <v>1651</v>
      </c>
      <c r="I604" t="s">
        <v>1652</v>
      </c>
    </row>
    <row r="605" spans="1:9" x14ac:dyDescent="0.3">
      <c r="A605" t="s">
        <v>1653</v>
      </c>
      <c r="B605" t="s">
        <v>1654</v>
      </c>
      <c r="C605">
        <v>12.5</v>
      </c>
      <c r="D605" t="s">
        <v>29</v>
      </c>
      <c r="E605" t="s">
        <v>88</v>
      </c>
    </row>
    <row r="606" spans="1:9" x14ac:dyDescent="0.3">
      <c r="A606" t="s">
        <v>1655</v>
      </c>
      <c r="B606" t="s">
        <v>1656</v>
      </c>
      <c r="C606">
        <v>2</v>
      </c>
      <c r="D606" t="s">
        <v>23</v>
      </c>
      <c r="E606" t="s">
        <v>1589</v>
      </c>
    </row>
    <row r="607" spans="1:9" x14ac:dyDescent="0.3">
      <c r="A607" t="s">
        <v>1657</v>
      </c>
      <c r="B607" t="s">
        <v>580</v>
      </c>
      <c r="C607">
        <v>8</v>
      </c>
      <c r="D607" t="s">
        <v>23</v>
      </c>
      <c r="E607" t="s">
        <v>1658</v>
      </c>
      <c r="H607" t="s">
        <v>582</v>
      </c>
    </row>
    <row r="608" spans="1:9" x14ac:dyDescent="0.3">
      <c r="A608" t="s">
        <v>1659</v>
      </c>
      <c r="B608" t="s">
        <v>1660</v>
      </c>
      <c r="C608">
        <v>1</v>
      </c>
      <c r="D608" t="s">
        <v>23</v>
      </c>
      <c r="E608" t="s">
        <v>95</v>
      </c>
      <c r="I608" t="s">
        <v>1661</v>
      </c>
    </row>
    <row r="609" spans="1:9" x14ac:dyDescent="0.3">
      <c r="A609" t="s">
        <v>1662</v>
      </c>
      <c r="B609" t="s">
        <v>1663</v>
      </c>
      <c r="C609">
        <v>1.5</v>
      </c>
      <c r="D609" t="s">
        <v>227</v>
      </c>
      <c r="E609" t="s">
        <v>51</v>
      </c>
    </row>
    <row r="610" spans="1:9" x14ac:dyDescent="0.3">
      <c r="A610" t="s">
        <v>1664</v>
      </c>
      <c r="B610" t="s">
        <v>1665</v>
      </c>
      <c r="C610">
        <v>15</v>
      </c>
      <c r="D610" t="s">
        <v>29</v>
      </c>
      <c r="E610" t="s">
        <v>1666</v>
      </c>
    </row>
    <row r="611" spans="1:9" x14ac:dyDescent="0.3">
      <c r="A611" t="s">
        <v>1667</v>
      </c>
      <c r="B611" t="s">
        <v>1668</v>
      </c>
      <c r="C611">
        <v>3</v>
      </c>
      <c r="D611" t="s">
        <v>23</v>
      </c>
      <c r="E611" t="s">
        <v>1209</v>
      </c>
    </row>
    <row r="612" spans="1:9" x14ac:dyDescent="0.3">
      <c r="A612" t="s">
        <v>1669</v>
      </c>
      <c r="B612" t="s">
        <v>1670</v>
      </c>
      <c r="C612">
        <v>1</v>
      </c>
      <c r="D612" t="s">
        <v>1671</v>
      </c>
      <c r="E612" t="s">
        <v>163</v>
      </c>
      <c r="I612" t="s">
        <v>248</v>
      </c>
    </row>
    <row r="613" spans="1:9" x14ac:dyDescent="0.3">
      <c r="A613" t="s">
        <v>1672</v>
      </c>
      <c r="B613" t="s">
        <v>1673</v>
      </c>
      <c r="C613">
        <v>15</v>
      </c>
      <c r="D613" t="s">
        <v>29</v>
      </c>
      <c r="E613" t="s">
        <v>1674</v>
      </c>
    </row>
    <row r="614" spans="1:9" x14ac:dyDescent="0.3">
      <c r="A614" t="s">
        <v>1012</v>
      </c>
      <c r="B614" t="s">
        <v>1675</v>
      </c>
      <c r="C614">
        <v>0.5</v>
      </c>
      <c r="D614" t="s">
        <v>11</v>
      </c>
      <c r="E614" t="s">
        <v>857</v>
      </c>
    </row>
    <row r="615" spans="1:9" x14ac:dyDescent="0.3">
      <c r="A615" t="s">
        <v>1676</v>
      </c>
      <c r="B615" t="s">
        <v>1055</v>
      </c>
      <c r="C615">
        <v>1</v>
      </c>
      <c r="D615" t="s">
        <v>585</v>
      </c>
      <c r="E615" t="s">
        <v>1056</v>
      </c>
      <c r="I615" t="s">
        <v>248</v>
      </c>
    </row>
    <row r="616" spans="1:9" x14ac:dyDescent="0.3">
      <c r="A616" t="s">
        <v>1677</v>
      </c>
      <c r="B616" t="s">
        <v>1678</v>
      </c>
      <c r="C616">
        <v>0.75</v>
      </c>
      <c r="D616" t="s">
        <v>23</v>
      </c>
      <c r="E616" t="s">
        <v>487</v>
      </c>
    </row>
    <row r="617" spans="1:9" x14ac:dyDescent="0.3">
      <c r="A617" t="s">
        <v>1679</v>
      </c>
      <c r="B617" t="s">
        <v>1680</v>
      </c>
      <c r="C617">
        <v>0.5</v>
      </c>
      <c r="D617" t="s">
        <v>23</v>
      </c>
      <c r="E617" t="s">
        <v>1681</v>
      </c>
    </row>
    <row r="618" spans="1:9" x14ac:dyDescent="0.3">
      <c r="A618" t="s">
        <v>1682</v>
      </c>
      <c r="B618" t="s">
        <v>1683</v>
      </c>
      <c r="C618">
        <v>1</v>
      </c>
      <c r="E618" t="s">
        <v>1684</v>
      </c>
    </row>
    <row r="619" spans="1:9" x14ac:dyDescent="0.3">
      <c r="A619" t="s">
        <v>1685</v>
      </c>
      <c r="B619" t="s">
        <v>1686</v>
      </c>
      <c r="C619">
        <v>1</v>
      </c>
      <c r="D619" t="s">
        <v>426</v>
      </c>
      <c r="E619" t="s">
        <v>1687</v>
      </c>
    </row>
    <row r="620" spans="1:9" x14ac:dyDescent="0.3">
      <c r="A620" t="s">
        <v>1688</v>
      </c>
      <c r="B620" t="s">
        <v>738</v>
      </c>
      <c r="E620" t="s">
        <v>738</v>
      </c>
    </row>
    <row r="621" spans="1:9" x14ac:dyDescent="0.3">
      <c r="A621" t="s">
        <v>1689</v>
      </c>
      <c r="B621" t="s">
        <v>1690</v>
      </c>
      <c r="C621">
        <v>2</v>
      </c>
      <c r="D621" t="s">
        <v>23</v>
      </c>
      <c r="E621" t="s">
        <v>1009</v>
      </c>
      <c r="I621" t="s">
        <v>289</v>
      </c>
    </row>
    <row r="622" spans="1:9" x14ac:dyDescent="0.3">
      <c r="A622" t="s">
        <v>1691</v>
      </c>
      <c r="B622" t="s">
        <v>1692</v>
      </c>
      <c r="C622">
        <v>0.75</v>
      </c>
      <c r="D622" t="s">
        <v>11</v>
      </c>
      <c r="E622" t="s">
        <v>423</v>
      </c>
    </row>
    <row r="623" spans="1:9" x14ac:dyDescent="0.3">
      <c r="A623" t="s">
        <v>1693</v>
      </c>
      <c r="B623" t="s">
        <v>1694</v>
      </c>
      <c r="C623">
        <v>12</v>
      </c>
      <c r="E623" t="s">
        <v>950</v>
      </c>
    </row>
    <row r="624" spans="1:9" x14ac:dyDescent="0.3">
      <c r="A624" t="s">
        <v>1695</v>
      </c>
      <c r="B624" t="s">
        <v>51</v>
      </c>
      <c r="E624" t="s">
        <v>51</v>
      </c>
    </row>
    <row r="625" spans="1:9" x14ac:dyDescent="0.3">
      <c r="A625" t="s">
        <v>1696</v>
      </c>
      <c r="B625" t="s">
        <v>1694</v>
      </c>
      <c r="C625">
        <v>12</v>
      </c>
      <c r="E625" t="s">
        <v>950</v>
      </c>
    </row>
    <row r="626" spans="1:9" x14ac:dyDescent="0.3">
      <c r="A626" t="s">
        <v>1697</v>
      </c>
      <c r="B626" t="s">
        <v>1698</v>
      </c>
      <c r="C626">
        <v>0.75</v>
      </c>
      <c r="D626" t="s">
        <v>23</v>
      </c>
      <c r="E626" t="s">
        <v>1506</v>
      </c>
    </row>
    <row r="627" spans="1:9" x14ac:dyDescent="0.3">
      <c r="A627" t="s">
        <v>1699</v>
      </c>
      <c r="B627" t="s">
        <v>1700</v>
      </c>
      <c r="C627">
        <v>1</v>
      </c>
      <c r="D627" t="s">
        <v>23</v>
      </c>
      <c r="E627" t="s">
        <v>1701</v>
      </c>
      <c r="I627" t="s">
        <v>1702</v>
      </c>
    </row>
    <row r="628" spans="1:9" x14ac:dyDescent="0.3">
      <c r="A628" t="s">
        <v>1703</v>
      </c>
      <c r="B628" t="s">
        <v>1704</v>
      </c>
      <c r="C628">
        <v>0.5</v>
      </c>
      <c r="D628" t="s">
        <v>23</v>
      </c>
      <c r="E628" t="s">
        <v>880</v>
      </c>
    </row>
    <row r="629" spans="1:9" x14ac:dyDescent="0.3">
      <c r="A629" t="s">
        <v>1705</v>
      </c>
      <c r="B629" t="s">
        <v>1706</v>
      </c>
      <c r="C629">
        <v>1</v>
      </c>
      <c r="D629" t="s">
        <v>11</v>
      </c>
      <c r="E629" t="s">
        <v>793</v>
      </c>
    </row>
    <row r="630" spans="1:9" x14ac:dyDescent="0.3">
      <c r="A630" t="s">
        <v>1707</v>
      </c>
      <c r="B630" t="s">
        <v>233</v>
      </c>
      <c r="E630" t="s">
        <v>233</v>
      </c>
    </row>
    <row r="631" spans="1:9" x14ac:dyDescent="0.3">
      <c r="A631" t="s">
        <v>724</v>
      </c>
      <c r="B631" t="s">
        <v>1708</v>
      </c>
      <c r="C631">
        <v>0.33</v>
      </c>
      <c r="D631" t="s">
        <v>23</v>
      </c>
      <c r="E631" t="s">
        <v>1709</v>
      </c>
    </row>
    <row r="632" spans="1:9" x14ac:dyDescent="0.3">
      <c r="A632" t="s">
        <v>1710</v>
      </c>
      <c r="B632" t="s">
        <v>1711</v>
      </c>
      <c r="C632">
        <v>0.75</v>
      </c>
      <c r="D632" t="s">
        <v>23</v>
      </c>
      <c r="E632" t="s">
        <v>81</v>
      </c>
    </row>
    <row r="633" spans="1:9" x14ac:dyDescent="0.3">
      <c r="A633" t="s">
        <v>1712</v>
      </c>
      <c r="B633" t="s">
        <v>51</v>
      </c>
      <c r="E633" t="s">
        <v>51</v>
      </c>
    </row>
    <row r="634" spans="1:9" x14ac:dyDescent="0.3">
      <c r="A634" t="s">
        <v>1713</v>
      </c>
      <c r="B634" t="s">
        <v>1714</v>
      </c>
      <c r="C634">
        <v>1</v>
      </c>
      <c r="D634" t="s">
        <v>23</v>
      </c>
      <c r="E634" t="s">
        <v>1715</v>
      </c>
    </row>
    <row r="635" spans="1:9" x14ac:dyDescent="0.3">
      <c r="A635" t="s">
        <v>1716</v>
      </c>
      <c r="B635" t="s">
        <v>1717</v>
      </c>
      <c r="C635">
        <v>9</v>
      </c>
      <c r="D635" t="s">
        <v>23</v>
      </c>
      <c r="E635" t="s">
        <v>1718</v>
      </c>
    </row>
    <row r="636" spans="1:9" x14ac:dyDescent="0.3">
      <c r="A636" t="s">
        <v>1719</v>
      </c>
      <c r="B636" t="s">
        <v>1720</v>
      </c>
      <c r="C636">
        <v>1</v>
      </c>
      <c r="D636" t="s">
        <v>37</v>
      </c>
      <c r="E636" t="s">
        <v>41</v>
      </c>
    </row>
    <row r="637" spans="1:9" x14ac:dyDescent="0.3">
      <c r="A637" t="s">
        <v>1721</v>
      </c>
      <c r="B637" t="s">
        <v>1722</v>
      </c>
      <c r="D637" t="s">
        <v>236</v>
      </c>
      <c r="E637" t="s">
        <v>237</v>
      </c>
      <c r="G637" t="s">
        <v>1723</v>
      </c>
      <c r="I637" t="s">
        <v>1124</v>
      </c>
    </row>
    <row r="638" spans="1:9" x14ac:dyDescent="0.3">
      <c r="A638" t="s">
        <v>1724</v>
      </c>
      <c r="B638" t="s">
        <v>607</v>
      </c>
      <c r="C638">
        <v>0.5</v>
      </c>
      <c r="D638" t="s">
        <v>23</v>
      </c>
      <c r="E638" t="s">
        <v>292</v>
      </c>
    </row>
    <row r="639" spans="1:9" x14ac:dyDescent="0.3">
      <c r="A639" t="s">
        <v>1725</v>
      </c>
      <c r="B639" t="s">
        <v>1726</v>
      </c>
      <c r="C639">
        <v>0.5</v>
      </c>
      <c r="D639" t="s">
        <v>23</v>
      </c>
      <c r="E639" t="s">
        <v>95</v>
      </c>
    </row>
    <row r="640" spans="1:9" x14ac:dyDescent="0.3">
      <c r="A640" t="s">
        <v>1727</v>
      </c>
      <c r="B640" t="s">
        <v>1728</v>
      </c>
      <c r="C640">
        <v>0.75</v>
      </c>
      <c r="D640" t="s">
        <v>23</v>
      </c>
      <c r="E640" t="s">
        <v>183</v>
      </c>
    </row>
    <row r="641" spans="1:9" x14ac:dyDescent="0.3">
      <c r="A641" t="s">
        <v>1729</v>
      </c>
      <c r="B641" t="s">
        <v>1730</v>
      </c>
      <c r="C641">
        <v>0.25</v>
      </c>
      <c r="E641" t="s">
        <v>1731</v>
      </c>
    </row>
    <row r="642" spans="1:9" x14ac:dyDescent="0.3">
      <c r="A642" t="s">
        <v>1732</v>
      </c>
      <c r="B642" t="s">
        <v>1733</v>
      </c>
      <c r="C642">
        <v>1</v>
      </c>
      <c r="D642" t="s">
        <v>151</v>
      </c>
      <c r="E642" t="s">
        <v>152</v>
      </c>
    </row>
    <row r="643" spans="1:9" x14ac:dyDescent="0.3">
      <c r="A643" t="s">
        <v>1734</v>
      </c>
      <c r="B643" t="s">
        <v>1735</v>
      </c>
      <c r="C643">
        <v>1.5</v>
      </c>
      <c r="D643" t="s">
        <v>345</v>
      </c>
      <c r="E643" t="s">
        <v>1416</v>
      </c>
    </row>
    <row r="644" spans="1:9" x14ac:dyDescent="0.3">
      <c r="A644" t="s">
        <v>1736</v>
      </c>
      <c r="B644" t="s">
        <v>1737</v>
      </c>
      <c r="C644">
        <v>2</v>
      </c>
      <c r="D644" t="s">
        <v>23</v>
      </c>
      <c r="E644" t="s">
        <v>320</v>
      </c>
    </row>
    <row r="645" spans="1:9" x14ac:dyDescent="0.3">
      <c r="A645" t="s">
        <v>1738</v>
      </c>
      <c r="B645" t="s">
        <v>1739</v>
      </c>
      <c r="E645" t="s">
        <v>1739</v>
      </c>
    </row>
    <row r="646" spans="1:9" x14ac:dyDescent="0.3">
      <c r="A646" t="s">
        <v>1740</v>
      </c>
      <c r="B646" t="s">
        <v>1741</v>
      </c>
      <c r="C646">
        <v>60</v>
      </c>
      <c r="D646" t="s">
        <v>29</v>
      </c>
      <c r="E646" t="s">
        <v>738</v>
      </c>
    </row>
    <row r="647" spans="1:9" x14ac:dyDescent="0.3">
      <c r="A647" t="s">
        <v>1742</v>
      </c>
      <c r="B647" t="s">
        <v>1743</v>
      </c>
      <c r="C647">
        <v>3</v>
      </c>
      <c r="D647" t="s">
        <v>189</v>
      </c>
      <c r="E647" t="s">
        <v>1744</v>
      </c>
    </row>
    <row r="648" spans="1:9" x14ac:dyDescent="0.3">
      <c r="A648" t="s">
        <v>1745</v>
      </c>
      <c r="B648" t="s">
        <v>1173</v>
      </c>
      <c r="E648" t="s">
        <v>1173</v>
      </c>
    </row>
    <row r="649" spans="1:9" x14ac:dyDescent="0.3">
      <c r="A649" t="s">
        <v>1746</v>
      </c>
      <c r="B649" t="s">
        <v>1747</v>
      </c>
      <c r="C649">
        <v>6</v>
      </c>
      <c r="D649" t="s">
        <v>23</v>
      </c>
      <c r="E649" t="s">
        <v>1748</v>
      </c>
    </row>
    <row r="650" spans="1:9" x14ac:dyDescent="0.3">
      <c r="A650" t="s">
        <v>1749</v>
      </c>
      <c r="B650" t="s">
        <v>1750</v>
      </c>
      <c r="C650">
        <v>0.5</v>
      </c>
      <c r="D650" t="s">
        <v>37</v>
      </c>
      <c r="E650" t="s">
        <v>1751</v>
      </c>
    </row>
    <row r="651" spans="1:9" x14ac:dyDescent="0.3">
      <c r="A651" t="s">
        <v>1752</v>
      </c>
      <c r="B651" t="s">
        <v>1753</v>
      </c>
      <c r="C651">
        <v>12.5</v>
      </c>
      <c r="D651" t="s">
        <v>29</v>
      </c>
      <c r="E651" t="s">
        <v>30</v>
      </c>
    </row>
    <row r="652" spans="1:9" x14ac:dyDescent="0.3">
      <c r="A652" t="s">
        <v>1754</v>
      </c>
      <c r="B652" t="s">
        <v>1755</v>
      </c>
      <c r="C652">
        <v>2</v>
      </c>
      <c r="D652" t="s">
        <v>23</v>
      </c>
      <c r="E652" t="s">
        <v>233</v>
      </c>
      <c r="I652" t="s">
        <v>289</v>
      </c>
    </row>
    <row r="653" spans="1:9" x14ac:dyDescent="0.3">
      <c r="A653" t="s">
        <v>1756</v>
      </c>
      <c r="B653" t="s">
        <v>1757</v>
      </c>
      <c r="C653">
        <v>1</v>
      </c>
      <c r="D653" t="s">
        <v>71</v>
      </c>
      <c r="E653" t="s">
        <v>1758</v>
      </c>
    </row>
    <row r="654" spans="1:9" x14ac:dyDescent="0.3">
      <c r="A654" t="s">
        <v>1759</v>
      </c>
      <c r="B654" t="s">
        <v>1760</v>
      </c>
      <c r="C654">
        <v>0.5</v>
      </c>
      <c r="D654" t="s">
        <v>23</v>
      </c>
      <c r="E654" t="s">
        <v>1431</v>
      </c>
    </row>
    <row r="655" spans="1:9" x14ac:dyDescent="0.3">
      <c r="A655" t="s">
        <v>1761</v>
      </c>
      <c r="B655" t="s">
        <v>1317</v>
      </c>
      <c r="C655">
        <v>1</v>
      </c>
      <c r="D655" t="s">
        <v>11</v>
      </c>
      <c r="E655" t="s">
        <v>524</v>
      </c>
    </row>
    <row r="656" spans="1:9" x14ac:dyDescent="0.3">
      <c r="A656" t="s">
        <v>1762</v>
      </c>
      <c r="B656" t="s">
        <v>1763</v>
      </c>
      <c r="C656">
        <v>45</v>
      </c>
      <c r="D656" t="s">
        <v>29</v>
      </c>
      <c r="E656" t="s">
        <v>1764</v>
      </c>
    </row>
    <row r="657" spans="1:9" x14ac:dyDescent="0.3">
      <c r="A657" t="s">
        <v>1765</v>
      </c>
      <c r="B657" t="s">
        <v>1766</v>
      </c>
      <c r="C657">
        <v>1</v>
      </c>
      <c r="D657" t="s">
        <v>23</v>
      </c>
      <c r="E657" t="s">
        <v>1767</v>
      </c>
    </row>
    <row r="658" spans="1:9" x14ac:dyDescent="0.3">
      <c r="A658" t="s">
        <v>1768</v>
      </c>
      <c r="B658" t="s">
        <v>1769</v>
      </c>
      <c r="E658" t="s">
        <v>1770</v>
      </c>
      <c r="I658" t="s">
        <v>1771</v>
      </c>
    </row>
    <row r="659" spans="1:9" x14ac:dyDescent="0.3">
      <c r="A659" t="s">
        <v>1772</v>
      </c>
      <c r="B659" t="s">
        <v>1773</v>
      </c>
      <c r="C659">
        <v>1.5</v>
      </c>
      <c r="D659" t="s">
        <v>345</v>
      </c>
      <c r="E659" t="s">
        <v>1774</v>
      </c>
      <c r="I659" t="s">
        <v>1775</v>
      </c>
    </row>
    <row r="660" spans="1:9" x14ac:dyDescent="0.3">
      <c r="A660" t="s">
        <v>1776</v>
      </c>
      <c r="B660" t="s">
        <v>1777</v>
      </c>
      <c r="C660">
        <v>25</v>
      </c>
      <c r="D660" t="s">
        <v>29</v>
      </c>
      <c r="E660" t="s">
        <v>38</v>
      </c>
      <c r="F660" t="s">
        <v>814</v>
      </c>
    </row>
    <row r="661" spans="1:9" x14ac:dyDescent="0.3">
      <c r="A661" t="s">
        <v>1778</v>
      </c>
      <c r="B661" t="s">
        <v>1779</v>
      </c>
      <c r="C661">
        <v>1.5</v>
      </c>
      <c r="D661" t="s">
        <v>345</v>
      </c>
      <c r="E661" t="s">
        <v>1780</v>
      </c>
      <c r="I661" t="s">
        <v>1781</v>
      </c>
    </row>
    <row r="662" spans="1:9" x14ac:dyDescent="0.3">
      <c r="A662" t="s">
        <v>465</v>
      </c>
      <c r="B662" t="s">
        <v>1782</v>
      </c>
      <c r="C662">
        <v>2</v>
      </c>
      <c r="D662" t="s">
        <v>71</v>
      </c>
      <c r="E662" t="s">
        <v>251</v>
      </c>
    </row>
    <row r="663" spans="1:9" x14ac:dyDescent="0.3">
      <c r="A663" t="s">
        <v>1783</v>
      </c>
      <c r="B663" t="s">
        <v>1784</v>
      </c>
      <c r="C663">
        <v>0.2</v>
      </c>
      <c r="D663" t="s">
        <v>1785</v>
      </c>
      <c r="E663" t="s">
        <v>1209</v>
      </c>
    </row>
    <row r="664" spans="1:9" x14ac:dyDescent="0.3">
      <c r="A664" t="s">
        <v>1786</v>
      </c>
      <c r="B664" t="s">
        <v>1787</v>
      </c>
      <c r="C664">
        <v>1.25</v>
      </c>
      <c r="D664" t="s">
        <v>345</v>
      </c>
      <c r="E664" t="s">
        <v>1788</v>
      </c>
      <c r="H664" t="s">
        <v>1078</v>
      </c>
      <c r="I664" t="s">
        <v>1789</v>
      </c>
    </row>
    <row r="665" spans="1:9" x14ac:dyDescent="0.3">
      <c r="A665" t="s">
        <v>1790</v>
      </c>
      <c r="B665" t="s">
        <v>1791</v>
      </c>
      <c r="E665" t="s">
        <v>828</v>
      </c>
      <c r="F665" t="s">
        <v>814</v>
      </c>
    </row>
    <row r="666" spans="1:9" x14ac:dyDescent="0.3">
      <c r="A666" t="s">
        <v>1792</v>
      </c>
      <c r="B666" t="s">
        <v>1793</v>
      </c>
      <c r="C666">
        <v>0.25</v>
      </c>
      <c r="D666" t="s">
        <v>361</v>
      </c>
      <c r="E666" t="s">
        <v>1794</v>
      </c>
    </row>
    <row r="667" spans="1:9" x14ac:dyDescent="0.3">
      <c r="A667" t="s">
        <v>1795</v>
      </c>
      <c r="B667" t="s">
        <v>1796</v>
      </c>
      <c r="E667" t="s">
        <v>333</v>
      </c>
      <c r="F667" t="s">
        <v>1571</v>
      </c>
    </row>
    <row r="668" spans="1:9" x14ac:dyDescent="0.3">
      <c r="A668" t="s">
        <v>1797</v>
      </c>
      <c r="B668" t="s">
        <v>1798</v>
      </c>
      <c r="C668">
        <v>1.5</v>
      </c>
      <c r="D668" t="s">
        <v>345</v>
      </c>
      <c r="E668" t="s">
        <v>1799</v>
      </c>
      <c r="I668" t="s">
        <v>1800</v>
      </c>
    </row>
    <row r="669" spans="1:9" x14ac:dyDescent="0.3">
      <c r="A669" t="s">
        <v>1801</v>
      </c>
      <c r="B669" t="s">
        <v>1802</v>
      </c>
      <c r="C669">
        <v>1.5</v>
      </c>
      <c r="D669" t="s">
        <v>345</v>
      </c>
      <c r="E669" t="s">
        <v>209</v>
      </c>
    </row>
    <row r="670" spans="1:9" x14ac:dyDescent="0.3">
      <c r="A670" t="s">
        <v>1803</v>
      </c>
      <c r="B670" t="s">
        <v>1804</v>
      </c>
      <c r="C670">
        <v>9</v>
      </c>
      <c r="D670" t="s">
        <v>71</v>
      </c>
      <c r="E670" t="s">
        <v>1805</v>
      </c>
      <c r="H670" t="s">
        <v>1806</v>
      </c>
      <c r="I670" t="s">
        <v>1807</v>
      </c>
    </row>
    <row r="671" spans="1:9" x14ac:dyDescent="0.3">
      <c r="A671" t="s">
        <v>1808</v>
      </c>
      <c r="B671" t="s">
        <v>1809</v>
      </c>
      <c r="C671">
        <v>1</v>
      </c>
      <c r="E671" t="s">
        <v>1810</v>
      </c>
      <c r="I671" t="s">
        <v>248</v>
      </c>
    </row>
    <row r="672" spans="1:9" x14ac:dyDescent="0.3">
      <c r="A672" t="s">
        <v>610</v>
      </c>
      <c r="B672" t="s">
        <v>1811</v>
      </c>
      <c r="C672">
        <v>1</v>
      </c>
      <c r="D672" t="s">
        <v>612</v>
      </c>
      <c r="E672" t="s">
        <v>1812</v>
      </c>
      <c r="F672" t="s">
        <v>1813</v>
      </c>
    </row>
    <row r="673" spans="1:9" x14ac:dyDescent="0.3">
      <c r="A673" t="s">
        <v>1814</v>
      </c>
      <c r="B673" t="s">
        <v>1815</v>
      </c>
      <c r="C673">
        <v>1</v>
      </c>
      <c r="D673" t="s">
        <v>50</v>
      </c>
      <c r="E673" t="s">
        <v>1816</v>
      </c>
    </row>
    <row r="674" spans="1:9" x14ac:dyDescent="0.3">
      <c r="A674" t="s">
        <v>1817</v>
      </c>
      <c r="B674" t="s">
        <v>1818</v>
      </c>
      <c r="C674">
        <v>2</v>
      </c>
      <c r="D674" t="s">
        <v>91</v>
      </c>
      <c r="E674" t="s">
        <v>1819</v>
      </c>
    </row>
    <row r="675" spans="1:9" x14ac:dyDescent="0.3">
      <c r="A675" t="s">
        <v>670</v>
      </c>
      <c r="B675" t="s">
        <v>1820</v>
      </c>
      <c r="C675">
        <v>0.25</v>
      </c>
      <c r="D675" t="s">
        <v>23</v>
      </c>
      <c r="E675" t="s">
        <v>81</v>
      </c>
    </row>
    <row r="676" spans="1:9" x14ac:dyDescent="0.3">
      <c r="A676" t="s">
        <v>1821</v>
      </c>
      <c r="B676" t="s">
        <v>1822</v>
      </c>
      <c r="C676">
        <v>1.5</v>
      </c>
      <c r="D676" t="s">
        <v>23</v>
      </c>
      <c r="E676" t="s">
        <v>1823</v>
      </c>
    </row>
    <row r="677" spans="1:9" x14ac:dyDescent="0.3">
      <c r="A677" t="s">
        <v>1824</v>
      </c>
      <c r="B677" t="s">
        <v>1825</v>
      </c>
      <c r="C677">
        <v>4</v>
      </c>
      <c r="D677" t="s">
        <v>345</v>
      </c>
      <c r="E677" t="s">
        <v>516</v>
      </c>
    </row>
    <row r="678" spans="1:9" x14ac:dyDescent="0.3">
      <c r="A678" t="s">
        <v>1826</v>
      </c>
      <c r="B678" t="s">
        <v>1827</v>
      </c>
      <c r="C678">
        <v>2</v>
      </c>
      <c r="D678" t="s">
        <v>345</v>
      </c>
      <c r="E678" t="s">
        <v>1828</v>
      </c>
    </row>
    <row r="679" spans="1:9" x14ac:dyDescent="0.3">
      <c r="A679" t="s">
        <v>1829</v>
      </c>
      <c r="B679" t="s">
        <v>1830</v>
      </c>
      <c r="C679">
        <v>1</v>
      </c>
      <c r="D679" t="s">
        <v>460</v>
      </c>
      <c r="E679" t="s">
        <v>1816</v>
      </c>
    </row>
    <row r="680" spans="1:9" x14ac:dyDescent="0.3">
      <c r="A680" t="s">
        <v>1831</v>
      </c>
      <c r="B680" t="s">
        <v>1832</v>
      </c>
      <c r="C680">
        <v>1</v>
      </c>
      <c r="D680" t="s">
        <v>23</v>
      </c>
      <c r="E680" t="s">
        <v>1833</v>
      </c>
    </row>
    <row r="681" spans="1:9" x14ac:dyDescent="0.3">
      <c r="A681" t="s">
        <v>1834</v>
      </c>
      <c r="B681" t="s">
        <v>1835</v>
      </c>
      <c r="C681">
        <v>2</v>
      </c>
      <c r="D681" t="s">
        <v>345</v>
      </c>
      <c r="E681" t="s">
        <v>1836</v>
      </c>
    </row>
    <row r="682" spans="1:9" x14ac:dyDescent="0.3">
      <c r="A682" t="s">
        <v>1837</v>
      </c>
      <c r="B682" t="s">
        <v>1838</v>
      </c>
      <c r="C682">
        <v>1.5</v>
      </c>
      <c r="D682" t="s">
        <v>345</v>
      </c>
      <c r="E682" t="s">
        <v>41</v>
      </c>
    </row>
    <row r="683" spans="1:9" x14ac:dyDescent="0.3">
      <c r="A683" t="s">
        <v>1839</v>
      </c>
      <c r="B683" t="s">
        <v>1840</v>
      </c>
      <c r="E683" t="s">
        <v>1840</v>
      </c>
    </row>
    <row r="684" spans="1:9" x14ac:dyDescent="0.3">
      <c r="A684" t="s">
        <v>1841</v>
      </c>
      <c r="B684" t="s">
        <v>1842</v>
      </c>
      <c r="C684">
        <v>1</v>
      </c>
      <c r="D684" t="s">
        <v>1843</v>
      </c>
      <c r="E684" t="s">
        <v>1844</v>
      </c>
    </row>
    <row r="685" spans="1:9" x14ac:dyDescent="0.3">
      <c r="A685" t="s">
        <v>1845</v>
      </c>
      <c r="B685" t="s">
        <v>1846</v>
      </c>
      <c r="C685">
        <v>0.25</v>
      </c>
      <c r="D685" t="s">
        <v>23</v>
      </c>
      <c r="E685" t="s">
        <v>1847</v>
      </c>
      <c r="I685" t="s">
        <v>289</v>
      </c>
    </row>
    <row r="686" spans="1:9" x14ac:dyDescent="0.3">
      <c r="A686" t="s">
        <v>1848</v>
      </c>
      <c r="B686" t="s">
        <v>1849</v>
      </c>
      <c r="C686">
        <v>10</v>
      </c>
      <c r="D686" t="s">
        <v>29</v>
      </c>
      <c r="E686" t="s">
        <v>1850</v>
      </c>
    </row>
    <row r="687" spans="1:9" x14ac:dyDescent="0.3">
      <c r="A687" t="s">
        <v>1851</v>
      </c>
      <c r="B687" t="s">
        <v>1852</v>
      </c>
      <c r="C687">
        <v>1</v>
      </c>
      <c r="D687" t="s">
        <v>23</v>
      </c>
      <c r="E687" t="s">
        <v>1853</v>
      </c>
    </row>
    <row r="688" spans="1:9" x14ac:dyDescent="0.3">
      <c r="A688" t="s">
        <v>1854</v>
      </c>
      <c r="B688" t="s">
        <v>1855</v>
      </c>
      <c r="E688" t="s">
        <v>1856</v>
      </c>
      <c r="I688" t="s">
        <v>1146</v>
      </c>
    </row>
    <row r="689" spans="1:9" x14ac:dyDescent="0.3">
      <c r="A689" t="s">
        <v>1857</v>
      </c>
      <c r="B689" t="s">
        <v>1858</v>
      </c>
      <c r="C689">
        <v>1</v>
      </c>
      <c r="D689" t="s">
        <v>1785</v>
      </c>
      <c r="E689" t="s">
        <v>233</v>
      </c>
    </row>
    <row r="690" spans="1:9" x14ac:dyDescent="0.3">
      <c r="A690" t="s">
        <v>1859</v>
      </c>
      <c r="B690" t="s">
        <v>453</v>
      </c>
      <c r="C690">
        <v>8</v>
      </c>
      <c r="D690" t="s">
        <v>23</v>
      </c>
      <c r="E690" t="s">
        <v>108</v>
      </c>
    </row>
    <row r="691" spans="1:9" x14ac:dyDescent="0.3">
      <c r="A691" t="s">
        <v>1860</v>
      </c>
      <c r="B691" t="s">
        <v>1861</v>
      </c>
      <c r="C691">
        <v>1.5</v>
      </c>
      <c r="D691" t="s">
        <v>23</v>
      </c>
      <c r="E691" t="s">
        <v>1862</v>
      </c>
    </row>
    <row r="692" spans="1:9" x14ac:dyDescent="0.3">
      <c r="A692" t="s">
        <v>1863</v>
      </c>
      <c r="B692" t="s">
        <v>1864</v>
      </c>
      <c r="C692">
        <v>1.5</v>
      </c>
      <c r="D692" t="s">
        <v>23</v>
      </c>
      <c r="E692" t="s">
        <v>936</v>
      </c>
    </row>
    <row r="693" spans="1:9" x14ac:dyDescent="0.3">
      <c r="A693" t="s">
        <v>1865</v>
      </c>
      <c r="B693" t="s">
        <v>1866</v>
      </c>
      <c r="C693">
        <v>0.75</v>
      </c>
      <c r="D693" t="s">
        <v>23</v>
      </c>
      <c r="E693" t="s">
        <v>1867</v>
      </c>
    </row>
    <row r="694" spans="1:9" x14ac:dyDescent="0.3">
      <c r="A694" t="s">
        <v>1868</v>
      </c>
      <c r="B694" t="s">
        <v>1869</v>
      </c>
      <c r="C694">
        <v>1</v>
      </c>
      <c r="D694" t="s">
        <v>904</v>
      </c>
      <c r="E694" t="s">
        <v>112</v>
      </c>
    </row>
    <row r="695" spans="1:9" x14ac:dyDescent="0.3">
      <c r="A695" t="s">
        <v>1870</v>
      </c>
      <c r="B695" t="s">
        <v>413</v>
      </c>
      <c r="E695" t="s">
        <v>413</v>
      </c>
    </row>
    <row r="696" spans="1:9" x14ac:dyDescent="0.3">
      <c r="A696" t="s">
        <v>1871</v>
      </c>
      <c r="B696" t="s">
        <v>1872</v>
      </c>
      <c r="C696">
        <v>1</v>
      </c>
      <c r="D696" t="s">
        <v>270</v>
      </c>
      <c r="E696" t="s">
        <v>41</v>
      </c>
    </row>
    <row r="697" spans="1:9" x14ac:dyDescent="0.3">
      <c r="A697" t="s">
        <v>1873</v>
      </c>
      <c r="B697" t="s">
        <v>1874</v>
      </c>
      <c r="C697">
        <v>14</v>
      </c>
      <c r="D697" t="s">
        <v>23</v>
      </c>
      <c r="E697" t="s">
        <v>1875</v>
      </c>
    </row>
    <row r="698" spans="1:9" x14ac:dyDescent="0.3">
      <c r="A698" t="s">
        <v>1876</v>
      </c>
      <c r="B698" t="s">
        <v>1877</v>
      </c>
      <c r="C698">
        <v>100</v>
      </c>
      <c r="D698" t="s">
        <v>29</v>
      </c>
      <c r="E698" t="s">
        <v>738</v>
      </c>
    </row>
    <row r="699" spans="1:9" x14ac:dyDescent="0.3">
      <c r="A699" t="s">
        <v>1878</v>
      </c>
      <c r="B699" t="s">
        <v>1879</v>
      </c>
      <c r="C699">
        <v>1</v>
      </c>
      <c r="D699" t="s">
        <v>11</v>
      </c>
      <c r="E699" t="s">
        <v>1880</v>
      </c>
    </row>
    <row r="700" spans="1:9" x14ac:dyDescent="0.3">
      <c r="A700" t="s">
        <v>1881</v>
      </c>
      <c r="B700" t="s">
        <v>1882</v>
      </c>
      <c r="C700">
        <v>0.75</v>
      </c>
      <c r="D700" t="s">
        <v>23</v>
      </c>
      <c r="E700" t="s">
        <v>1883</v>
      </c>
    </row>
    <row r="701" spans="1:9" x14ac:dyDescent="0.3">
      <c r="A701" t="s">
        <v>1884</v>
      </c>
      <c r="B701" t="s">
        <v>1885</v>
      </c>
      <c r="C701">
        <v>1</v>
      </c>
      <c r="D701" t="s">
        <v>284</v>
      </c>
      <c r="E701" t="s">
        <v>847</v>
      </c>
    </row>
    <row r="702" spans="1:9" x14ac:dyDescent="0.3">
      <c r="A702" t="s">
        <v>1886</v>
      </c>
      <c r="B702" t="s">
        <v>94</v>
      </c>
      <c r="C702">
        <v>1</v>
      </c>
      <c r="D702" t="s">
        <v>23</v>
      </c>
      <c r="E702" t="s">
        <v>95</v>
      </c>
    </row>
    <row r="703" spans="1:9" x14ac:dyDescent="0.3">
      <c r="A703" t="s">
        <v>1887</v>
      </c>
      <c r="B703" t="s">
        <v>1888</v>
      </c>
      <c r="C703">
        <v>6</v>
      </c>
      <c r="D703" t="s">
        <v>71</v>
      </c>
      <c r="E703" t="s">
        <v>1889</v>
      </c>
      <c r="I703" t="s">
        <v>1890</v>
      </c>
    </row>
    <row r="704" spans="1:9" x14ac:dyDescent="0.3">
      <c r="A704" t="s">
        <v>1891</v>
      </c>
      <c r="B704" t="s">
        <v>1892</v>
      </c>
      <c r="C704">
        <v>2</v>
      </c>
      <c r="D704" t="s">
        <v>84</v>
      </c>
      <c r="E704" t="s">
        <v>85</v>
      </c>
    </row>
    <row r="705" spans="1:9" x14ac:dyDescent="0.3">
      <c r="A705" t="s">
        <v>1893</v>
      </c>
      <c r="B705" t="s">
        <v>1894</v>
      </c>
      <c r="C705">
        <v>3</v>
      </c>
      <c r="D705" t="s">
        <v>189</v>
      </c>
      <c r="E705" t="s">
        <v>1895</v>
      </c>
    </row>
    <row r="706" spans="1:9" x14ac:dyDescent="0.3">
      <c r="A706" t="s">
        <v>1896</v>
      </c>
      <c r="B706" t="s">
        <v>1897</v>
      </c>
      <c r="C706">
        <v>0.5</v>
      </c>
      <c r="D706" t="s">
        <v>37</v>
      </c>
      <c r="E706" t="s">
        <v>1898</v>
      </c>
    </row>
    <row r="707" spans="1:9" x14ac:dyDescent="0.3">
      <c r="A707" t="s">
        <v>1899</v>
      </c>
      <c r="B707" t="s">
        <v>1900</v>
      </c>
      <c r="C707">
        <v>0.5</v>
      </c>
      <c r="D707" t="s">
        <v>23</v>
      </c>
      <c r="E707" t="s">
        <v>183</v>
      </c>
    </row>
    <row r="708" spans="1:9" x14ac:dyDescent="0.3">
      <c r="A708" t="s">
        <v>1901</v>
      </c>
      <c r="B708" t="s">
        <v>1902</v>
      </c>
      <c r="C708">
        <v>1</v>
      </c>
      <c r="D708" t="s">
        <v>460</v>
      </c>
      <c r="E708" t="s">
        <v>1903</v>
      </c>
      <c r="I708" t="s">
        <v>20</v>
      </c>
    </row>
    <row r="709" spans="1:9" x14ac:dyDescent="0.3">
      <c r="A709" t="s">
        <v>1904</v>
      </c>
      <c r="B709" t="s">
        <v>1905</v>
      </c>
      <c r="C709">
        <v>12.5</v>
      </c>
      <c r="D709" t="s">
        <v>29</v>
      </c>
      <c r="E709" t="s">
        <v>1231</v>
      </c>
    </row>
    <row r="710" spans="1:9" x14ac:dyDescent="0.3">
      <c r="A710" t="s">
        <v>1906</v>
      </c>
      <c r="B710" t="s">
        <v>1907</v>
      </c>
      <c r="C710">
        <v>1</v>
      </c>
      <c r="D710" t="s">
        <v>11</v>
      </c>
      <c r="E710" t="s">
        <v>1908</v>
      </c>
      <c r="I710" t="s">
        <v>654</v>
      </c>
    </row>
    <row r="711" spans="1:9" x14ac:dyDescent="0.3">
      <c r="A711" t="s">
        <v>1909</v>
      </c>
      <c r="B711" t="s">
        <v>1910</v>
      </c>
      <c r="C711">
        <v>2</v>
      </c>
      <c r="D711" t="s">
        <v>1212</v>
      </c>
      <c r="E711" t="s">
        <v>1911</v>
      </c>
      <c r="I711" t="s">
        <v>1912</v>
      </c>
    </row>
    <row r="712" spans="1:9" x14ac:dyDescent="0.3">
      <c r="A712" t="s">
        <v>1913</v>
      </c>
      <c r="B712" t="s">
        <v>1914</v>
      </c>
      <c r="C712">
        <v>0.5</v>
      </c>
      <c r="D712" t="s">
        <v>37</v>
      </c>
      <c r="E712" t="s">
        <v>1915</v>
      </c>
      <c r="I712" t="s">
        <v>1916</v>
      </c>
    </row>
    <row r="713" spans="1:9" x14ac:dyDescent="0.3">
      <c r="A713" t="s">
        <v>1917</v>
      </c>
      <c r="B713" t="s">
        <v>1269</v>
      </c>
      <c r="C713">
        <v>1</v>
      </c>
      <c r="D713" t="s">
        <v>23</v>
      </c>
      <c r="E713" t="s">
        <v>380</v>
      </c>
    </row>
    <row r="714" spans="1:9" x14ac:dyDescent="0.3">
      <c r="A714" t="s">
        <v>1918</v>
      </c>
      <c r="B714" t="s">
        <v>1919</v>
      </c>
      <c r="C714">
        <v>300</v>
      </c>
      <c r="D714" t="s">
        <v>29</v>
      </c>
      <c r="E714" t="s">
        <v>1920</v>
      </c>
    </row>
    <row r="715" spans="1:9" x14ac:dyDescent="0.3">
      <c r="A715" t="s">
        <v>1921</v>
      </c>
      <c r="B715" t="s">
        <v>1922</v>
      </c>
      <c r="C715">
        <v>2</v>
      </c>
      <c r="D715" t="s">
        <v>23</v>
      </c>
      <c r="E715" t="s">
        <v>1923</v>
      </c>
    </row>
    <row r="716" spans="1:9" x14ac:dyDescent="0.3">
      <c r="A716" t="s">
        <v>1924</v>
      </c>
      <c r="B716" t="s">
        <v>743</v>
      </c>
      <c r="E716" t="s">
        <v>743</v>
      </c>
    </row>
    <row r="717" spans="1:9" x14ac:dyDescent="0.3">
      <c r="A717" t="s">
        <v>1925</v>
      </c>
      <c r="B717" t="s">
        <v>1926</v>
      </c>
      <c r="C717">
        <v>1</v>
      </c>
      <c r="D717" t="s">
        <v>23</v>
      </c>
      <c r="E717" t="s">
        <v>1927</v>
      </c>
    </row>
    <row r="718" spans="1:9" x14ac:dyDescent="0.3">
      <c r="A718" t="s">
        <v>1928</v>
      </c>
      <c r="B718" t="s">
        <v>1929</v>
      </c>
      <c r="C718">
        <v>2</v>
      </c>
      <c r="D718" t="s">
        <v>345</v>
      </c>
      <c r="E718" t="s">
        <v>1930</v>
      </c>
      <c r="I718" t="s">
        <v>1931</v>
      </c>
    </row>
    <row r="719" spans="1:9" x14ac:dyDescent="0.3">
      <c r="A719" t="s">
        <v>1932</v>
      </c>
      <c r="B719" t="s">
        <v>1933</v>
      </c>
      <c r="C719">
        <v>20</v>
      </c>
      <c r="D719" t="s">
        <v>29</v>
      </c>
      <c r="E719" t="s">
        <v>1328</v>
      </c>
    </row>
    <row r="720" spans="1:9" x14ac:dyDescent="0.3">
      <c r="A720" t="s">
        <v>1934</v>
      </c>
      <c r="B720" t="s">
        <v>80</v>
      </c>
      <c r="C720">
        <v>0.5</v>
      </c>
      <c r="D720" t="s">
        <v>37</v>
      </c>
      <c r="E720" t="s">
        <v>81</v>
      </c>
    </row>
    <row r="721" spans="1:9" x14ac:dyDescent="0.3">
      <c r="A721" t="s">
        <v>1935</v>
      </c>
      <c r="B721" t="s">
        <v>190</v>
      </c>
      <c r="E721" t="s">
        <v>190</v>
      </c>
    </row>
    <row r="722" spans="1:9" x14ac:dyDescent="0.3">
      <c r="A722" t="s">
        <v>1936</v>
      </c>
      <c r="B722" t="s">
        <v>1937</v>
      </c>
      <c r="E722" t="s">
        <v>405</v>
      </c>
      <c r="I722" t="s">
        <v>1938</v>
      </c>
    </row>
    <row r="723" spans="1:9" x14ac:dyDescent="0.3">
      <c r="A723" t="s">
        <v>1939</v>
      </c>
      <c r="B723" t="s">
        <v>1940</v>
      </c>
      <c r="C723">
        <v>0.25</v>
      </c>
      <c r="D723" t="s">
        <v>23</v>
      </c>
      <c r="E723" t="s">
        <v>160</v>
      </c>
      <c r="F723" t="s">
        <v>68</v>
      </c>
    </row>
    <row r="724" spans="1:9" x14ac:dyDescent="0.3">
      <c r="A724" t="s">
        <v>1941</v>
      </c>
      <c r="B724" t="s">
        <v>968</v>
      </c>
      <c r="C724">
        <v>1</v>
      </c>
      <c r="D724" t="s">
        <v>23</v>
      </c>
      <c r="E724" t="s">
        <v>199</v>
      </c>
    </row>
    <row r="725" spans="1:9" x14ac:dyDescent="0.3">
      <c r="A725" t="s">
        <v>1942</v>
      </c>
      <c r="B725" t="s">
        <v>1943</v>
      </c>
      <c r="C725">
        <v>1</v>
      </c>
      <c r="D725" t="s">
        <v>1944</v>
      </c>
      <c r="E725" t="s">
        <v>1945</v>
      </c>
      <c r="F725" t="s">
        <v>1946</v>
      </c>
      <c r="G725" t="s">
        <v>68</v>
      </c>
      <c r="I725" t="s">
        <v>325</v>
      </c>
    </row>
    <row r="726" spans="1:9" x14ac:dyDescent="0.3">
      <c r="A726" t="s">
        <v>1947</v>
      </c>
      <c r="B726" t="s">
        <v>188</v>
      </c>
      <c r="C726">
        <v>2</v>
      </c>
      <c r="D726" t="s">
        <v>189</v>
      </c>
      <c r="E726" t="s">
        <v>190</v>
      </c>
    </row>
    <row r="727" spans="1:9" x14ac:dyDescent="0.3">
      <c r="A727" t="s">
        <v>1948</v>
      </c>
      <c r="B727" t="s">
        <v>1949</v>
      </c>
      <c r="C727">
        <v>2</v>
      </c>
      <c r="D727" t="s">
        <v>23</v>
      </c>
      <c r="E727" t="s">
        <v>716</v>
      </c>
      <c r="I727" t="s">
        <v>289</v>
      </c>
    </row>
    <row r="728" spans="1:9" x14ac:dyDescent="0.3">
      <c r="A728" t="s">
        <v>1950</v>
      </c>
      <c r="B728" t="s">
        <v>1951</v>
      </c>
      <c r="C728">
        <v>1.5</v>
      </c>
      <c r="D728" t="s">
        <v>345</v>
      </c>
      <c r="E728" t="s">
        <v>1952</v>
      </c>
      <c r="H728" t="s">
        <v>1078</v>
      </c>
      <c r="I728" t="s">
        <v>1953</v>
      </c>
    </row>
    <row r="729" spans="1:9" x14ac:dyDescent="0.3">
      <c r="A729" t="s">
        <v>1954</v>
      </c>
      <c r="B729" t="s">
        <v>1955</v>
      </c>
      <c r="C729">
        <v>1</v>
      </c>
      <c r="E729" t="s">
        <v>51</v>
      </c>
    </row>
    <row r="730" spans="1:9" x14ac:dyDescent="0.3">
      <c r="A730" t="s">
        <v>1956</v>
      </c>
      <c r="B730" t="s">
        <v>1957</v>
      </c>
      <c r="C730">
        <v>2</v>
      </c>
      <c r="D730" t="s">
        <v>345</v>
      </c>
      <c r="E730" t="s">
        <v>516</v>
      </c>
    </row>
    <row r="731" spans="1:9" x14ac:dyDescent="0.3">
      <c r="A731" t="s">
        <v>1958</v>
      </c>
      <c r="B731" t="s">
        <v>1959</v>
      </c>
      <c r="C731">
        <v>1</v>
      </c>
      <c r="D731" t="s">
        <v>18</v>
      </c>
      <c r="E731" t="s">
        <v>1223</v>
      </c>
    </row>
    <row r="732" spans="1:9" x14ac:dyDescent="0.3">
      <c r="A732" t="s">
        <v>1960</v>
      </c>
      <c r="B732" t="s">
        <v>1961</v>
      </c>
      <c r="C732">
        <v>0.5</v>
      </c>
      <c r="D732" t="s">
        <v>37</v>
      </c>
      <c r="E732" t="s">
        <v>1962</v>
      </c>
    </row>
    <row r="733" spans="1:9" x14ac:dyDescent="0.3">
      <c r="A733" t="s">
        <v>1963</v>
      </c>
      <c r="B733" t="s">
        <v>1964</v>
      </c>
      <c r="C733">
        <v>1</v>
      </c>
      <c r="D733" t="s">
        <v>91</v>
      </c>
      <c r="E733" t="s">
        <v>966</v>
      </c>
    </row>
    <row r="734" spans="1:9" x14ac:dyDescent="0.3">
      <c r="A734" t="s">
        <v>1965</v>
      </c>
      <c r="B734" t="s">
        <v>1966</v>
      </c>
      <c r="E734" t="s">
        <v>1967</v>
      </c>
      <c r="I734" t="s">
        <v>1968</v>
      </c>
    </row>
    <row r="735" spans="1:9" x14ac:dyDescent="0.3">
      <c r="A735" t="s">
        <v>1969</v>
      </c>
      <c r="B735" t="s">
        <v>1970</v>
      </c>
      <c r="C735">
        <v>1</v>
      </c>
      <c r="D735" t="s">
        <v>426</v>
      </c>
      <c r="E735" t="s">
        <v>1971</v>
      </c>
    </row>
    <row r="736" spans="1:9" x14ac:dyDescent="0.3">
      <c r="A736" t="s">
        <v>1972</v>
      </c>
      <c r="B736" t="s">
        <v>57</v>
      </c>
      <c r="E736" t="s">
        <v>57</v>
      </c>
    </row>
    <row r="737" spans="1:9" x14ac:dyDescent="0.3">
      <c r="A737" t="s">
        <v>1973</v>
      </c>
      <c r="B737" t="s">
        <v>1974</v>
      </c>
      <c r="C737">
        <v>0.5</v>
      </c>
      <c r="D737" t="s">
        <v>23</v>
      </c>
      <c r="E737" t="s">
        <v>758</v>
      </c>
    </row>
    <row r="738" spans="1:9" x14ac:dyDescent="0.3">
      <c r="A738" t="s">
        <v>1975</v>
      </c>
      <c r="B738" t="s">
        <v>1976</v>
      </c>
      <c r="C738">
        <v>1</v>
      </c>
      <c r="E738" t="s">
        <v>1977</v>
      </c>
    </row>
    <row r="739" spans="1:9" x14ac:dyDescent="0.3">
      <c r="A739" t="s">
        <v>1978</v>
      </c>
      <c r="B739" t="s">
        <v>1979</v>
      </c>
      <c r="C739">
        <v>50</v>
      </c>
      <c r="D739" t="s">
        <v>29</v>
      </c>
      <c r="E739" t="s">
        <v>1980</v>
      </c>
    </row>
    <row r="740" spans="1:9" x14ac:dyDescent="0.3">
      <c r="A740" t="s">
        <v>1981</v>
      </c>
      <c r="B740" t="s">
        <v>1982</v>
      </c>
      <c r="C740">
        <v>3</v>
      </c>
      <c r="D740" t="s">
        <v>1983</v>
      </c>
      <c r="E740" t="s">
        <v>1984</v>
      </c>
    </row>
    <row r="741" spans="1:9" x14ac:dyDescent="0.3">
      <c r="A741" t="s">
        <v>1985</v>
      </c>
      <c r="B741" t="s">
        <v>1055</v>
      </c>
      <c r="C741">
        <v>1</v>
      </c>
      <c r="D741" t="s">
        <v>585</v>
      </c>
      <c r="E741" t="s">
        <v>1056</v>
      </c>
      <c r="I741" t="s">
        <v>248</v>
      </c>
    </row>
    <row r="742" spans="1:9" x14ac:dyDescent="0.3">
      <c r="A742" t="s">
        <v>1986</v>
      </c>
      <c r="B742" t="s">
        <v>1987</v>
      </c>
      <c r="C742">
        <v>2</v>
      </c>
      <c r="D742" t="s">
        <v>176</v>
      </c>
      <c r="E742" t="s">
        <v>728</v>
      </c>
    </row>
    <row r="743" spans="1:9" x14ac:dyDescent="0.3">
      <c r="A743" t="s">
        <v>1988</v>
      </c>
      <c r="B743" t="s">
        <v>1989</v>
      </c>
      <c r="D743" t="s">
        <v>1990</v>
      </c>
      <c r="E743" t="s">
        <v>1056</v>
      </c>
    </row>
    <row r="744" spans="1:9" x14ac:dyDescent="0.3">
      <c r="A744" t="s">
        <v>1991</v>
      </c>
      <c r="B744" t="s">
        <v>1992</v>
      </c>
      <c r="C744">
        <v>5</v>
      </c>
      <c r="D744" t="s">
        <v>29</v>
      </c>
      <c r="E744" t="s">
        <v>1993</v>
      </c>
      <c r="F744" t="s">
        <v>1994</v>
      </c>
      <c r="I744" t="s">
        <v>1995</v>
      </c>
    </row>
    <row r="745" spans="1:9" x14ac:dyDescent="0.3">
      <c r="A745" t="s">
        <v>1996</v>
      </c>
      <c r="B745" t="s">
        <v>1997</v>
      </c>
      <c r="C745">
        <v>400</v>
      </c>
      <c r="D745" t="s">
        <v>1998</v>
      </c>
      <c r="E745" t="s">
        <v>1999</v>
      </c>
    </row>
    <row r="746" spans="1:9" x14ac:dyDescent="0.3">
      <c r="A746" t="s">
        <v>2000</v>
      </c>
      <c r="B746" t="s">
        <v>2001</v>
      </c>
      <c r="C746">
        <v>0.25</v>
      </c>
      <c r="D746" t="s">
        <v>23</v>
      </c>
      <c r="E746" t="s">
        <v>1506</v>
      </c>
    </row>
    <row r="747" spans="1:9" x14ac:dyDescent="0.3">
      <c r="A747" t="s">
        <v>2002</v>
      </c>
      <c r="B747" t="s">
        <v>2003</v>
      </c>
      <c r="C747">
        <v>1</v>
      </c>
      <c r="D747" t="s">
        <v>284</v>
      </c>
      <c r="E747" t="s">
        <v>173</v>
      </c>
    </row>
    <row r="748" spans="1:9" x14ac:dyDescent="0.3">
      <c r="A748" t="s">
        <v>2004</v>
      </c>
      <c r="B748" t="s">
        <v>2005</v>
      </c>
      <c r="C748">
        <v>2</v>
      </c>
      <c r="D748" t="s">
        <v>2006</v>
      </c>
      <c r="E748" t="s">
        <v>2007</v>
      </c>
    </row>
    <row r="749" spans="1:9" x14ac:dyDescent="0.3">
      <c r="A749" t="s">
        <v>2008</v>
      </c>
      <c r="B749" t="s">
        <v>2009</v>
      </c>
      <c r="C749">
        <v>0.5</v>
      </c>
      <c r="D749" t="s">
        <v>23</v>
      </c>
      <c r="E749" t="s">
        <v>292</v>
      </c>
    </row>
    <row r="750" spans="1:9" x14ac:dyDescent="0.3">
      <c r="A750" t="s">
        <v>2010</v>
      </c>
      <c r="B750" t="s">
        <v>2011</v>
      </c>
      <c r="C750">
        <v>2</v>
      </c>
      <c r="D750" t="s">
        <v>189</v>
      </c>
      <c r="E750" t="s">
        <v>61</v>
      </c>
    </row>
    <row r="751" spans="1:9" x14ac:dyDescent="0.3">
      <c r="A751" t="s">
        <v>2012</v>
      </c>
      <c r="B751" t="s">
        <v>2013</v>
      </c>
      <c r="C751">
        <v>0.5</v>
      </c>
      <c r="D751" t="s">
        <v>23</v>
      </c>
      <c r="E751" t="s">
        <v>2014</v>
      </c>
    </row>
    <row r="752" spans="1:9" x14ac:dyDescent="0.3">
      <c r="A752" t="s">
        <v>2015</v>
      </c>
      <c r="B752" t="s">
        <v>2016</v>
      </c>
      <c r="C752">
        <v>1</v>
      </c>
      <c r="D752" t="s">
        <v>284</v>
      </c>
      <c r="E752" t="s">
        <v>1883</v>
      </c>
    </row>
    <row r="753" spans="1:9" x14ac:dyDescent="0.3">
      <c r="A753" t="s">
        <v>2017</v>
      </c>
      <c r="B753" t="s">
        <v>2018</v>
      </c>
      <c r="C753">
        <v>3</v>
      </c>
      <c r="D753" t="s">
        <v>473</v>
      </c>
      <c r="E753" t="s">
        <v>2019</v>
      </c>
    </row>
    <row r="754" spans="1:9" x14ac:dyDescent="0.3">
      <c r="A754" t="s">
        <v>2020</v>
      </c>
      <c r="B754" t="s">
        <v>2021</v>
      </c>
      <c r="C754">
        <v>0.5</v>
      </c>
      <c r="D754" t="s">
        <v>23</v>
      </c>
      <c r="E754" t="s">
        <v>183</v>
      </c>
    </row>
    <row r="755" spans="1:9" x14ac:dyDescent="0.3">
      <c r="A755" t="s">
        <v>2022</v>
      </c>
      <c r="B755" t="s">
        <v>2023</v>
      </c>
      <c r="C755">
        <v>1</v>
      </c>
      <c r="D755" t="s">
        <v>23</v>
      </c>
      <c r="E755" t="s">
        <v>2024</v>
      </c>
    </row>
    <row r="756" spans="1:9" x14ac:dyDescent="0.3">
      <c r="A756" t="s">
        <v>2025</v>
      </c>
      <c r="B756" t="s">
        <v>2026</v>
      </c>
      <c r="C756">
        <v>0.5</v>
      </c>
      <c r="D756" t="s">
        <v>37</v>
      </c>
      <c r="E756" t="s">
        <v>2027</v>
      </c>
      <c r="I756" t="s">
        <v>2028</v>
      </c>
    </row>
    <row r="757" spans="1:9" x14ac:dyDescent="0.3">
      <c r="A757" t="s">
        <v>2029</v>
      </c>
      <c r="B757" t="s">
        <v>2030</v>
      </c>
      <c r="C757">
        <v>12</v>
      </c>
      <c r="D757" t="s">
        <v>23</v>
      </c>
      <c r="E757" t="s">
        <v>98</v>
      </c>
      <c r="I757" t="s">
        <v>2031</v>
      </c>
    </row>
    <row r="758" spans="1:9" x14ac:dyDescent="0.3">
      <c r="A758" t="s">
        <v>2032</v>
      </c>
      <c r="B758" t="s">
        <v>2033</v>
      </c>
      <c r="C758">
        <v>2</v>
      </c>
      <c r="D758" t="s">
        <v>23</v>
      </c>
      <c r="E758" t="s">
        <v>2034</v>
      </c>
    </row>
    <row r="759" spans="1:9" x14ac:dyDescent="0.3">
      <c r="A759" t="s">
        <v>2035</v>
      </c>
      <c r="B759" t="s">
        <v>2036</v>
      </c>
      <c r="C759">
        <v>0.5</v>
      </c>
      <c r="D759" t="s">
        <v>11</v>
      </c>
      <c r="E759" t="s">
        <v>1993</v>
      </c>
    </row>
    <row r="760" spans="1:9" x14ac:dyDescent="0.3">
      <c r="A760" t="s">
        <v>2037</v>
      </c>
      <c r="B760" t="s">
        <v>2038</v>
      </c>
      <c r="C760">
        <v>20</v>
      </c>
      <c r="D760" t="s">
        <v>29</v>
      </c>
      <c r="E760" t="s">
        <v>2039</v>
      </c>
    </row>
    <row r="761" spans="1:9" x14ac:dyDescent="0.3">
      <c r="A761" t="s">
        <v>2040</v>
      </c>
      <c r="B761" t="s">
        <v>2041</v>
      </c>
      <c r="C761">
        <v>1.75</v>
      </c>
      <c r="D761" t="s">
        <v>345</v>
      </c>
      <c r="E761" t="s">
        <v>2042</v>
      </c>
      <c r="I761" t="s">
        <v>2043</v>
      </c>
    </row>
    <row r="762" spans="1:9" x14ac:dyDescent="0.3">
      <c r="A762" t="s">
        <v>2044</v>
      </c>
      <c r="B762" t="s">
        <v>2045</v>
      </c>
      <c r="C762">
        <v>2</v>
      </c>
      <c r="D762" t="s">
        <v>1338</v>
      </c>
      <c r="E762" t="s">
        <v>1043</v>
      </c>
    </row>
    <row r="763" spans="1:9" x14ac:dyDescent="0.3">
      <c r="A763" t="s">
        <v>2046</v>
      </c>
      <c r="B763" t="s">
        <v>2047</v>
      </c>
      <c r="C763">
        <v>0.5</v>
      </c>
      <c r="D763" t="s">
        <v>23</v>
      </c>
      <c r="E763" t="s">
        <v>349</v>
      </c>
    </row>
    <row r="764" spans="1:9" x14ac:dyDescent="0.3">
      <c r="A764" t="s">
        <v>2048</v>
      </c>
      <c r="B764" t="s">
        <v>2049</v>
      </c>
      <c r="C764">
        <v>0.25</v>
      </c>
      <c r="D764" t="s">
        <v>37</v>
      </c>
      <c r="E764" t="s">
        <v>2050</v>
      </c>
    </row>
    <row r="765" spans="1:9" x14ac:dyDescent="0.3">
      <c r="A765" t="s">
        <v>2051</v>
      </c>
      <c r="B765" t="s">
        <v>2052</v>
      </c>
      <c r="C765">
        <v>3</v>
      </c>
      <c r="E765" t="s">
        <v>2053</v>
      </c>
    </row>
    <row r="766" spans="1:9" x14ac:dyDescent="0.3">
      <c r="A766" t="s">
        <v>2054</v>
      </c>
      <c r="B766" t="s">
        <v>2055</v>
      </c>
      <c r="C766">
        <v>4</v>
      </c>
      <c r="D766" t="s">
        <v>189</v>
      </c>
      <c r="E766" t="s">
        <v>2056</v>
      </c>
    </row>
    <row r="767" spans="1:9" x14ac:dyDescent="0.3">
      <c r="A767" t="s">
        <v>2057</v>
      </c>
      <c r="B767" t="s">
        <v>2058</v>
      </c>
      <c r="C767">
        <v>0.75</v>
      </c>
      <c r="D767" t="s">
        <v>284</v>
      </c>
      <c r="E767" t="s">
        <v>2059</v>
      </c>
    </row>
    <row r="768" spans="1:9" x14ac:dyDescent="0.3">
      <c r="A768" t="s">
        <v>2060</v>
      </c>
      <c r="B768" t="s">
        <v>2061</v>
      </c>
      <c r="C768">
        <v>70</v>
      </c>
      <c r="D768" t="s">
        <v>29</v>
      </c>
      <c r="E768" t="s">
        <v>57</v>
      </c>
    </row>
    <row r="769" spans="1:9" x14ac:dyDescent="0.3">
      <c r="A769" t="s">
        <v>2062</v>
      </c>
      <c r="B769" t="s">
        <v>2063</v>
      </c>
      <c r="C769">
        <v>10.5</v>
      </c>
      <c r="D769" t="s">
        <v>91</v>
      </c>
      <c r="E769" t="s">
        <v>1407</v>
      </c>
    </row>
    <row r="770" spans="1:9" x14ac:dyDescent="0.3">
      <c r="A770" t="s">
        <v>2064</v>
      </c>
      <c r="B770" t="s">
        <v>1156</v>
      </c>
      <c r="C770">
        <v>4</v>
      </c>
      <c r="D770" t="s">
        <v>189</v>
      </c>
      <c r="E770" t="s">
        <v>190</v>
      </c>
    </row>
    <row r="771" spans="1:9" x14ac:dyDescent="0.3">
      <c r="A771" t="s">
        <v>2065</v>
      </c>
      <c r="B771" t="s">
        <v>2066</v>
      </c>
      <c r="C771">
        <v>1</v>
      </c>
      <c r="D771" t="s">
        <v>11</v>
      </c>
      <c r="E771" t="s">
        <v>2067</v>
      </c>
    </row>
    <row r="772" spans="1:9" x14ac:dyDescent="0.3">
      <c r="A772" t="s">
        <v>2068</v>
      </c>
      <c r="B772" t="s">
        <v>2069</v>
      </c>
      <c r="C772">
        <v>2</v>
      </c>
      <c r="D772" t="s">
        <v>23</v>
      </c>
      <c r="E772" t="s">
        <v>64</v>
      </c>
    </row>
    <row r="773" spans="1:9" x14ac:dyDescent="0.3">
      <c r="A773" t="s">
        <v>1403</v>
      </c>
      <c r="B773" t="s">
        <v>2070</v>
      </c>
      <c r="C773">
        <v>1</v>
      </c>
      <c r="D773" t="s">
        <v>23</v>
      </c>
      <c r="E773" t="s">
        <v>38</v>
      </c>
      <c r="G773" t="s">
        <v>68</v>
      </c>
    </row>
    <row r="774" spans="1:9" x14ac:dyDescent="0.3">
      <c r="A774" t="s">
        <v>2071</v>
      </c>
      <c r="B774" t="s">
        <v>2072</v>
      </c>
      <c r="C774">
        <v>0.5</v>
      </c>
      <c r="D774" t="s">
        <v>37</v>
      </c>
      <c r="E774" t="s">
        <v>1927</v>
      </c>
      <c r="I774" t="s">
        <v>2073</v>
      </c>
    </row>
    <row r="775" spans="1:9" x14ac:dyDescent="0.3">
      <c r="A775" t="s">
        <v>2074</v>
      </c>
      <c r="B775" t="s">
        <v>2075</v>
      </c>
      <c r="C775">
        <v>24</v>
      </c>
      <c r="D775" t="s">
        <v>91</v>
      </c>
      <c r="E775" t="s">
        <v>278</v>
      </c>
    </row>
    <row r="776" spans="1:9" x14ac:dyDescent="0.3">
      <c r="A776" t="s">
        <v>2076</v>
      </c>
      <c r="B776" t="s">
        <v>2077</v>
      </c>
      <c r="C776">
        <v>1</v>
      </c>
      <c r="D776" t="s">
        <v>284</v>
      </c>
      <c r="E776" t="s">
        <v>2078</v>
      </c>
      <c r="F776" t="s">
        <v>2079</v>
      </c>
    </row>
    <row r="777" spans="1:9" x14ac:dyDescent="0.3">
      <c r="A777" t="s">
        <v>2080</v>
      </c>
      <c r="B777" t="s">
        <v>2081</v>
      </c>
      <c r="C777" t="s">
        <v>2082</v>
      </c>
      <c r="D777" t="s">
        <v>345</v>
      </c>
      <c r="E777" t="s">
        <v>1644</v>
      </c>
      <c r="I777" t="s">
        <v>2083</v>
      </c>
    </row>
    <row r="778" spans="1:9" x14ac:dyDescent="0.3">
      <c r="A778" t="s">
        <v>2084</v>
      </c>
      <c r="B778" t="s">
        <v>2085</v>
      </c>
      <c r="C778">
        <v>1</v>
      </c>
      <c r="D778" t="s">
        <v>23</v>
      </c>
      <c r="E778" t="s">
        <v>2086</v>
      </c>
    </row>
    <row r="779" spans="1:9" x14ac:dyDescent="0.3">
      <c r="A779" t="s">
        <v>2087</v>
      </c>
      <c r="B779" t="s">
        <v>2088</v>
      </c>
      <c r="C779">
        <v>1</v>
      </c>
      <c r="D779" t="s">
        <v>1990</v>
      </c>
      <c r="E779" t="s">
        <v>163</v>
      </c>
      <c r="I779" t="s">
        <v>248</v>
      </c>
    </row>
    <row r="780" spans="1:9" x14ac:dyDescent="0.3">
      <c r="A780" t="s">
        <v>441</v>
      </c>
      <c r="B780" t="s">
        <v>2089</v>
      </c>
      <c r="C780">
        <v>12</v>
      </c>
      <c r="D780" t="s">
        <v>23</v>
      </c>
      <c r="E780" t="s">
        <v>24</v>
      </c>
      <c r="I780" t="s">
        <v>2090</v>
      </c>
    </row>
    <row r="781" spans="1:9" x14ac:dyDescent="0.3">
      <c r="A781" t="s">
        <v>122</v>
      </c>
      <c r="B781" t="s">
        <v>2091</v>
      </c>
      <c r="C781">
        <v>1.5</v>
      </c>
      <c r="D781" t="s">
        <v>345</v>
      </c>
      <c r="E781" t="s">
        <v>2092</v>
      </c>
      <c r="I781" t="s">
        <v>2093</v>
      </c>
    </row>
    <row r="782" spans="1:9" x14ac:dyDescent="0.3">
      <c r="A782" t="s">
        <v>172</v>
      </c>
      <c r="B782" t="s">
        <v>173</v>
      </c>
      <c r="E782" t="s">
        <v>173</v>
      </c>
    </row>
    <row r="783" spans="1:9" x14ac:dyDescent="0.3">
      <c r="A783" t="s">
        <v>2094</v>
      </c>
      <c r="B783" t="s">
        <v>2095</v>
      </c>
      <c r="C783">
        <v>1.5</v>
      </c>
      <c r="D783" t="s">
        <v>23</v>
      </c>
      <c r="E783" t="s">
        <v>2096</v>
      </c>
    </row>
    <row r="784" spans="1:9" x14ac:dyDescent="0.3">
      <c r="A784" t="s">
        <v>2097</v>
      </c>
      <c r="B784" t="s">
        <v>2098</v>
      </c>
      <c r="C784">
        <v>1</v>
      </c>
      <c r="D784" t="s">
        <v>11</v>
      </c>
      <c r="E784" t="s">
        <v>2099</v>
      </c>
      <c r="I784" t="s">
        <v>654</v>
      </c>
    </row>
    <row r="785" spans="1:9" x14ac:dyDescent="0.3">
      <c r="A785" t="s">
        <v>2100</v>
      </c>
      <c r="B785" t="s">
        <v>2101</v>
      </c>
      <c r="C785">
        <v>2</v>
      </c>
      <c r="D785" t="s">
        <v>176</v>
      </c>
      <c r="E785" t="s">
        <v>230</v>
      </c>
    </row>
    <row r="786" spans="1:9" x14ac:dyDescent="0.3">
      <c r="A786" t="s">
        <v>2102</v>
      </c>
      <c r="B786" t="s">
        <v>2103</v>
      </c>
      <c r="C786">
        <v>0.5</v>
      </c>
      <c r="D786" t="s">
        <v>206</v>
      </c>
      <c r="E786" t="s">
        <v>2104</v>
      </c>
    </row>
    <row r="787" spans="1:9" x14ac:dyDescent="0.3">
      <c r="A787" t="s">
        <v>2105</v>
      </c>
      <c r="B787" t="s">
        <v>1596</v>
      </c>
      <c r="C787">
        <v>1</v>
      </c>
      <c r="D787" t="s">
        <v>18</v>
      </c>
      <c r="E787" t="s">
        <v>190</v>
      </c>
    </row>
    <row r="788" spans="1:9" x14ac:dyDescent="0.3">
      <c r="A788" t="s">
        <v>2106</v>
      </c>
      <c r="B788" t="s">
        <v>2107</v>
      </c>
      <c r="C788">
        <v>1</v>
      </c>
      <c r="E788" t="s">
        <v>377</v>
      </c>
      <c r="F788" t="s">
        <v>1983</v>
      </c>
      <c r="I788" t="s">
        <v>2108</v>
      </c>
    </row>
    <row r="789" spans="1:9" x14ac:dyDescent="0.3">
      <c r="A789" t="s">
        <v>2109</v>
      </c>
      <c r="B789" t="s">
        <v>2110</v>
      </c>
      <c r="C789">
        <v>12.5</v>
      </c>
      <c r="D789" t="s">
        <v>29</v>
      </c>
      <c r="E789" t="s">
        <v>199</v>
      </c>
    </row>
    <row r="790" spans="1:9" x14ac:dyDescent="0.3">
      <c r="A790" t="s">
        <v>2111</v>
      </c>
      <c r="B790" t="s">
        <v>2112</v>
      </c>
      <c r="C790">
        <v>6</v>
      </c>
      <c r="D790" t="s">
        <v>227</v>
      </c>
      <c r="E790" t="s">
        <v>413</v>
      </c>
    </row>
    <row r="791" spans="1:9" x14ac:dyDescent="0.3">
      <c r="A791" t="s">
        <v>2113</v>
      </c>
      <c r="B791" t="s">
        <v>2114</v>
      </c>
      <c r="C791">
        <v>1</v>
      </c>
      <c r="D791" t="s">
        <v>23</v>
      </c>
      <c r="E791" t="s">
        <v>2115</v>
      </c>
    </row>
    <row r="792" spans="1:9" x14ac:dyDescent="0.3">
      <c r="A792" t="s">
        <v>2116</v>
      </c>
      <c r="B792" t="s">
        <v>2117</v>
      </c>
      <c r="C792">
        <v>1</v>
      </c>
      <c r="D792" t="s">
        <v>284</v>
      </c>
      <c r="E792" t="s">
        <v>209</v>
      </c>
    </row>
    <row r="793" spans="1:9" x14ac:dyDescent="0.3">
      <c r="A793" t="s">
        <v>2118</v>
      </c>
      <c r="B793" t="s">
        <v>2119</v>
      </c>
      <c r="C793">
        <v>1.5</v>
      </c>
      <c r="D793" t="s">
        <v>146</v>
      </c>
      <c r="E793" t="s">
        <v>2120</v>
      </c>
      <c r="I793" t="s">
        <v>2121</v>
      </c>
    </row>
    <row r="794" spans="1:9" x14ac:dyDescent="0.3">
      <c r="A794" t="s">
        <v>2122</v>
      </c>
      <c r="B794" t="s">
        <v>2123</v>
      </c>
      <c r="C794">
        <v>1</v>
      </c>
      <c r="E794" t="s">
        <v>2124</v>
      </c>
    </row>
    <row r="795" spans="1:9" x14ac:dyDescent="0.3">
      <c r="A795" t="s">
        <v>2125</v>
      </c>
      <c r="B795" t="s">
        <v>2126</v>
      </c>
      <c r="C795">
        <v>2</v>
      </c>
      <c r="D795" t="s">
        <v>189</v>
      </c>
      <c r="E795" t="s">
        <v>2127</v>
      </c>
    </row>
    <row r="796" spans="1:9" x14ac:dyDescent="0.3">
      <c r="A796" t="s">
        <v>2128</v>
      </c>
      <c r="B796" t="s">
        <v>2129</v>
      </c>
      <c r="C796">
        <v>0.25</v>
      </c>
      <c r="D796" t="s">
        <v>23</v>
      </c>
      <c r="E796" t="s">
        <v>2130</v>
      </c>
    </row>
    <row r="797" spans="1:9" x14ac:dyDescent="0.3">
      <c r="A797" t="s">
        <v>2131</v>
      </c>
      <c r="B797" t="s">
        <v>2132</v>
      </c>
      <c r="E797" t="s">
        <v>2132</v>
      </c>
    </row>
    <row r="798" spans="1:9" x14ac:dyDescent="0.3">
      <c r="A798" t="s">
        <v>2133</v>
      </c>
      <c r="B798" t="s">
        <v>2134</v>
      </c>
      <c r="C798">
        <v>100</v>
      </c>
      <c r="D798" t="s">
        <v>29</v>
      </c>
      <c r="E798" t="s">
        <v>2135</v>
      </c>
    </row>
    <row r="799" spans="1:9" x14ac:dyDescent="0.3">
      <c r="A799" t="s">
        <v>2136</v>
      </c>
      <c r="B799" t="s">
        <v>2137</v>
      </c>
      <c r="E799" t="s">
        <v>2138</v>
      </c>
      <c r="I799" t="s">
        <v>65</v>
      </c>
    </row>
    <row r="800" spans="1:9" x14ac:dyDescent="0.3">
      <c r="A800" t="s">
        <v>2139</v>
      </c>
      <c r="B800" t="s">
        <v>2140</v>
      </c>
      <c r="C800">
        <v>1</v>
      </c>
      <c r="D800" t="s">
        <v>23</v>
      </c>
      <c r="E800" t="s">
        <v>716</v>
      </c>
    </row>
    <row r="801" spans="1:9" x14ac:dyDescent="0.3">
      <c r="A801" t="s">
        <v>2141</v>
      </c>
      <c r="B801" t="s">
        <v>2142</v>
      </c>
      <c r="C801">
        <v>1</v>
      </c>
      <c r="D801" t="s">
        <v>23</v>
      </c>
      <c r="E801" t="s">
        <v>160</v>
      </c>
      <c r="F801" t="s">
        <v>68</v>
      </c>
    </row>
    <row r="802" spans="1:9" x14ac:dyDescent="0.3">
      <c r="A802" t="s">
        <v>2143</v>
      </c>
      <c r="B802" t="s">
        <v>188</v>
      </c>
      <c r="C802">
        <v>2</v>
      </c>
      <c r="D802" t="s">
        <v>189</v>
      </c>
      <c r="E802" t="s">
        <v>190</v>
      </c>
    </row>
    <row r="803" spans="1:9" x14ac:dyDescent="0.3">
      <c r="A803" t="s">
        <v>2144</v>
      </c>
      <c r="B803" t="s">
        <v>2145</v>
      </c>
      <c r="C803">
        <v>0.75</v>
      </c>
      <c r="D803" t="s">
        <v>11</v>
      </c>
      <c r="E803" t="s">
        <v>2146</v>
      </c>
    </row>
    <row r="804" spans="1:9" x14ac:dyDescent="0.3">
      <c r="A804" t="s">
        <v>2147</v>
      </c>
      <c r="B804" t="s">
        <v>2148</v>
      </c>
      <c r="C804">
        <v>12</v>
      </c>
      <c r="D804" t="s">
        <v>23</v>
      </c>
      <c r="E804" t="s">
        <v>1416</v>
      </c>
    </row>
    <row r="805" spans="1:9" x14ac:dyDescent="0.3">
      <c r="A805" t="s">
        <v>2149</v>
      </c>
      <c r="B805" t="s">
        <v>2150</v>
      </c>
      <c r="C805">
        <v>2</v>
      </c>
      <c r="D805" t="s">
        <v>23</v>
      </c>
      <c r="E805" t="s">
        <v>220</v>
      </c>
    </row>
    <row r="806" spans="1:9" x14ac:dyDescent="0.3">
      <c r="A806" t="s">
        <v>2151</v>
      </c>
      <c r="B806" t="s">
        <v>2152</v>
      </c>
      <c r="C806">
        <v>3</v>
      </c>
      <c r="D806" t="s">
        <v>23</v>
      </c>
      <c r="E806" t="s">
        <v>399</v>
      </c>
    </row>
    <row r="807" spans="1:9" x14ac:dyDescent="0.3">
      <c r="A807" t="s">
        <v>2153</v>
      </c>
      <c r="B807" t="s">
        <v>2154</v>
      </c>
      <c r="E807" t="s">
        <v>333</v>
      </c>
      <c r="I807" t="s">
        <v>2155</v>
      </c>
    </row>
    <row r="808" spans="1:9" x14ac:dyDescent="0.3">
      <c r="A808" t="s">
        <v>2156</v>
      </c>
      <c r="B808" t="s">
        <v>2157</v>
      </c>
      <c r="D808" t="s">
        <v>2158</v>
      </c>
      <c r="E808" t="s">
        <v>1056</v>
      </c>
      <c r="I808" t="s">
        <v>164</v>
      </c>
    </row>
    <row r="809" spans="1:9" x14ac:dyDescent="0.3">
      <c r="A809" t="s">
        <v>2159</v>
      </c>
      <c r="B809" t="s">
        <v>2160</v>
      </c>
      <c r="C809">
        <v>0.5</v>
      </c>
      <c r="D809" t="s">
        <v>23</v>
      </c>
      <c r="E809" t="s">
        <v>355</v>
      </c>
    </row>
    <row r="810" spans="1:9" x14ac:dyDescent="0.3">
      <c r="A810" t="s">
        <v>2161</v>
      </c>
      <c r="B810" t="s">
        <v>1430</v>
      </c>
      <c r="C810">
        <v>25</v>
      </c>
      <c r="D810" t="s">
        <v>29</v>
      </c>
      <c r="E810" t="s">
        <v>1431</v>
      </c>
    </row>
    <row r="811" spans="1:9" x14ac:dyDescent="0.3">
      <c r="A811" t="s">
        <v>2162</v>
      </c>
      <c r="B811" t="s">
        <v>2163</v>
      </c>
      <c r="C811">
        <v>75</v>
      </c>
      <c r="D811" t="s">
        <v>29</v>
      </c>
      <c r="E811" t="s">
        <v>1204</v>
      </c>
    </row>
    <row r="812" spans="1:9" x14ac:dyDescent="0.3">
      <c r="A812" t="s">
        <v>2164</v>
      </c>
      <c r="B812" t="s">
        <v>2165</v>
      </c>
      <c r="E812" t="s">
        <v>2166</v>
      </c>
      <c r="F812" t="s">
        <v>2167</v>
      </c>
      <c r="I812" t="s">
        <v>164</v>
      </c>
    </row>
    <row r="813" spans="1:9" x14ac:dyDescent="0.3">
      <c r="A813" t="s">
        <v>2168</v>
      </c>
      <c r="B813" t="s">
        <v>2169</v>
      </c>
      <c r="C813">
        <v>3</v>
      </c>
      <c r="D813" t="s">
        <v>23</v>
      </c>
      <c r="E813" t="s">
        <v>380</v>
      </c>
    </row>
    <row r="814" spans="1:9" x14ac:dyDescent="0.3">
      <c r="A814" t="s">
        <v>2170</v>
      </c>
      <c r="B814" t="s">
        <v>2171</v>
      </c>
      <c r="C814">
        <v>75</v>
      </c>
      <c r="D814" t="s">
        <v>29</v>
      </c>
      <c r="E814" t="s">
        <v>1204</v>
      </c>
    </row>
    <row r="815" spans="1:9" x14ac:dyDescent="0.3">
      <c r="A815" t="s">
        <v>2172</v>
      </c>
      <c r="B815" t="s">
        <v>1584</v>
      </c>
      <c r="C815">
        <v>35</v>
      </c>
      <c r="D815" t="s">
        <v>29</v>
      </c>
      <c r="E815" t="s">
        <v>311</v>
      </c>
    </row>
    <row r="816" spans="1:9" x14ac:dyDescent="0.3">
      <c r="A816" t="s">
        <v>2173</v>
      </c>
      <c r="B816" t="s">
        <v>2174</v>
      </c>
      <c r="E816" t="s">
        <v>776</v>
      </c>
      <c r="I816" t="s">
        <v>2175</v>
      </c>
    </row>
    <row r="817" spans="1:9" x14ac:dyDescent="0.3">
      <c r="A817" t="s">
        <v>2176</v>
      </c>
      <c r="B817" t="s">
        <v>2177</v>
      </c>
      <c r="C817">
        <v>2</v>
      </c>
      <c r="D817" t="s">
        <v>227</v>
      </c>
      <c r="E817" t="s">
        <v>2178</v>
      </c>
    </row>
    <row r="818" spans="1:9" x14ac:dyDescent="0.3">
      <c r="A818" t="s">
        <v>2179</v>
      </c>
      <c r="B818" t="s">
        <v>2180</v>
      </c>
      <c r="C818">
        <v>1</v>
      </c>
      <c r="D818" t="s">
        <v>23</v>
      </c>
      <c r="E818" t="s">
        <v>2181</v>
      </c>
    </row>
    <row r="819" spans="1:9" x14ac:dyDescent="0.3">
      <c r="A819" t="s">
        <v>2182</v>
      </c>
      <c r="B819" t="s">
        <v>2183</v>
      </c>
      <c r="C819">
        <v>40</v>
      </c>
      <c r="D819" t="s">
        <v>29</v>
      </c>
      <c r="E819" t="s">
        <v>281</v>
      </c>
      <c r="I819" t="s">
        <v>1516</v>
      </c>
    </row>
    <row r="820" spans="1:9" x14ac:dyDescent="0.3">
      <c r="A820" t="s">
        <v>2184</v>
      </c>
      <c r="B820" t="s">
        <v>2185</v>
      </c>
      <c r="C820">
        <v>0.5</v>
      </c>
      <c r="D820" t="s">
        <v>11</v>
      </c>
      <c r="E820" t="s">
        <v>180</v>
      </c>
    </row>
    <row r="821" spans="1:9" x14ac:dyDescent="0.3">
      <c r="A821" t="s">
        <v>2186</v>
      </c>
      <c r="B821" t="s">
        <v>2187</v>
      </c>
      <c r="C821">
        <v>6</v>
      </c>
      <c r="D821" t="s">
        <v>23</v>
      </c>
      <c r="E821" t="s">
        <v>2188</v>
      </c>
    </row>
    <row r="822" spans="1:9" x14ac:dyDescent="0.3">
      <c r="A822" t="s">
        <v>2189</v>
      </c>
      <c r="B822" t="s">
        <v>2190</v>
      </c>
      <c r="C822">
        <v>6</v>
      </c>
      <c r="D822" t="s">
        <v>2191</v>
      </c>
      <c r="E822" t="s">
        <v>2192</v>
      </c>
    </row>
    <row r="823" spans="1:9" x14ac:dyDescent="0.3">
      <c r="A823" t="s">
        <v>2193</v>
      </c>
      <c r="B823" t="s">
        <v>2194</v>
      </c>
      <c r="C823">
        <v>0.5</v>
      </c>
      <c r="D823" t="s">
        <v>23</v>
      </c>
      <c r="E823" t="s">
        <v>1238</v>
      </c>
    </row>
    <row r="824" spans="1:9" x14ac:dyDescent="0.3">
      <c r="A824" t="s">
        <v>2195</v>
      </c>
      <c r="B824" t="s">
        <v>2196</v>
      </c>
      <c r="C824">
        <v>2</v>
      </c>
      <c r="D824" t="s">
        <v>227</v>
      </c>
      <c r="E824" t="s">
        <v>2197</v>
      </c>
    </row>
    <row r="825" spans="1:9" x14ac:dyDescent="0.3">
      <c r="A825" t="s">
        <v>2198</v>
      </c>
      <c r="B825" t="s">
        <v>337</v>
      </c>
      <c r="C825">
        <v>1</v>
      </c>
      <c r="D825" t="s">
        <v>23</v>
      </c>
      <c r="E825" t="s">
        <v>338</v>
      </c>
    </row>
    <row r="826" spans="1:9" x14ac:dyDescent="0.3">
      <c r="A826" t="s">
        <v>2199</v>
      </c>
      <c r="B826" t="s">
        <v>2200</v>
      </c>
      <c r="C826">
        <v>0.67</v>
      </c>
      <c r="D826" t="s">
        <v>227</v>
      </c>
      <c r="E826" t="s">
        <v>2201</v>
      </c>
    </row>
    <row r="827" spans="1:9" x14ac:dyDescent="0.3">
      <c r="A827" t="s">
        <v>2202</v>
      </c>
      <c r="B827" t="s">
        <v>2203</v>
      </c>
      <c r="C827">
        <v>1</v>
      </c>
      <c r="D827" t="s">
        <v>426</v>
      </c>
      <c r="E827" t="s">
        <v>2204</v>
      </c>
    </row>
    <row r="828" spans="1:9" x14ac:dyDescent="0.3">
      <c r="A828" t="s">
        <v>2205</v>
      </c>
      <c r="B828" t="s">
        <v>2206</v>
      </c>
      <c r="C828">
        <v>50</v>
      </c>
      <c r="D828" t="s">
        <v>29</v>
      </c>
      <c r="E828" t="s">
        <v>2207</v>
      </c>
    </row>
    <row r="829" spans="1:9" x14ac:dyDescent="0.3">
      <c r="A829" t="s">
        <v>2208</v>
      </c>
      <c r="B829" t="s">
        <v>2209</v>
      </c>
      <c r="C829">
        <v>0.5</v>
      </c>
      <c r="D829" t="s">
        <v>2210</v>
      </c>
      <c r="E829" t="s">
        <v>2211</v>
      </c>
    </row>
    <row r="830" spans="1:9" x14ac:dyDescent="0.3">
      <c r="A830" t="s">
        <v>2212</v>
      </c>
      <c r="B830" t="s">
        <v>2213</v>
      </c>
      <c r="C830">
        <v>3</v>
      </c>
      <c r="D830" t="s">
        <v>189</v>
      </c>
      <c r="E830" t="s">
        <v>2214</v>
      </c>
      <c r="I830" t="s">
        <v>2215</v>
      </c>
    </row>
    <row r="831" spans="1:9" x14ac:dyDescent="0.3">
      <c r="A831" t="s">
        <v>2216</v>
      </c>
      <c r="B831" t="s">
        <v>2217</v>
      </c>
      <c r="C831">
        <v>6</v>
      </c>
      <c r="D831" t="s">
        <v>71</v>
      </c>
      <c r="E831" t="s">
        <v>2218</v>
      </c>
      <c r="I831" t="e">
        <f>- I used Old Overholt</f>
        <v>#NAME?</v>
      </c>
    </row>
    <row r="832" spans="1:9" x14ac:dyDescent="0.3">
      <c r="A832" t="s">
        <v>2219</v>
      </c>
      <c r="B832" t="s">
        <v>2220</v>
      </c>
      <c r="C832">
        <v>1</v>
      </c>
      <c r="D832" t="s">
        <v>1671</v>
      </c>
      <c r="E832" t="s">
        <v>163</v>
      </c>
    </row>
    <row r="833" spans="1:9" x14ac:dyDescent="0.3">
      <c r="A833" t="s">
        <v>2221</v>
      </c>
      <c r="B833" t="s">
        <v>2222</v>
      </c>
      <c r="C833">
        <v>1.5</v>
      </c>
      <c r="D833" t="s">
        <v>23</v>
      </c>
      <c r="E833" t="s">
        <v>41</v>
      </c>
    </row>
    <row r="834" spans="1:9" x14ac:dyDescent="0.3">
      <c r="A834" t="s">
        <v>2223</v>
      </c>
      <c r="B834" t="s">
        <v>1670</v>
      </c>
      <c r="C834">
        <v>1</v>
      </c>
      <c r="D834" t="s">
        <v>1671</v>
      </c>
      <c r="E834" t="s">
        <v>163</v>
      </c>
      <c r="I834" t="s">
        <v>248</v>
      </c>
    </row>
    <row r="835" spans="1:9" x14ac:dyDescent="0.3">
      <c r="A835" t="s">
        <v>2224</v>
      </c>
      <c r="B835" t="s">
        <v>2225</v>
      </c>
      <c r="C835">
        <v>1</v>
      </c>
      <c r="D835" t="s">
        <v>23</v>
      </c>
      <c r="E835" t="s">
        <v>183</v>
      </c>
    </row>
    <row r="836" spans="1:9" x14ac:dyDescent="0.3">
      <c r="A836" t="s">
        <v>2226</v>
      </c>
      <c r="B836" t="s">
        <v>2227</v>
      </c>
      <c r="C836">
        <v>0.5</v>
      </c>
      <c r="E836" t="s">
        <v>30</v>
      </c>
      <c r="I836" t="s">
        <v>289</v>
      </c>
    </row>
    <row r="837" spans="1:9" x14ac:dyDescent="0.3">
      <c r="A837" t="s">
        <v>2228</v>
      </c>
      <c r="B837" t="s">
        <v>1065</v>
      </c>
      <c r="C837">
        <v>6</v>
      </c>
      <c r="E837" t="s">
        <v>950</v>
      </c>
    </row>
    <row r="838" spans="1:9" x14ac:dyDescent="0.3">
      <c r="A838" t="s">
        <v>934</v>
      </c>
      <c r="B838" t="s">
        <v>2229</v>
      </c>
      <c r="C838">
        <v>0.5</v>
      </c>
      <c r="D838" t="s">
        <v>23</v>
      </c>
      <c r="E838" t="s">
        <v>1209</v>
      </c>
    </row>
    <row r="839" spans="1:9" x14ac:dyDescent="0.3">
      <c r="A839" t="s">
        <v>2230</v>
      </c>
      <c r="B839" t="s">
        <v>2231</v>
      </c>
      <c r="C839">
        <v>25</v>
      </c>
      <c r="D839" t="s">
        <v>29</v>
      </c>
      <c r="E839" t="s">
        <v>738</v>
      </c>
    </row>
    <row r="840" spans="1:9" x14ac:dyDescent="0.3">
      <c r="A840" t="s">
        <v>2232</v>
      </c>
      <c r="B840" t="s">
        <v>2233</v>
      </c>
      <c r="C840">
        <v>2.5</v>
      </c>
      <c r="D840" t="s">
        <v>176</v>
      </c>
      <c r="E840" t="s">
        <v>160</v>
      </c>
    </row>
    <row r="841" spans="1:9" x14ac:dyDescent="0.3">
      <c r="A841" t="s">
        <v>2234</v>
      </c>
      <c r="B841" t="s">
        <v>2235</v>
      </c>
      <c r="C841">
        <v>2</v>
      </c>
      <c r="D841" t="s">
        <v>1983</v>
      </c>
      <c r="E841" t="s">
        <v>1984</v>
      </c>
    </row>
    <row r="842" spans="1:9" x14ac:dyDescent="0.3">
      <c r="A842" t="s">
        <v>2236</v>
      </c>
      <c r="B842" t="s">
        <v>2237</v>
      </c>
      <c r="C842">
        <v>0.5</v>
      </c>
      <c r="D842" t="s">
        <v>23</v>
      </c>
      <c r="E842" t="s">
        <v>30</v>
      </c>
    </row>
    <row r="843" spans="1:9" x14ac:dyDescent="0.3">
      <c r="A843" t="s">
        <v>2238</v>
      </c>
      <c r="B843" t="s">
        <v>2239</v>
      </c>
      <c r="C843">
        <v>35</v>
      </c>
      <c r="D843" t="s">
        <v>29</v>
      </c>
      <c r="E843" t="s">
        <v>2240</v>
      </c>
    </row>
    <row r="844" spans="1:9" x14ac:dyDescent="0.3">
      <c r="A844" t="s">
        <v>2241</v>
      </c>
      <c r="B844" t="s">
        <v>2242</v>
      </c>
      <c r="C844">
        <v>0.75</v>
      </c>
      <c r="D844" t="s">
        <v>37</v>
      </c>
      <c r="E844" t="s">
        <v>2243</v>
      </c>
    </row>
    <row r="845" spans="1:9" x14ac:dyDescent="0.3">
      <c r="A845" t="s">
        <v>2244</v>
      </c>
      <c r="B845" t="s">
        <v>674</v>
      </c>
      <c r="C845">
        <v>0.5</v>
      </c>
      <c r="D845" t="s">
        <v>23</v>
      </c>
      <c r="E845" t="s">
        <v>38</v>
      </c>
      <c r="G845" t="s">
        <v>68</v>
      </c>
    </row>
    <row r="846" spans="1:9" x14ac:dyDescent="0.3">
      <c r="A846" t="s">
        <v>2245</v>
      </c>
      <c r="B846" t="s">
        <v>2246</v>
      </c>
      <c r="C846">
        <v>3</v>
      </c>
      <c r="D846" t="s">
        <v>91</v>
      </c>
      <c r="E846" t="s">
        <v>2247</v>
      </c>
    </row>
    <row r="847" spans="1:9" x14ac:dyDescent="0.3">
      <c r="A847" t="s">
        <v>2248</v>
      </c>
      <c r="B847" t="s">
        <v>2249</v>
      </c>
      <c r="C847">
        <v>0.5</v>
      </c>
      <c r="D847" t="s">
        <v>37</v>
      </c>
      <c r="E847" t="s">
        <v>2250</v>
      </c>
      <c r="I847" t="s">
        <v>2251</v>
      </c>
    </row>
    <row r="848" spans="1:9" x14ac:dyDescent="0.3">
      <c r="A848" t="s">
        <v>2252</v>
      </c>
      <c r="B848" t="s">
        <v>2253</v>
      </c>
      <c r="C848">
        <v>0.5</v>
      </c>
      <c r="D848" t="s">
        <v>37</v>
      </c>
      <c r="E848" t="s">
        <v>657</v>
      </c>
    </row>
    <row r="849" spans="1:9" x14ac:dyDescent="0.3">
      <c r="A849" t="s">
        <v>2254</v>
      </c>
      <c r="B849" t="s">
        <v>2255</v>
      </c>
      <c r="C849">
        <v>6</v>
      </c>
      <c r="D849" t="s">
        <v>23</v>
      </c>
      <c r="E849" t="s">
        <v>2256</v>
      </c>
    </row>
    <row r="850" spans="1:9" x14ac:dyDescent="0.3">
      <c r="A850" t="s">
        <v>2257</v>
      </c>
      <c r="B850" t="s">
        <v>2258</v>
      </c>
      <c r="C850">
        <v>0.5</v>
      </c>
      <c r="D850" t="s">
        <v>23</v>
      </c>
      <c r="E850" t="s">
        <v>683</v>
      </c>
    </row>
    <row r="851" spans="1:9" x14ac:dyDescent="0.3">
      <c r="A851" t="s">
        <v>2259</v>
      </c>
      <c r="B851" t="s">
        <v>2260</v>
      </c>
      <c r="C851">
        <v>25</v>
      </c>
      <c r="D851" t="s">
        <v>29</v>
      </c>
      <c r="E851" t="s">
        <v>30</v>
      </c>
    </row>
    <row r="852" spans="1:9" x14ac:dyDescent="0.3">
      <c r="A852" t="s">
        <v>2261</v>
      </c>
      <c r="B852" t="s">
        <v>2262</v>
      </c>
      <c r="C852">
        <v>4</v>
      </c>
      <c r="D852" t="s">
        <v>23</v>
      </c>
      <c r="E852" t="s">
        <v>793</v>
      </c>
    </row>
    <row r="853" spans="1:9" x14ac:dyDescent="0.3">
      <c r="A853" t="s">
        <v>2263</v>
      </c>
      <c r="B853" t="s">
        <v>2264</v>
      </c>
      <c r="D853" t="s">
        <v>585</v>
      </c>
      <c r="E853" t="s">
        <v>1056</v>
      </c>
    </row>
    <row r="854" spans="1:9" x14ac:dyDescent="0.3">
      <c r="A854" t="s">
        <v>2265</v>
      </c>
      <c r="B854" t="s">
        <v>2266</v>
      </c>
      <c r="C854">
        <v>10</v>
      </c>
      <c r="D854" t="s">
        <v>2267</v>
      </c>
      <c r="E854" t="s">
        <v>2268</v>
      </c>
    </row>
    <row r="855" spans="1:9" x14ac:dyDescent="0.3">
      <c r="A855" t="s">
        <v>2269</v>
      </c>
      <c r="B855" t="s">
        <v>2270</v>
      </c>
      <c r="C855">
        <v>10.5</v>
      </c>
      <c r="D855" t="s">
        <v>91</v>
      </c>
      <c r="E855" t="s">
        <v>2271</v>
      </c>
      <c r="I855" t="s">
        <v>20</v>
      </c>
    </row>
    <row r="856" spans="1:9" x14ac:dyDescent="0.3">
      <c r="A856" t="s">
        <v>2272</v>
      </c>
      <c r="B856" t="s">
        <v>2273</v>
      </c>
      <c r="C856">
        <v>1</v>
      </c>
      <c r="D856" t="s">
        <v>18</v>
      </c>
      <c r="E856" t="s">
        <v>2274</v>
      </c>
    </row>
    <row r="857" spans="1:9" x14ac:dyDescent="0.3">
      <c r="A857" t="s">
        <v>2275</v>
      </c>
      <c r="B857" t="s">
        <v>2276</v>
      </c>
      <c r="C857">
        <v>2</v>
      </c>
      <c r="D857" t="s">
        <v>23</v>
      </c>
      <c r="E857" t="s">
        <v>2277</v>
      </c>
    </row>
    <row r="858" spans="1:9" x14ac:dyDescent="0.3">
      <c r="A858" t="s">
        <v>2278</v>
      </c>
      <c r="B858" t="s">
        <v>2279</v>
      </c>
      <c r="C858">
        <v>0.75</v>
      </c>
      <c r="D858" t="s">
        <v>11</v>
      </c>
      <c r="E858" t="s">
        <v>793</v>
      </c>
    </row>
    <row r="859" spans="1:9" x14ac:dyDescent="0.3">
      <c r="A859" t="s">
        <v>2280</v>
      </c>
      <c r="B859" t="s">
        <v>1034</v>
      </c>
      <c r="C859">
        <v>25</v>
      </c>
      <c r="D859" t="s">
        <v>29</v>
      </c>
      <c r="E859" t="s">
        <v>1035</v>
      </c>
    </row>
    <row r="860" spans="1:9" x14ac:dyDescent="0.3">
      <c r="A860" t="s">
        <v>2281</v>
      </c>
      <c r="B860" t="s">
        <v>2282</v>
      </c>
      <c r="C860">
        <v>2</v>
      </c>
      <c r="D860" t="s">
        <v>460</v>
      </c>
      <c r="E860" t="s">
        <v>51</v>
      </c>
    </row>
    <row r="861" spans="1:9" x14ac:dyDescent="0.3">
      <c r="A861" t="s">
        <v>2283</v>
      </c>
      <c r="B861" t="s">
        <v>2284</v>
      </c>
      <c r="C861">
        <v>5</v>
      </c>
      <c r="D861" t="s">
        <v>176</v>
      </c>
      <c r="E861" t="s">
        <v>728</v>
      </c>
    </row>
    <row r="862" spans="1:9" x14ac:dyDescent="0.3">
      <c r="A862" t="s">
        <v>2285</v>
      </c>
      <c r="B862" t="s">
        <v>2286</v>
      </c>
      <c r="C862">
        <v>2</v>
      </c>
      <c r="D862" t="s">
        <v>473</v>
      </c>
      <c r="E862" t="s">
        <v>516</v>
      </c>
    </row>
    <row r="863" spans="1:9" x14ac:dyDescent="0.3">
      <c r="A863" t="s">
        <v>2287</v>
      </c>
      <c r="B863" t="s">
        <v>2288</v>
      </c>
      <c r="C863">
        <v>1</v>
      </c>
      <c r="D863" t="s">
        <v>23</v>
      </c>
      <c r="E863" t="s">
        <v>2289</v>
      </c>
    </row>
    <row r="864" spans="1:9" x14ac:dyDescent="0.3">
      <c r="A864" t="s">
        <v>2290</v>
      </c>
      <c r="B864" t="s">
        <v>2291</v>
      </c>
      <c r="C864">
        <v>0.25</v>
      </c>
      <c r="D864" t="s">
        <v>460</v>
      </c>
      <c r="E864" t="s">
        <v>2292</v>
      </c>
    </row>
    <row r="865" spans="1:9" x14ac:dyDescent="0.3">
      <c r="A865" t="s">
        <v>2293</v>
      </c>
      <c r="B865" t="s">
        <v>2194</v>
      </c>
      <c r="C865">
        <v>0.5</v>
      </c>
      <c r="D865" t="s">
        <v>23</v>
      </c>
      <c r="E865" t="s">
        <v>1238</v>
      </c>
    </row>
    <row r="866" spans="1:9" x14ac:dyDescent="0.3">
      <c r="A866" t="s">
        <v>2294</v>
      </c>
      <c r="B866" t="s">
        <v>2295</v>
      </c>
      <c r="D866" t="s">
        <v>33</v>
      </c>
      <c r="E866" t="s">
        <v>2296</v>
      </c>
      <c r="I866" t="s">
        <v>998</v>
      </c>
    </row>
    <row r="867" spans="1:9" x14ac:dyDescent="0.3">
      <c r="A867" t="s">
        <v>2297</v>
      </c>
      <c r="B867" t="s">
        <v>2298</v>
      </c>
      <c r="C867">
        <v>3</v>
      </c>
      <c r="D867" t="s">
        <v>91</v>
      </c>
      <c r="E867" t="s">
        <v>2299</v>
      </c>
    </row>
    <row r="868" spans="1:9" x14ac:dyDescent="0.3">
      <c r="A868" t="s">
        <v>2300</v>
      </c>
      <c r="B868" t="s">
        <v>2301</v>
      </c>
      <c r="C868">
        <v>2</v>
      </c>
      <c r="D868" t="s">
        <v>146</v>
      </c>
      <c r="E868" t="s">
        <v>2302</v>
      </c>
    </row>
    <row r="869" spans="1:9" x14ac:dyDescent="0.3">
      <c r="A869" t="s">
        <v>2303</v>
      </c>
      <c r="B869" t="s">
        <v>2304</v>
      </c>
      <c r="C869">
        <v>2</v>
      </c>
      <c r="D869" t="s">
        <v>91</v>
      </c>
      <c r="E869" t="s">
        <v>2305</v>
      </c>
    </row>
    <row r="870" spans="1:9" x14ac:dyDescent="0.3">
      <c r="A870" t="s">
        <v>2306</v>
      </c>
      <c r="B870" t="s">
        <v>2307</v>
      </c>
      <c r="C870">
        <v>4</v>
      </c>
      <c r="D870" t="s">
        <v>23</v>
      </c>
      <c r="E870" t="s">
        <v>262</v>
      </c>
      <c r="I870">
        <v>5</v>
      </c>
    </row>
    <row r="871" spans="1:9" x14ac:dyDescent="0.3">
      <c r="A871" t="s">
        <v>2308</v>
      </c>
      <c r="B871" t="s">
        <v>2309</v>
      </c>
      <c r="C871">
        <v>0.5</v>
      </c>
      <c r="D871" t="s">
        <v>23</v>
      </c>
      <c r="E871" t="s">
        <v>338</v>
      </c>
    </row>
    <row r="872" spans="1:9" x14ac:dyDescent="0.3">
      <c r="A872" t="s">
        <v>2310</v>
      </c>
      <c r="B872" t="s">
        <v>2311</v>
      </c>
      <c r="C872">
        <v>1</v>
      </c>
      <c r="D872" t="s">
        <v>361</v>
      </c>
      <c r="E872" t="s">
        <v>2312</v>
      </c>
    </row>
    <row r="873" spans="1:9" x14ac:dyDescent="0.3">
      <c r="A873" t="s">
        <v>2313</v>
      </c>
      <c r="B873" t="s">
        <v>2314</v>
      </c>
      <c r="C873">
        <v>1</v>
      </c>
      <c r="D873" t="s">
        <v>91</v>
      </c>
      <c r="E873" t="s">
        <v>2315</v>
      </c>
      <c r="I873" t="s">
        <v>20</v>
      </c>
    </row>
    <row r="874" spans="1:9" x14ac:dyDescent="0.3">
      <c r="A874" t="s">
        <v>2316</v>
      </c>
      <c r="B874" t="s">
        <v>2011</v>
      </c>
      <c r="C874">
        <v>2</v>
      </c>
      <c r="D874" t="s">
        <v>189</v>
      </c>
      <c r="E874" t="s">
        <v>61</v>
      </c>
    </row>
    <row r="875" spans="1:9" x14ac:dyDescent="0.3">
      <c r="A875" t="s">
        <v>2317</v>
      </c>
      <c r="B875" t="s">
        <v>2318</v>
      </c>
      <c r="C875">
        <v>1</v>
      </c>
      <c r="D875" t="s">
        <v>11</v>
      </c>
      <c r="E875" t="s">
        <v>2207</v>
      </c>
    </row>
    <row r="876" spans="1:9" x14ac:dyDescent="0.3">
      <c r="A876" t="s">
        <v>2319</v>
      </c>
      <c r="B876" t="s">
        <v>2320</v>
      </c>
      <c r="C876">
        <v>1</v>
      </c>
      <c r="D876" t="s">
        <v>236</v>
      </c>
      <c r="E876" t="s">
        <v>1984</v>
      </c>
      <c r="F876" t="s">
        <v>2321</v>
      </c>
      <c r="I876" t="s">
        <v>325</v>
      </c>
    </row>
    <row r="877" spans="1:9" x14ac:dyDescent="0.3">
      <c r="A877" t="s">
        <v>2322</v>
      </c>
      <c r="B877" t="s">
        <v>2323</v>
      </c>
      <c r="C877">
        <v>0.25</v>
      </c>
      <c r="D877" t="s">
        <v>227</v>
      </c>
      <c r="E877" t="s">
        <v>2324</v>
      </c>
    </row>
    <row r="878" spans="1:9" x14ac:dyDescent="0.3">
      <c r="A878" t="s">
        <v>2325</v>
      </c>
      <c r="B878" t="s">
        <v>2326</v>
      </c>
      <c r="C878">
        <v>2</v>
      </c>
      <c r="D878" t="s">
        <v>473</v>
      </c>
      <c r="E878" t="s">
        <v>38</v>
      </c>
    </row>
    <row r="879" spans="1:9" x14ac:dyDescent="0.3">
      <c r="A879" t="s">
        <v>2327</v>
      </c>
      <c r="B879" t="s">
        <v>2328</v>
      </c>
      <c r="C879">
        <v>0.75</v>
      </c>
      <c r="D879" t="s">
        <v>11</v>
      </c>
      <c r="E879" t="s">
        <v>2329</v>
      </c>
    </row>
    <row r="880" spans="1:9" x14ac:dyDescent="0.3">
      <c r="A880" t="s">
        <v>2330</v>
      </c>
      <c r="B880" t="s">
        <v>2331</v>
      </c>
      <c r="C880">
        <v>0.75</v>
      </c>
      <c r="D880" t="s">
        <v>11</v>
      </c>
      <c r="E880" t="s">
        <v>2332</v>
      </c>
      <c r="I880" t="s">
        <v>20</v>
      </c>
    </row>
    <row r="881" spans="1:9" x14ac:dyDescent="0.3">
      <c r="A881" t="s">
        <v>2333</v>
      </c>
      <c r="B881" t="s">
        <v>1190</v>
      </c>
      <c r="C881">
        <v>0.5</v>
      </c>
      <c r="D881" t="s">
        <v>23</v>
      </c>
      <c r="E881" t="s">
        <v>199</v>
      </c>
    </row>
    <row r="882" spans="1:9" x14ac:dyDescent="0.3">
      <c r="A882" t="s">
        <v>2334</v>
      </c>
      <c r="B882" t="s">
        <v>2335</v>
      </c>
      <c r="C882">
        <v>1.5</v>
      </c>
      <c r="D882" t="s">
        <v>23</v>
      </c>
      <c r="E882" t="s">
        <v>2336</v>
      </c>
    </row>
    <row r="883" spans="1:9" x14ac:dyDescent="0.3">
      <c r="A883" t="s">
        <v>2337</v>
      </c>
      <c r="B883" t="s">
        <v>2338</v>
      </c>
      <c r="C883">
        <v>20</v>
      </c>
      <c r="D883" t="s">
        <v>29</v>
      </c>
      <c r="E883" t="s">
        <v>2339</v>
      </c>
    </row>
    <row r="884" spans="1:9" x14ac:dyDescent="0.3">
      <c r="A884" t="s">
        <v>2340</v>
      </c>
      <c r="B884" t="s">
        <v>2341</v>
      </c>
      <c r="C884">
        <v>1.5</v>
      </c>
      <c r="D884" t="s">
        <v>2210</v>
      </c>
      <c r="E884" t="s">
        <v>2342</v>
      </c>
    </row>
    <row r="885" spans="1:9" x14ac:dyDescent="0.3">
      <c r="A885" t="s">
        <v>2343</v>
      </c>
      <c r="B885" t="s">
        <v>2344</v>
      </c>
      <c r="C885">
        <v>1</v>
      </c>
      <c r="D885" t="s">
        <v>284</v>
      </c>
      <c r="E885" t="s">
        <v>413</v>
      </c>
      <c r="F885" t="s">
        <v>1014</v>
      </c>
      <c r="I885" t="s">
        <v>2345</v>
      </c>
    </row>
    <row r="886" spans="1:9" x14ac:dyDescent="0.3">
      <c r="A886" t="s">
        <v>2346</v>
      </c>
      <c r="B886" t="s">
        <v>2347</v>
      </c>
      <c r="C886">
        <v>3</v>
      </c>
      <c r="D886" t="s">
        <v>189</v>
      </c>
      <c r="E886" t="s">
        <v>2348</v>
      </c>
      <c r="I886" t="s">
        <v>20</v>
      </c>
    </row>
    <row r="887" spans="1:9" x14ac:dyDescent="0.3">
      <c r="A887" t="s">
        <v>2349</v>
      </c>
      <c r="B887" t="s">
        <v>1011</v>
      </c>
      <c r="E887" t="s">
        <v>1011</v>
      </c>
    </row>
    <row r="888" spans="1:9" x14ac:dyDescent="0.3">
      <c r="A888" t="s">
        <v>2350</v>
      </c>
      <c r="B888" t="s">
        <v>2351</v>
      </c>
      <c r="C888">
        <v>0.5</v>
      </c>
      <c r="D888" t="s">
        <v>23</v>
      </c>
      <c r="E888" t="s">
        <v>2352</v>
      </c>
    </row>
    <row r="889" spans="1:9" x14ac:dyDescent="0.3">
      <c r="A889" t="s">
        <v>2353</v>
      </c>
      <c r="B889" t="s">
        <v>2354</v>
      </c>
      <c r="E889" t="s">
        <v>2355</v>
      </c>
      <c r="F889" t="s">
        <v>1571</v>
      </c>
      <c r="H889" t="s">
        <v>1813</v>
      </c>
      <c r="I889" t="s">
        <v>2356</v>
      </c>
    </row>
    <row r="890" spans="1:9" x14ac:dyDescent="0.3">
      <c r="A890" t="s">
        <v>2357</v>
      </c>
      <c r="B890" t="s">
        <v>857</v>
      </c>
      <c r="E890" t="s">
        <v>857</v>
      </c>
    </row>
    <row r="891" spans="1:9" x14ac:dyDescent="0.3">
      <c r="A891" t="s">
        <v>2358</v>
      </c>
      <c r="B891" t="s">
        <v>2359</v>
      </c>
      <c r="C891">
        <v>6</v>
      </c>
      <c r="D891" t="s">
        <v>345</v>
      </c>
      <c r="E891" t="s">
        <v>160</v>
      </c>
      <c r="F891" t="s">
        <v>167</v>
      </c>
      <c r="G891" t="s">
        <v>168</v>
      </c>
      <c r="I891" t="s">
        <v>325</v>
      </c>
    </row>
    <row r="892" spans="1:9" x14ac:dyDescent="0.3">
      <c r="A892" t="s">
        <v>1215</v>
      </c>
      <c r="B892" t="s">
        <v>2360</v>
      </c>
      <c r="C892">
        <v>2</v>
      </c>
      <c r="D892" t="s">
        <v>473</v>
      </c>
      <c r="E892" t="s">
        <v>728</v>
      </c>
    </row>
    <row r="893" spans="1:9" x14ac:dyDescent="0.3">
      <c r="A893" t="s">
        <v>2361</v>
      </c>
      <c r="B893" t="s">
        <v>2362</v>
      </c>
      <c r="C893">
        <v>1.5</v>
      </c>
      <c r="D893" t="s">
        <v>23</v>
      </c>
      <c r="E893" t="s">
        <v>1003</v>
      </c>
    </row>
    <row r="894" spans="1:9" x14ac:dyDescent="0.3">
      <c r="A894" t="s">
        <v>2363</v>
      </c>
      <c r="B894" t="s">
        <v>2364</v>
      </c>
      <c r="C894">
        <v>3</v>
      </c>
      <c r="D894" t="s">
        <v>176</v>
      </c>
      <c r="E894" t="s">
        <v>2365</v>
      </c>
    </row>
    <row r="895" spans="1:9" x14ac:dyDescent="0.3">
      <c r="A895" t="s">
        <v>293</v>
      </c>
      <c r="B895" t="s">
        <v>722</v>
      </c>
      <c r="C895">
        <v>2</v>
      </c>
      <c r="E895" t="s">
        <v>723</v>
      </c>
    </row>
    <row r="896" spans="1:9" x14ac:dyDescent="0.3">
      <c r="A896" t="s">
        <v>2366</v>
      </c>
      <c r="B896" t="s">
        <v>2367</v>
      </c>
      <c r="C896">
        <v>1</v>
      </c>
      <c r="D896" t="s">
        <v>23</v>
      </c>
      <c r="E896" t="s">
        <v>2368</v>
      </c>
    </row>
    <row r="897" spans="1:9" x14ac:dyDescent="0.3">
      <c r="A897" t="s">
        <v>2369</v>
      </c>
      <c r="B897" t="s">
        <v>2370</v>
      </c>
      <c r="C897">
        <v>1</v>
      </c>
      <c r="D897" t="s">
        <v>284</v>
      </c>
      <c r="E897" t="s">
        <v>413</v>
      </c>
      <c r="F897" t="s">
        <v>1571</v>
      </c>
    </row>
    <row r="898" spans="1:9" x14ac:dyDescent="0.3">
      <c r="A898" t="s">
        <v>2371</v>
      </c>
      <c r="B898" t="s">
        <v>2372</v>
      </c>
      <c r="C898">
        <v>15</v>
      </c>
      <c r="D898" t="s">
        <v>29</v>
      </c>
      <c r="E898" t="s">
        <v>2373</v>
      </c>
    </row>
    <row r="899" spans="1:9" x14ac:dyDescent="0.3">
      <c r="A899" t="s">
        <v>2374</v>
      </c>
      <c r="B899" t="s">
        <v>2375</v>
      </c>
      <c r="C899">
        <v>2</v>
      </c>
      <c r="E899" t="s">
        <v>2376</v>
      </c>
      <c r="F899" t="s">
        <v>2377</v>
      </c>
      <c r="I899" t="s">
        <v>325</v>
      </c>
    </row>
    <row r="900" spans="1:9" x14ac:dyDescent="0.3">
      <c r="A900" t="s">
        <v>2378</v>
      </c>
      <c r="B900" t="s">
        <v>2379</v>
      </c>
      <c r="C900">
        <v>1</v>
      </c>
      <c r="D900" t="s">
        <v>37</v>
      </c>
      <c r="E900" t="s">
        <v>2380</v>
      </c>
      <c r="I900" t="s">
        <v>2028</v>
      </c>
    </row>
    <row r="901" spans="1:9" x14ac:dyDescent="0.3">
      <c r="A901" t="s">
        <v>2381</v>
      </c>
      <c r="B901" t="s">
        <v>2382</v>
      </c>
      <c r="C901">
        <v>1</v>
      </c>
      <c r="D901" t="s">
        <v>206</v>
      </c>
      <c r="E901" t="s">
        <v>1257</v>
      </c>
    </row>
    <row r="902" spans="1:9" x14ac:dyDescent="0.3">
      <c r="A902" t="s">
        <v>2383</v>
      </c>
      <c r="B902" t="s">
        <v>2384</v>
      </c>
      <c r="C902">
        <v>1</v>
      </c>
      <c r="D902" t="s">
        <v>23</v>
      </c>
      <c r="E902" t="s">
        <v>2385</v>
      </c>
    </row>
    <row r="903" spans="1:9" x14ac:dyDescent="0.3">
      <c r="A903" t="s">
        <v>2386</v>
      </c>
      <c r="B903" t="s">
        <v>2387</v>
      </c>
      <c r="C903">
        <v>9</v>
      </c>
      <c r="D903" t="s">
        <v>345</v>
      </c>
      <c r="E903" t="s">
        <v>2388</v>
      </c>
      <c r="I903" t="s">
        <v>2389</v>
      </c>
    </row>
    <row r="904" spans="1:9" x14ac:dyDescent="0.3">
      <c r="A904" t="s">
        <v>293</v>
      </c>
      <c r="B904" t="s">
        <v>2390</v>
      </c>
      <c r="C904">
        <v>2</v>
      </c>
      <c r="D904" t="s">
        <v>23</v>
      </c>
      <c r="E904" t="s">
        <v>847</v>
      </c>
    </row>
    <row r="905" spans="1:9" x14ac:dyDescent="0.3">
      <c r="A905" t="s">
        <v>2391</v>
      </c>
      <c r="B905" t="s">
        <v>2392</v>
      </c>
      <c r="C905">
        <v>1</v>
      </c>
      <c r="D905" t="s">
        <v>33</v>
      </c>
      <c r="E905" t="s">
        <v>377</v>
      </c>
    </row>
    <row r="906" spans="1:9" x14ac:dyDescent="0.3">
      <c r="A906" t="s">
        <v>576</v>
      </c>
      <c r="B906" t="s">
        <v>2393</v>
      </c>
      <c r="C906">
        <v>1</v>
      </c>
      <c r="D906" t="s">
        <v>460</v>
      </c>
      <c r="E906" t="s">
        <v>2394</v>
      </c>
    </row>
    <row r="907" spans="1:9" x14ac:dyDescent="0.3">
      <c r="A907" t="s">
        <v>2395</v>
      </c>
      <c r="B907" t="s">
        <v>2396</v>
      </c>
      <c r="D907" t="s">
        <v>2397</v>
      </c>
      <c r="E907" t="s">
        <v>237</v>
      </c>
      <c r="I907" t="s">
        <v>1124</v>
      </c>
    </row>
    <row r="908" spans="1:9" x14ac:dyDescent="0.3">
      <c r="A908" t="s">
        <v>2398</v>
      </c>
      <c r="B908" t="s">
        <v>2399</v>
      </c>
      <c r="C908">
        <v>3</v>
      </c>
      <c r="E908" t="s">
        <v>2400</v>
      </c>
      <c r="I908" t="s">
        <v>1938</v>
      </c>
    </row>
    <row r="909" spans="1:9" x14ac:dyDescent="0.3">
      <c r="A909" t="s">
        <v>2401</v>
      </c>
      <c r="B909" t="s">
        <v>2402</v>
      </c>
      <c r="C909">
        <v>50</v>
      </c>
      <c r="D909" t="s">
        <v>29</v>
      </c>
      <c r="E909" t="s">
        <v>2403</v>
      </c>
    </row>
    <row r="910" spans="1:9" x14ac:dyDescent="0.3">
      <c r="A910" t="s">
        <v>2404</v>
      </c>
      <c r="B910" t="s">
        <v>2405</v>
      </c>
      <c r="C910">
        <v>0.5</v>
      </c>
      <c r="D910" t="s">
        <v>37</v>
      </c>
      <c r="E910" t="s">
        <v>2406</v>
      </c>
      <c r="I910" t="s">
        <v>2407</v>
      </c>
    </row>
    <row r="911" spans="1:9" x14ac:dyDescent="0.3">
      <c r="A911" t="s">
        <v>2408</v>
      </c>
      <c r="B911" t="s">
        <v>2409</v>
      </c>
      <c r="C911">
        <v>1</v>
      </c>
      <c r="D911" t="s">
        <v>23</v>
      </c>
      <c r="E911" t="s">
        <v>2410</v>
      </c>
    </row>
    <row r="912" spans="1:9" x14ac:dyDescent="0.3">
      <c r="A912" t="s">
        <v>2411</v>
      </c>
      <c r="B912" t="s">
        <v>2412</v>
      </c>
      <c r="E912" t="s">
        <v>2413</v>
      </c>
      <c r="I912" t="s">
        <v>1968</v>
      </c>
    </row>
    <row r="913" spans="1:9" x14ac:dyDescent="0.3">
      <c r="A913" t="s">
        <v>2044</v>
      </c>
      <c r="B913" t="s">
        <v>2414</v>
      </c>
      <c r="C913">
        <v>50</v>
      </c>
      <c r="D913" t="s">
        <v>29</v>
      </c>
      <c r="E913" t="s">
        <v>2415</v>
      </c>
    </row>
    <row r="914" spans="1:9" x14ac:dyDescent="0.3">
      <c r="A914" t="s">
        <v>2416</v>
      </c>
      <c r="B914" t="s">
        <v>2417</v>
      </c>
      <c r="C914">
        <v>1</v>
      </c>
      <c r="D914" t="s">
        <v>426</v>
      </c>
      <c r="E914" t="s">
        <v>857</v>
      </c>
    </row>
    <row r="915" spans="1:9" x14ac:dyDescent="0.3">
      <c r="A915" t="s">
        <v>2418</v>
      </c>
      <c r="B915" t="s">
        <v>792</v>
      </c>
      <c r="C915">
        <v>0.5</v>
      </c>
      <c r="D915" t="s">
        <v>11</v>
      </c>
      <c r="E915" t="s">
        <v>793</v>
      </c>
    </row>
    <row r="916" spans="1:9" x14ac:dyDescent="0.3">
      <c r="A916" t="s">
        <v>2419</v>
      </c>
      <c r="B916" t="s">
        <v>2420</v>
      </c>
      <c r="C916">
        <v>1</v>
      </c>
      <c r="D916" t="s">
        <v>37</v>
      </c>
      <c r="E916" t="s">
        <v>230</v>
      </c>
      <c r="I916" t="s">
        <v>2421</v>
      </c>
    </row>
    <row r="917" spans="1:9" x14ac:dyDescent="0.3">
      <c r="A917" t="s">
        <v>2422</v>
      </c>
      <c r="B917" t="s">
        <v>2423</v>
      </c>
      <c r="C917">
        <v>2</v>
      </c>
      <c r="D917" t="s">
        <v>120</v>
      </c>
      <c r="E917" t="s">
        <v>2424</v>
      </c>
    </row>
    <row r="918" spans="1:9" x14ac:dyDescent="0.3">
      <c r="A918" t="s">
        <v>1648</v>
      </c>
      <c r="B918" t="s">
        <v>2425</v>
      </c>
      <c r="C918">
        <v>3</v>
      </c>
      <c r="D918" t="s">
        <v>71</v>
      </c>
      <c r="E918" t="s">
        <v>2426</v>
      </c>
      <c r="I918" t="e">
        <f>- I used D Argentum from Den Ny Spritfabrik - you could use vodka instead</f>
        <v>#NAME?</v>
      </c>
    </row>
    <row r="919" spans="1:9" x14ac:dyDescent="0.3">
      <c r="A919" t="s">
        <v>2427</v>
      </c>
      <c r="B919" t="s">
        <v>2428</v>
      </c>
      <c r="C919">
        <v>0.25</v>
      </c>
      <c r="D919" t="s">
        <v>23</v>
      </c>
      <c r="E919" t="s">
        <v>2429</v>
      </c>
    </row>
    <row r="920" spans="1:9" x14ac:dyDescent="0.3">
      <c r="A920" t="s">
        <v>2430</v>
      </c>
      <c r="B920" t="s">
        <v>401</v>
      </c>
      <c r="C920">
        <v>4</v>
      </c>
      <c r="D920" t="s">
        <v>23</v>
      </c>
      <c r="E920" t="s">
        <v>402</v>
      </c>
    </row>
    <row r="921" spans="1:9" x14ac:dyDescent="0.3">
      <c r="A921" t="s">
        <v>2431</v>
      </c>
      <c r="B921" t="s">
        <v>1670</v>
      </c>
      <c r="C921">
        <v>1</v>
      </c>
      <c r="D921" t="s">
        <v>1671</v>
      </c>
      <c r="E921" t="s">
        <v>163</v>
      </c>
      <c r="I921" t="s">
        <v>248</v>
      </c>
    </row>
    <row r="922" spans="1:9" x14ac:dyDescent="0.3">
      <c r="A922" t="s">
        <v>2432</v>
      </c>
      <c r="B922" t="s">
        <v>2433</v>
      </c>
      <c r="C922">
        <v>100</v>
      </c>
      <c r="D922" t="s">
        <v>29</v>
      </c>
      <c r="E922" t="s">
        <v>2434</v>
      </c>
    </row>
    <row r="923" spans="1:9" x14ac:dyDescent="0.3">
      <c r="A923" t="s">
        <v>2435</v>
      </c>
      <c r="B923" t="s">
        <v>879</v>
      </c>
      <c r="C923">
        <v>1</v>
      </c>
      <c r="D923" t="s">
        <v>23</v>
      </c>
      <c r="E923" t="s">
        <v>880</v>
      </c>
    </row>
    <row r="924" spans="1:9" x14ac:dyDescent="0.3">
      <c r="A924" t="s">
        <v>2436</v>
      </c>
      <c r="B924" t="s">
        <v>2437</v>
      </c>
      <c r="C924">
        <v>1</v>
      </c>
      <c r="D924" t="s">
        <v>37</v>
      </c>
      <c r="E924" t="s">
        <v>1537</v>
      </c>
    </row>
    <row r="925" spans="1:9" x14ac:dyDescent="0.3">
      <c r="A925" t="s">
        <v>2438</v>
      </c>
      <c r="B925" t="s">
        <v>2439</v>
      </c>
      <c r="C925">
        <v>3</v>
      </c>
      <c r="D925" t="s">
        <v>23</v>
      </c>
      <c r="E925" t="s">
        <v>2440</v>
      </c>
    </row>
    <row r="926" spans="1:9" x14ac:dyDescent="0.3">
      <c r="A926" t="s">
        <v>2441</v>
      </c>
      <c r="B926" t="s">
        <v>2442</v>
      </c>
      <c r="C926">
        <v>10</v>
      </c>
      <c r="D926" t="s">
        <v>29</v>
      </c>
      <c r="E926" t="s">
        <v>2443</v>
      </c>
    </row>
    <row r="927" spans="1:9" x14ac:dyDescent="0.3">
      <c r="A927" t="s">
        <v>2444</v>
      </c>
      <c r="B927" t="s">
        <v>2445</v>
      </c>
      <c r="C927">
        <v>10.5</v>
      </c>
      <c r="D927" t="s">
        <v>91</v>
      </c>
      <c r="E927" t="s">
        <v>2446</v>
      </c>
    </row>
    <row r="928" spans="1:9" x14ac:dyDescent="0.3">
      <c r="A928" t="s">
        <v>2447</v>
      </c>
      <c r="B928" t="s">
        <v>2448</v>
      </c>
      <c r="C928">
        <v>0.33</v>
      </c>
      <c r="D928" t="s">
        <v>37</v>
      </c>
      <c r="E928" t="s">
        <v>2449</v>
      </c>
      <c r="I928" t="s">
        <v>2028</v>
      </c>
    </row>
    <row r="929" spans="1:9" x14ac:dyDescent="0.3">
      <c r="A929" t="s">
        <v>2450</v>
      </c>
      <c r="B929" t="s">
        <v>953</v>
      </c>
      <c r="C929">
        <v>2</v>
      </c>
      <c r="D929" t="s">
        <v>23</v>
      </c>
      <c r="E929" t="s">
        <v>738</v>
      </c>
    </row>
    <row r="930" spans="1:9" x14ac:dyDescent="0.3">
      <c r="A930" t="s">
        <v>2451</v>
      </c>
      <c r="B930" t="s">
        <v>2452</v>
      </c>
      <c r="C930">
        <v>1.5</v>
      </c>
      <c r="D930" t="s">
        <v>23</v>
      </c>
      <c r="E930" t="s">
        <v>2453</v>
      </c>
    </row>
    <row r="931" spans="1:9" x14ac:dyDescent="0.3">
      <c r="A931" t="s">
        <v>2454</v>
      </c>
      <c r="B931" t="s">
        <v>2455</v>
      </c>
      <c r="C931">
        <v>0.5</v>
      </c>
      <c r="D931" t="s">
        <v>37</v>
      </c>
      <c r="E931" t="s">
        <v>199</v>
      </c>
      <c r="I931" t="s">
        <v>2456</v>
      </c>
    </row>
    <row r="932" spans="1:9" x14ac:dyDescent="0.3">
      <c r="A932" t="s">
        <v>2457</v>
      </c>
      <c r="B932" t="s">
        <v>824</v>
      </c>
      <c r="C932">
        <v>1</v>
      </c>
      <c r="E932" t="s">
        <v>825</v>
      </c>
      <c r="I932" t="s">
        <v>248</v>
      </c>
    </row>
    <row r="933" spans="1:9" x14ac:dyDescent="0.3">
      <c r="A933" t="s">
        <v>2458</v>
      </c>
      <c r="B933" t="s">
        <v>2459</v>
      </c>
      <c r="C933">
        <v>10.5</v>
      </c>
      <c r="D933" t="s">
        <v>23</v>
      </c>
      <c r="E933" t="s">
        <v>2460</v>
      </c>
    </row>
    <row r="934" spans="1:9" x14ac:dyDescent="0.3">
      <c r="A934" t="s">
        <v>2461</v>
      </c>
      <c r="B934" t="s">
        <v>2462</v>
      </c>
      <c r="C934">
        <v>1.5</v>
      </c>
      <c r="D934" t="s">
        <v>23</v>
      </c>
      <c r="E934" t="s">
        <v>2463</v>
      </c>
      <c r="I934" t="s">
        <v>2464</v>
      </c>
    </row>
    <row r="935" spans="1:9" x14ac:dyDescent="0.3">
      <c r="A935" t="s">
        <v>2465</v>
      </c>
      <c r="B935" t="s">
        <v>163</v>
      </c>
      <c r="E935" t="s">
        <v>163</v>
      </c>
    </row>
    <row r="936" spans="1:9" x14ac:dyDescent="0.3">
      <c r="A936" t="s">
        <v>2466</v>
      </c>
      <c r="B936" t="s">
        <v>2467</v>
      </c>
      <c r="C936">
        <v>0.33</v>
      </c>
      <c r="D936" t="s">
        <v>23</v>
      </c>
      <c r="E936" t="s">
        <v>281</v>
      </c>
    </row>
    <row r="937" spans="1:9" x14ac:dyDescent="0.3">
      <c r="A937" t="s">
        <v>2468</v>
      </c>
      <c r="B937" t="s">
        <v>2469</v>
      </c>
      <c r="C937">
        <v>50</v>
      </c>
      <c r="D937" t="s">
        <v>29</v>
      </c>
      <c r="E937" t="s">
        <v>2470</v>
      </c>
      <c r="I937" t="s">
        <v>2471</v>
      </c>
    </row>
    <row r="938" spans="1:9" x14ac:dyDescent="0.3">
      <c r="A938" t="s">
        <v>2141</v>
      </c>
      <c r="B938" t="s">
        <v>2260</v>
      </c>
      <c r="C938">
        <v>25</v>
      </c>
      <c r="D938" t="s">
        <v>29</v>
      </c>
      <c r="E938" t="s">
        <v>30</v>
      </c>
    </row>
    <row r="939" spans="1:9" x14ac:dyDescent="0.3">
      <c r="A939" t="s">
        <v>2472</v>
      </c>
      <c r="B939" t="s">
        <v>272</v>
      </c>
      <c r="C939">
        <v>0.5</v>
      </c>
      <c r="D939" t="s">
        <v>23</v>
      </c>
      <c r="E939" t="s">
        <v>265</v>
      </c>
    </row>
    <row r="940" spans="1:9" x14ac:dyDescent="0.3">
      <c r="A940" t="s">
        <v>2245</v>
      </c>
      <c r="B940" t="s">
        <v>2473</v>
      </c>
      <c r="C940">
        <v>3</v>
      </c>
      <c r="D940" t="s">
        <v>91</v>
      </c>
      <c r="E940" t="s">
        <v>2474</v>
      </c>
    </row>
    <row r="941" spans="1:9" x14ac:dyDescent="0.3">
      <c r="A941" t="s">
        <v>2475</v>
      </c>
      <c r="B941" t="s">
        <v>2476</v>
      </c>
      <c r="C941">
        <v>0.75</v>
      </c>
      <c r="D941" t="s">
        <v>23</v>
      </c>
      <c r="E941" t="s">
        <v>355</v>
      </c>
    </row>
    <row r="942" spans="1:9" x14ac:dyDescent="0.3">
      <c r="A942" t="s">
        <v>2477</v>
      </c>
      <c r="B942" t="s">
        <v>2478</v>
      </c>
      <c r="C942">
        <v>2</v>
      </c>
      <c r="D942" t="s">
        <v>23</v>
      </c>
      <c r="E942" t="s">
        <v>1416</v>
      </c>
    </row>
    <row r="943" spans="1:9" x14ac:dyDescent="0.3">
      <c r="A943" t="s">
        <v>2479</v>
      </c>
      <c r="B943" t="s">
        <v>2480</v>
      </c>
      <c r="E943" t="s">
        <v>2480</v>
      </c>
    </row>
    <row r="944" spans="1:9" x14ac:dyDescent="0.3">
      <c r="A944" t="s">
        <v>2481</v>
      </c>
      <c r="B944" t="s">
        <v>2482</v>
      </c>
      <c r="C944">
        <v>25</v>
      </c>
      <c r="D944" t="s">
        <v>29</v>
      </c>
      <c r="E944" t="s">
        <v>1209</v>
      </c>
    </row>
    <row r="945" spans="1:9" x14ac:dyDescent="0.3">
      <c r="A945" t="s">
        <v>2483</v>
      </c>
      <c r="B945" t="s">
        <v>2484</v>
      </c>
      <c r="C945">
        <v>0.5</v>
      </c>
      <c r="D945" t="s">
        <v>23</v>
      </c>
      <c r="E945" t="s">
        <v>2485</v>
      </c>
    </row>
    <row r="946" spans="1:9" x14ac:dyDescent="0.3">
      <c r="A946" t="s">
        <v>2486</v>
      </c>
      <c r="B946" t="s">
        <v>773</v>
      </c>
      <c r="C946">
        <v>1</v>
      </c>
      <c r="D946" t="s">
        <v>11</v>
      </c>
      <c r="E946" t="s">
        <v>88</v>
      </c>
    </row>
    <row r="947" spans="1:9" x14ac:dyDescent="0.3">
      <c r="A947" t="s">
        <v>2487</v>
      </c>
      <c r="B947" t="s">
        <v>2488</v>
      </c>
      <c r="C947">
        <v>1</v>
      </c>
      <c r="D947" t="s">
        <v>435</v>
      </c>
      <c r="E947" t="s">
        <v>237</v>
      </c>
    </row>
    <row r="948" spans="1:9" x14ac:dyDescent="0.3">
      <c r="A948" t="s">
        <v>2489</v>
      </c>
      <c r="B948" t="s">
        <v>2490</v>
      </c>
      <c r="C948">
        <v>1</v>
      </c>
      <c r="D948" t="s">
        <v>426</v>
      </c>
      <c r="E948" t="s">
        <v>587</v>
      </c>
    </row>
    <row r="949" spans="1:9" x14ac:dyDescent="0.3">
      <c r="A949" t="s">
        <v>2491</v>
      </c>
      <c r="B949" t="s">
        <v>2492</v>
      </c>
      <c r="C949">
        <v>0.25</v>
      </c>
      <c r="D949" t="s">
        <v>11</v>
      </c>
      <c r="E949" t="s">
        <v>2493</v>
      </c>
      <c r="I949" t="s">
        <v>20</v>
      </c>
    </row>
    <row r="950" spans="1:9" x14ac:dyDescent="0.3">
      <c r="A950" t="s">
        <v>2494</v>
      </c>
      <c r="B950" t="s">
        <v>2495</v>
      </c>
      <c r="C950">
        <v>1</v>
      </c>
      <c r="D950" t="s">
        <v>111</v>
      </c>
      <c r="E950" t="s">
        <v>2496</v>
      </c>
    </row>
    <row r="951" spans="1:9" x14ac:dyDescent="0.3">
      <c r="A951" t="s">
        <v>2497</v>
      </c>
      <c r="B951" t="s">
        <v>2498</v>
      </c>
      <c r="C951">
        <v>1</v>
      </c>
      <c r="D951" t="s">
        <v>11</v>
      </c>
      <c r="E951" t="s">
        <v>524</v>
      </c>
    </row>
    <row r="952" spans="1:9" x14ac:dyDescent="0.3">
      <c r="A952" t="s">
        <v>2499</v>
      </c>
      <c r="B952" t="s">
        <v>2500</v>
      </c>
      <c r="C952">
        <v>2</v>
      </c>
      <c r="D952" t="s">
        <v>2501</v>
      </c>
      <c r="E952" t="s">
        <v>2502</v>
      </c>
    </row>
    <row r="953" spans="1:9" x14ac:dyDescent="0.3">
      <c r="A953" t="s">
        <v>2503</v>
      </c>
      <c r="B953" t="s">
        <v>2504</v>
      </c>
      <c r="C953">
        <v>4</v>
      </c>
      <c r="D953" t="s">
        <v>60</v>
      </c>
      <c r="E953" t="s">
        <v>183</v>
      </c>
    </row>
    <row r="954" spans="1:9" x14ac:dyDescent="0.3">
      <c r="A954" t="s">
        <v>2505</v>
      </c>
      <c r="B954" t="s">
        <v>2506</v>
      </c>
      <c r="C954">
        <v>1</v>
      </c>
      <c r="D954" t="s">
        <v>50</v>
      </c>
      <c r="E954" t="s">
        <v>333</v>
      </c>
      <c r="F954" t="s">
        <v>1512</v>
      </c>
    </row>
    <row r="955" spans="1:9" x14ac:dyDescent="0.3">
      <c r="A955" t="s">
        <v>2507</v>
      </c>
      <c r="B955" t="s">
        <v>2508</v>
      </c>
      <c r="D955" t="s">
        <v>2509</v>
      </c>
      <c r="E955" t="s">
        <v>2510</v>
      </c>
      <c r="I955" t="s">
        <v>2511</v>
      </c>
    </row>
    <row r="956" spans="1:9" x14ac:dyDescent="0.3">
      <c r="A956" t="s">
        <v>2512</v>
      </c>
      <c r="B956" t="s">
        <v>2513</v>
      </c>
      <c r="C956">
        <v>0.5</v>
      </c>
      <c r="E956" t="s">
        <v>85</v>
      </c>
    </row>
    <row r="957" spans="1:9" x14ac:dyDescent="0.3">
      <c r="A957" t="s">
        <v>2514</v>
      </c>
      <c r="B957" t="s">
        <v>2515</v>
      </c>
      <c r="C957">
        <v>0.67</v>
      </c>
      <c r="E957" t="s">
        <v>262</v>
      </c>
    </row>
    <row r="958" spans="1:9" x14ac:dyDescent="0.3">
      <c r="A958" t="s">
        <v>2516</v>
      </c>
      <c r="B958" t="s">
        <v>2517</v>
      </c>
      <c r="C958">
        <v>1</v>
      </c>
      <c r="D958" t="s">
        <v>23</v>
      </c>
      <c r="E958" t="s">
        <v>2518</v>
      </c>
    </row>
    <row r="959" spans="1:9" x14ac:dyDescent="0.3">
      <c r="A959" t="s">
        <v>2519</v>
      </c>
      <c r="B959" t="s">
        <v>1269</v>
      </c>
      <c r="C959">
        <v>1</v>
      </c>
      <c r="D959" t="s">
        <v>23</v>
      </c>
      <c r="E959" t="s">
        <v>380</v>
      </c>
    </row>
    <row r="960" spans="1:9" x14ac:dyDescent="0.3">
      <c r="A960" t="s">
        <v>2520</v>
      </c>
      <c r="B960" t="s">
        <v>2521</v>
      </c>
      <c r="C960">
        <v>0.5</v>
      </c>
      <c r="D960" t="s">
        <v>37</v>
      </c>
      <c r="E960" t="s">
        <v>2522</v>
      </c>
    </row>
    <row r="961" spans="1:9" x14ac:dyDescent="0.3">
      <c r="A961" t="s">
        <v>2523</v>
      </c>
      <c r="B961" t="s">
        <v>2524</v>
      </c>
      <c r="C961">
        <v>1</v>
      </c>
      <c r="D961" t="s">
        <v>23</v>
      </c>
      <c r="E961" t="s">
        <v>265</v>
      </c>
    </row>
    <row r="962" spans="1:9" x14ac:dyDescent="0.3">
      <c r="A962" t="s">
        <v>2525</v>
      </c>
      <c r="B962" t="s">
        <v>2526</v>
      </c>
      <c r="C962">
        <v>3</v>
      </c>
      <c r="D962" t="s">
        <v>23</v>
      </c>
      <c r="E962" t="s">
        <v>2434</v>
      </c>
    </row>
    <row r="963" spans="1:9" x14ac:dyDescent="0.3">
      <c r="A963" t="s">
        <v>2527</v>
      </c>
      <c r="B963" t="s">
        <v>2528</v>
      </c>
      <c r="C963">
        <v>0.5</v>
      </c>
      <c r="D963" t="s">
        <v>2529</v>
      </c>
      <c r="E963" t="s">
        <v>741</v>
      </c>
      <c r="G963" t="s">
        <v>68</v>
      </c>
    </row>
    <row r="964" spans="1:9" x14ac:dyDescent="0.3">
      <c r="A964" t="s">
        <v>2530</v>
      </c>
      <c r="B964" t="s">
        <v>2531</v>
      </c>
      <c r="C964">
        <v>4.5</v>
      </c>
      <c r="D964" t="s">
        <v>71</v>
      </c>
      <c r="E964" t="s">
        <v>220</v>
      </c>
      <c r="I964" t="s">
        <v>2532</v>
      </c>
    </row>
    <row r="965" spans="1:9" x14ac:dyDescent="0.3">
      <c r="A965" t="s">
        <v>2533</v>
      </c>
      <c r="B965" t="s">
        <v>2534</v>
      </c>
      <c r="C965">
        <v>6</v>
      </c>
      <c r="D965" t="s">
        <v>23</v>
      </c>
      <c r="E965" t="s">
        <v>2535</v>
      </c>
    </row>
    <row r="966" spans="1:9" x14ac:dyDescent="0.3">
      <c r="A966" t="s">
        <v>2536</v>
      </c>
      <c r="B966" t="s">
        <v>2537</v>
      </c>
      <c r="E966" t="s">
        <v>932</v>
      </c>
      <c r="I966" t="s">
        <v>2538</v>
      </c>
    </row>
    <row r="967" spans="1:9" x14ac:dyDescent="0.3">
      <c r="A967" t="s">
        <v>2539</v>
      </c>
      <c r="B967" t="s">
        <v>953</v>
      </c>
      <c r="C967">
        <v>2</v>
      </c>
      <c r="D967" t="s">
        <v>23</v>
      </c>
      <c r="E967" t="s">
        <v>738</v>
      </c>
    </row>
    <row r="968" spans="1:9" x14ac:dyDescent="0.3">
      <c r="A968" t="s">
        <v>2540</v>
      </c>
      <c r="B968" t="s">
        <v>2541</v>
      </c>
      <c r="C968">
        <v>0.5</v>
      </c>
      <c r="D968" t="s">
        <v>91</v>
      </c>
      <c r="E968" t="s">
        <v>901</v>
      </c>
    </row>
    <row r="969" spans="1:9" x14ac:dyDescent="0.3">
      <c r="A969" t="s">
        <v>2542</v>
      </c>
      <c r="B969" t="s">
        <v>2543</v>
      </c>
      <c r="C969">
        <v>1</v>
      </c>
      <c r="D969" t="s">
        <v>11</v>
      </c>
      <c r="E969" t="s">
        <v>2544</v>
      </c>
    </row>
    <row r="970" spans="1:9" x14ac:dyDescent="0.3">
      <c r="A970" t="s">
        <v>2545</v>
      </c>
      <c r="B970" t="s">
        <v>2546</v>
      </c>
      <c r="C970">
        <v>0.5</v>
      </c>
      <c r="D970" t="s">
        <v>23</v>
      </c>
      <c r="E970" t="s">
        <v>399</v>
      </c>
    </row>
    <row r="971" spans="1:9" x14ac:dyDescent="0.3">
      <c r="A971" t="s">
        <v>2547</v>
      </c>
      <c r="B971" t="s">
        <v>2548</v>
      </c>
      <c r="C971">
        <v>2</v>
      </c>
      <c r="D971" t="s">
        <v>2549</v>
      </c>
      <c r="E971" t="s">
        <v>163</v>
      </c>
    </row>
    <row r="972" spans="1:9" x14ac:dyDescent="0.3">
      <c r="A972" t="s">
        <v>2550</v>
      </c>
      <c r="B972" t="s">
        <v>2551</v>
      </c>
      <c r="C972">
        <v>10.5</v>
      </c>
      <c r="D972" t="s">
        <v>23</v>
      </c>
      <c r="E972" t="s">
        <v>2552</v>
      </c>
    </row>
    <row r="973" spans="1:9" x14ac:dyDescent="0.3">
      <c r="A973" t="s">
        <v>1245</v>
      </c>
      <c r="B973" t="s">
        <v>2553</v>
      </c>
      <c r="C973">
        <v>5</v>
      </c>
      <c r="D973" t="s">
        <v>1571</v>
      </c>
      <c r="E973" t="s">
        <v>2554</v>
      </c>
    </row>
    <row r="974" spans="1:9" x14ac:dyDescent="0.3">
      <c r="A974" t="s">
        <v>2555</v>
      </c>
      <c r="B974" t="s">
        <v>2088</v>
      </c>
      <c r="C974">
        <v>1</v>
      </c>
      <c r="D974" t="s">
        <v>1990</v>
      </c>
      <c r="E974" t="s">
        <v>163</v>
      </c>
      <c r="I974" t="s">
        <v>248</v>
      </c>
    </row>
    <row r="975" spans="1:9" x14ac:dyDescent="0.3">
      <c r="A975" t="s">
        <v>2556</v>
      </c>
      <c r="B975" t="s">
        <v>1190</v>
      </c>
      <c r="C975">
        <v>0.5</v>
      </c>
      <c r="D975" t="s">
        <v>23</v>
      </c>
      <c r="E975" t="s">
        <v>199</v>
      </c>
    </row>
    <row r="976" spans="1:9" x14ac:dyDescent="0.3">
      <c r="A976" t="s">
        <v>2557</v>
      </c>
      <c r="B976" t="s">
        <v>2558</v>
      </c>
      <c r="C976">
        <v>0.5</v>
      </c>
      <c r="D976" t="s">
        <v>23</v>
      </c>
      <c r="E976" t="s">
        <v>61</v>
      </c>
    </row>
    <row r="977" spans="1:9" x14ac:dyDescent="0.3">
      <c r="A977" t="s">
        <v>2559</v>
      </c>
      <c r="B977" t="s">
        <v>2560</v>
      </c>
      <c r="C977">
        <v>2</v>
      </c>
      <c r="D977" t="s">
        <v>345</v>
      </c>
      <c r="E977" t="s">
        <v>2561</v>
      </c>
    </row>
    <row r="978" spans="1:9" x14ac:dyDescent="0.3">
      <c r="A978" t="s">
        <v>2562</v>
      </c>
      <c r="B978" t="s">
        <v>2563</v>
      </c>
      <c r="C978">
        <v>1.25</v>
      </c>
      <c r="D978" t="s">
        <v>345</v>
      </c>
      <c r="E978" t="s">
        <v>1220</v>
      </c>
    </row>
    <row r="979" spans="1:9" x14ac:dyDescent="0.3">
      <c r="A979" t="s">
        <v>2564</v>
      </c>
      <c r="B979" t="s">
        <v>2565</v>
      </c>
      <c r="C979">
        <v>0.5</v>
      </c>
      <c r="D979" t="s">
        <v>11</v>
      </c>
      <c r="E979" t="s">
        <v>2146</v>
      </c>
    </row>
    <row r="980" spans="1:9" x14ac:dyDescent="0.3">
      <c r="A980" t="s">
        <v>2566</v>
      </c>
      <c r="B980" t="s">
        <v>743</v>
      </c>
      <c r="E980" t="s">
        <v>743</v>
      </c>
    </row>
    <row r="981" spans="1:9" x14ac:dyDescent="0.3">
      <c r="A981" t="s">
        <v>2062</v>
      </c>
      <c r="B981" t="s">
        <v>2567</v>
      </c>
      <c r="C981">
        <v>3</v>
      </c>
      <c r="D981" t="s">
        <v>91</v>
      </c>
      <c r="E981" t="s">
        <v>482</v>
      </c>
      <c r="I981" t="s">
        <v>20</v>
      </c>
    </row>
    <row r="982" spans="1:9" x14ac:dyDescent="0.3">
      <c r="A982" t="s">
        <v>2568</v>
      </c>
      <c r="B982" t="s">
        <v>2569</v>
      </c>
      <c r="C982">
        <v>1</v>
      </c>
      <c r="D982" t="s">
        <v>37</v>
      </c>
      <c r="E982" t="s">
        <v>2570</v>
      </c>
    </row>
    <row r="983" spans="1:9" x14ac:dyDescent="0.3">
      <c r="A983" t="s">
        <v>2571</v>
      </c>
      <c r="B983" t="s">
        <v>518</v>
      </c>
      <c r="E983" t="s">
        <v>518</v>
      </c>
    </row>
    <row r="984" spans="1:9" x14ac:dyDescent="0.3">
      <c r="A984" t="s">
        <v>2572</v>
      </c>
      <c r="B984" t="s">
        <v>2573</v>
      </c>
      <c r="E984" t="s">
        <v>2573</v>
      </c>
    </row>
    <row r="985" spans="1:9" x14ac:dyDescent="0.3">
      <c r="A985" t="s">
        <v>2574</v>
      </c>
      <c r="B985" t="s">
        <v>188</v>
      </c>
      <c r="C985">
        <v>2</v>
      </c>
      <c r="D985" t="s">
        <v>189</v>
      </c>
      <c r="E985" t="s">
        <v>190</v>
      </c>
    </row>
    <row r="986" spans="1:9" x14ac:dyDescent="0.3">
      <c r="A986" t="s">
        <v>2575</v>
      </c>
      <c r="B986" t="s">
        <v>2576</v>
      </c>
      <c r="E986" t="s">
        <v>2576</v>
      </c>
    </row>
    <row r="987" spans="1:9" x14ac:dyDescent="0.3">
      <c r="A987" t="s">
        <v>2290</v>
      </c>
      <c r="B987" t="s">
        <v>2577</v>
      </c>
      <c r="C987">
        <v>0.75</v>
      </c>
      <c r="D987" t="s">
        <v>23</v>
      </c>
      <c r="E987" t="s">
        <v>793</v>
      </c>
    </row>
    <row r="988" spans="1:9" x14ac:dyDescent="0.3">
      <c r="A988" t="s">
        <v>2578</v>
      </c>
      <c r="B988" t="s">
        <v>2579</v>
      </c>
      <c r="C988">
        <v>2</v>
      </c>
      <c r="D988" t="s">
        <v>345</v>
      </c>
      <c r="E988" t="s">
        <v>81</v>
      </c>
    </row>
    <row r="989" spans="1:9" x14ac:dyDescent="0.3">
      <c r="A989" t="s">
        <v>2580</v>
      </c>
      <c r="B989" t="s">
        <v>2581</v>
      </c>
      <c r="C989">
        <v>45</v>
      </c>
      <c r="D989" t="s">
        <v>29</v>
      </c>
      <c r="E989" t="s">
        <v>2582</v>
      </c>
    </row>
    <row r="990" spans="1:9" x14ac:dyDescent="0.3">
      <c r="A990" t="s">
        <v>2583</v>
      </c>
      <c r="B990" t="s">
        <v>2584</v>
      </c>
      <c r="C990">
        <v>1.5</v>
      </c>
      <c r="D990" t="s">
        <v>23</v>
      </c>
      <c r="E990" t="s">
        <v>171</v>
      </c>
    </row>
    <row r="991" spans="1:9" x14ac:dyDescent="0.3">
      <c r="A991" t="s">
        <v>2585</v>
      </c>
      <c r="B991" t="s">
        <v>524</v>
      </c>
      <c r="E991" t="s">
        <v>524</v>
      </c>
    </row>
    <row r="992" spans="1:9" x14ac:dyDescent="0.3">
      <c r="A992" t="s">
        <v>2586</v>
      </c>
      <c r="B992" t="s">
        <v>2587</v>
      </c>
      <c r="C992" t="s">
        <v>2588</v>
      </c>
      <c r="E992" t="s">
        <v>2589</v>
      </c>
      <c r="F992" t="s">
        <v>908</v>
      </c>
      <c r="I992" t="s">
        <v>1177</v>
      </c>
    </row>
    <row r="993" spans="1:9" x14ac:dyDescent="0.3">
      <c r="A993" t="s">
        <v>2590</v>
      </c>
      <c r="B993" t="s">
        <v>2591</v>
      </c>
      <c r="E993" t="s">
        <v>2592</v>
      </c>
      <c r="I993" t="s">
        <v>951</v>
      </c>
    </row>
    <row r="994" spans="1:9" x14ac:dyDescent="0.3">
      <c r="A994" t="s">
        <v>576</v>
      </c>
      <c r="B994" t="s">
        <v>2593</v>
      </c>
      <c r="C994">
        <v>0.75</v>
      </c>
      <c r="D994" t="s">
        <v>37</v>
      </c>
      <c r="E994" t="s">
        <v>877</v>
      </c>
      <c r="I994" t="s">
        <v>2594</v>
      </c>
    </row>
    <row r="995" spans="1:9" x14ac:dyDescent="0.3">
      <c r="A995" t="s">
        <v>2595</v>
      </c>
      <c r="B995" t="s">
        <v>2596</v>
      </c>
      <c r="C995">
        <v>3</v>
      </c>
      <c r="D995" t="s">
        <v>23</v>
      </c>
      <c r="E995" t="s">
        <v>716</v>
      </c>
    </row>
    <row r="996" spans="1:9" x14ac:dyDescent="0.3">
      <c r="A996" t="s">
        <v>2597</v>
      </c>
      <c r="B996" t="s">
        <v>2598</v>
      </c>
      <c r="C996">
        <v>1</v>
      </c>
      <c r="D996" t="s">
        <v>23</v>
      </c>
      <c r="E996" t="s">
        <v>2599</v>
      </c>
    </row>
    <row r="997" spans="1:9" x14ac:dyDescent="0.3">
      <c r="A997" t="s">
        <v>2600</v>
      </c>
      <c r="B997" t="s">
        <v>2601</v>
      </c>
      <c r="C997">
        <v>1</v>
      </c>
      <c r="D997" t="s">
        <v>37</v>
      </c>
      <c r="E997" t="s">
        <v>2602</v>
      </c>
    </row>
    <row r="998" spans="1:9" x14ac:dyDescent="0.3">
      <c r="A998" t="s">
        <v>2603</v>
      </c>
      <c r="B998" t="s">
        <v>2604</v>
      </c>
      <c r="C998">
        <v>1.5</v>
      </c>
      <c r="D998" t="s">
        <v>23</v>
      </c>
      <c r="E998" t="s">
        <v>771</v>
      </c>
    </row>
    <row r="999" spans="1:9" x14ac:dyDescent="0.3">
      <c r="A999" t="s">
        <v>2605</v>
      </c>
      <c r="B999" t="s">
        <v>2606</v>
      </c>
      <c r="C999">
        <v>0.33</v>
      </c>
      <c r="D999" t="s">
        <v>284</v>
      </c>
      <c r="E999" t="s">
        <v>2607</v>
      </c>
      <c r="G999" t="s">
        <v>68</v>
      </c>
    </row>
    <row r="1000" spans="1:9" x14ac:dyDescent="0.3">
      <c r="A1000" t="s">
        <v>2608</v>
      </c>
      <c r="B1000" t="s">
        <v>2609</v>
      </c>
      <c r="C1000">
        <v>1.5</v>
      </c>
      <c r="D1000" t="s">
        <v>345</v>
      </c>
      <c r="E1000" t="s">
        <v>220</v>
      </c>
    </row>
    <row r="1001" spans="1:9" x14ac:dyDescent="0.3">
      <c r="A1001" t="s">
        <v>2057</v>
      </c>
      <c r="B1001" t="s">
        <v>2610</v>
      </c>
      <c r="C1001">
        <v>0.5</v>
      </c>
      <c r="D1001" t="s">
        <v>284</v>
      </c>
      <c r="E1001" t="s">
        <v>581</v>
      </c>
    </row>
    <row r="1002" spans="1:9" x14ac:dyDescent="0.3">
      <c r="A1002" t="s">
        <v>2611</v>
      </c>
      <c r="B1002" t="s">
        <v>2612</v>
      </c>
      <c r="C1002">
        <v>1</v>
      </c>
      <c r="D1002" t="s">
        <v>37</v>
      </c>
      <c r="E1002" t="s">
        <v>1328</v>
      </c>
    </row>
    <row r="1003" spans="1:9" x14ac:dyDescent="0.3">
      <c r="A1003" t="s">
        <v>62</v>
      </c>
      <c r="B1003" t="s">
        <v>2613</v>
      </c>
      <c r="C1003">
        <v>1</v>
      </c>
      <c r="D1003" t="s">
        <v>23</v>
      </c>
      <c r="E1003" t="s">
        <v>2614</v>
      </c>
    </row>
    <row r="1004" spans="1:9" x14ac:dyDescent="0.3">
      <c r="A1004" t="s">
        <v>1275</v>
      </c>
      <c r="B1004" t="s">
        <v>2615</v>
      </c>
      <c r="C1004">
        <v>20</v>
      </c>
      <c r="D1004" t="s">
        <v>29</v>
      </c>
      <c r="E1004" t="s">
        <v>38</v>
      </c>
      <c r="G1004" t="s">
        <v>814</v>
      </c>
    </row>
    <row r="1005" spans="1:9" x14ac:dyDescent="0.3">
      <c r="A1005" t="s">
        <v>2616</v>
      </c>
      <c r="B1005" t="s">
        <v>2617</v>
      </c>
      <c r="C1005">
        <v>500</v>
      </c>
      <c r="D1005" t="s">
        <v>29</v>
      </c>
      <c r="E1005" t="s">
        <v>581</v>
      </c>
      <c r="F1005" t="s">
        <v>2618</v>
      </c>
    </row>
    <row r="1006" spans="1:9" x14ac:dyDescent="0.3">
      <c r="A1006" t="s">
        <v>2619</v>
      </c>
      <c r="B1006" t="s">
        <v>2620</v>
      </c>
      <c r="C1006">
        <v>1</v>
      </c>
      <c r="D1006" t="s">
        <v>120</v>
      </c>
      <c r="E1006" t="s">
        <v>738</v>
      </c>
    </row>
    <row r="1007" spans="1:9" x14ac:dyDescent="0.3">
      <c r="A1007" t="s">
        <v>2621</v>
      </c>
      <c r="B1007" t="s">
        <v>2622</v>
      </c>
      <c r="C1007">
        <v>6</v>
      </c>
      <c r="D1007" t="s">
        <v>189</v>
      </c>
      <c r="E1007" t="s">
        <v>2214</v>
      </c>
    </row>
    <row r="1008" spans="1:9" x14ac:dyDescent="0.3">
      <c r="A1008" t="s">
        <v>2623</v>
      </c>
      <c r="B1008" t="s">
        <v>2624</v>
      </c>
      <c r="C1008">
        <v>50</v>
      </c>
      <c r="D1008" t="s">
        <v>29</v>
      </c>
      <c r="E1008" t="s">
        <v>2625</v>
      </c>
    </row>
    <row r="1009" spans="1:9" x14ac:dyDescent="0.3">
      <c r="A1009" t="s">
        <v>2626</v>
      </c>
      <c r="B1009" t="s">
        <v>2627</v>
      </c>
      <c r="C1009">
        <v>0.5</v>
      </c>
      <c r="D1009" t="s">
        <v>460</v>
      </c>
      <c r="E1009" t="s">
        <v>30</v>
      </c>
    </row>
    <row r="1010" spans="1:9" x14ac:dyDescent="0.3">
      <c r="A1010" t="s">
        <v>2628</v>
      </c>
      <c r="B1010" t="s">
        <v>2629</v>
      </c>
      <c r="C1010">
        <v>4</v>
      </c>
      <c r="D1010" t="s">
        <v>176</v>
      </c>
      <c r="E1010" t="s">
        <v>1204</v>
      </c>
      <c r="H1010" t="s">
        <v>1078</v>
      </c>
    </row>
    <row r="1011" spans="1:9" x14ac:dyDescent="0.3">
      <c r="A1011" t="s">
        <v>2630</v>
      </c>
      <c r="B1011" t="s">
        <v>2631</v>
      </c>
      <c r="C1011">
        <v>3</v>
      </c>
      <c r="D1011" t="s">
        <v>1212</v>
      </c>
      <c r="E1011" t="s">
        <v>152</v>
      </c>
    </row>
    <row r="1012" spans="1:9" x14ac:dyDescent="0.3">
      <c r="A1012" t="s">
        <v>2632</v>
      </c>
      <c r="B1012" t="s">
        <v>2633</v>
      </c>
      <c r="C1012">
        <v>2</v>
      </c>
      <c r="D1012" t="s">
        <v>91</v>
      </c>
      <c r="E1012" t="s">
        <v>2271</v>
      </c>
    </row>
    <row r="1013" spans="1:9" x14ac:dyDescent="0.3">
      <c r="A1013" t="s">
        <v>2634</v>
      </c>
      <c r="B1013" t="s">
        <v>2635</v>
      </c>
      <c r="C1013">
        <v>0.5</v>
      </c>
      <c r="D1013" t="s">
        <v>11</v>
      </c>
      <c r="E1013" t="s">
        <v>2636</v>
      </c>
    </row>
    <row r="1014" spans="1:9" x14ac:dyDescent="0.3">
      <c r="A1014" t="s">
        <v>1224</v>
      </c>
      <c r="B1014" t="s">
        <v>2637</v>
      </c>
      <c r="C1014">
        <v>1</v>
      </c>
      <c r="D1014" t="s">
        <v>426</v>
      </c>
      <c r="E1014" t="s">
        <v>2638</v>
      </c>
      <c r="I1014" t="s">
        <v>289</v>
      </c>
    </row>
    <row r="1015" spans="1:9" x14ac:dyDescent="0.3">
      <c r="A1015" t="s">
        <v>2639</v>
      </c>
      <c r="B1015" t="s">
        <v>2640</v>
      </c>
      <c r="C1015">
        <v>10.5</v>
      </c>
      <c r="D1015" t="s">
        <v>91</v>
      </c>
      <c r="E1015" t="s">
        <v>2641</v>
      </c>
    </row>
    <row r="1016" spans="1:9" x14ac:dyDescent="0.3">
      <c r="A1016" t="s">
        <v>2642</v>
      </c>
      <c r="B1016" t="s">
        <v>2643</v>
      </c>
      <c r="C1016">
        <v>6</v>
      </c>
      <c r="D1016" t="s">
        <v>1113</v>
      </c>
      <c r="E1016" t="s">
        <v>635</v>
      </c>
    </row>
    <row r="1017" spans="1:9" x14ac:dyDescent="0.3">
      <c r="A1017" t="s">
        <v>2644</v>
      </c>
      <c r="B1017" t="s">
        <v>2645</v>
      </c>
      <c r="C1017">
        <v>1</v>
      </c>
      <c r="D1017" t="s">
        <v>2646</v>
      </c>
      <c r="E1017" t="s">
        <v>638</v>
      </c>
    </row>
    <row r="1018" spans="1:9" x14ac:dyDescent="0.3">
      <c r="A1018" t="s">
        <v>2647</v>
      </c>
      <c r="B1018" t="s">
        <v>2648</v>
      </c>
      <c r="C1018">
        <v>50</v>
      </c>
      <c r="D1018" t="s">
        <v>29</v>
      </c>
      <c r="E1018" t="s">
        <v>2649</v>
      </c>
    </row>
    <row r="1019" spans="1:9" x14ac:dyDescent="0.3">
      <c r="A1019" t="s">
        <v>2650</v>
      </c>
      <c r="B1019" t="s">
        <v>2651</v>
      </c>
      <c r="C1019">
        <v>0.5</v>
      </c>
      <c r="D1019" t="s">
        <v>23</v>
      </c>
      <c r="E1019" t="s">
        <v>199</v>
      </c>
      <c r="I1019" t="s">
        <v>289</v>
      </c>
    </row>
    <row r="1020" spans="1:9" x14ac:dyDescent="0.3">
      <c r="A1020" t="s">
        <v>2652</v>
      </c>
      <c r="B1020" t="s">
        <v>2653</v>
      </c>
      <c r="C1020">
        <v>0.75</v>
      </c>
      <c r="D1020" t="s">
        <v>1944</v>
      </c>
      <c r="E1020" t="s">
        <v>2654</v>
      </c>
      <c r="G1020" t="s">
        <v>2655</v>
      </c>
    </row>
    <row r="1021" spans="1:9" x14ac:dyDescent="0.3">
      <c r="A1021" t="s">
        <v>2656</v>
      </c>
      <c r="B1021" t="s">
        <v>277</v>
      </c>
      <c r="C1021">
        <v>3</v>
      </c>
      <c r="D1021" t="s">
        <v>23</v>
      </c>
      <c r="E1021" t="s">
        <v>278</v>
      </c>
    </row>
    <row r="1022" spans="1:9" x14ac:dyDescent="0.3">
      <c r="A1022" t="s">
        <v>2657</v>
      </c>
      <c r="B1022" t="s">
        <v>2658</v>
      </c>
      <c r="C1022">
        <v>50</v>
      </c>
      <c r="D1022" t="s">
        <v>29</v>
      </c>
      <c r="E1022" t="s">
        <v>2659</v>
      </c>
    </row>
    <row r="1023" spans="1:9" x14ac:dyDescent="0.3">
      <c r="A1023" t="s">
        <v>2660</v>
      </c>
      <c r="B1023" t="s">
        <v>2661</v>
      </c>
      <c r="C1023">
        <v>4</v>
      </c>
      <c r="D1023" t="s">
        <v>23</v>
      </c>
      <c r="E1023" t="s">
        <v>1053</v>
      </c>
    </row>
    <row r="1024" spans="1:9" x14ac:dyDescent="0.3">
      <c r="A1024" t="s">
        <v>2662</v>
      </c>
      <c r="B1024" t="s">
        <v>2663</v>
      </c>
      <c r="C1024">
        <v>15</v>
      </c>
      <c r="D1024" t="s">
        <v>29</v>
      </c>
      <c r="E1024" t="s">
        <v>30</v>
      </c>
    </row>
    <row r="1025" spans="1:9" x14ac:dyDescent="0.3">
      <c r="A1025" t="s">
        <v>2664</v>
      </c>
      <c r="B1025" t="s">
        <v>2665</v>
      </c>
      <c r="C1025">
        <v>0.75</v>
      </c>
      <c r="D1025" t="s">
        <v>23</v>
      </c>
      <c r="E1025" t="s">
        <v>947</v>
      </c>
    </row>
    <row r="1026" spans="1:9" x14ac:dyDescent="0.3">
      <c r="A1026" t="s">
        <v>2666</v>
      </c>
      <c r="B1026" t="s">
        <v>2667</v>
      </c>
      <c r="C1026">
        <v>0.5</v>
      </c>
      <c r="D1026" t="s">
        <v>37</v>
      </c>
      <c r="E1026" t="s">
        <v>2449</v>
      </c>
    </row>
    <row r="1027" spans="1:9" x14ac:dyDescent="0.3">
      <c r="A1027" t="s">
        <v>2668</v>
      </c>
      <c r="B1027" t="s">
        <v>2669</v>
      </c>
      <c r="C1027">
        <v>0.5</v>
      </c>
      <c r="D1027" t="s">
        <v>1843</v>
      </c>
      <c r="E1027" t="s">
        <v>2573</v>
      </c>
    </row>
    <row r="1028" spans="1:9" x14ac:dyDescent="0.3">
      <c r="A1028" t="s">
        <v>2670</v>
      </c>
      <c r="B1028" t="s">
        <v>2671</v>
      </c>
      <c r="C1028">
        <v>0.5</v>
      </c>
      <c r="D1028" t="s">
        <v>91</v>
      </c>
      <c r="E1028" t="s">
        <v>2672</v>
      </c>
    </row>
    <row r="1029" spans="1:9" x14ac:dyDescent="0.3">
      <c r="A1029" t="s">
        <v>2673</v>
      </c>
      <c r="B1029" t="s">
        <v>2674</v>
      </c>
      <c r="C1029">
        <v>0.5</v>
      </c>
      <c r="D1029" t="s">
        <v>11</v>
      </c>
      <c r="E1029" t="s">
        <v>2675</v>
      </c>
    </row>
    <row r="1030" spans="1:9" x14ac:dyDescent="0.3">
      <c r="A1030" t="s">
        <v>2676</v>
      </c>
      <c r="B1030" t="s">
        <v>2677</v>
      </c>
      <c r="C1030">
        <v>1.5</v>
      </c>
      <c r="D1030" t="s">
        <v>23</v>
      </c>
      <c r="E1030" t="s">
        <v>2678</v>
      </c>
    </row>
    <row r="1031" spans="1:9" x14ac:dyDescent="0.3">
      <c r="A1031" t="s">
        <v>2679</v>
      </c>
      <c r="B1031" t="s">
        <v>2680</v>
      </c>
      <c r="C1031">
        <v>0.75</v>
      </c>
      <c r="D1031" t="s">
        <v>11</v>
      </c>
      <c r="E1031" t="s">
        <v>57</v>
      </c>
    </row>
    <row r="1032" spans="1:9" x14ac:dyDescent="0.3">
      <c r="A1032" t="s">
        <v>2681</v>
      </c>
      <c r="B1032" t="s">
        <v>2682</v>
      </c>
      <c r="C1032">
        <v>0.75</v>
      </c>
      <c r="D1032" t="s">
        <v>37</v>
      </c>
      <c r="E1032" t="s">
        <v>1883</v>
      </c>
    </row>
    <row r="1033" spans="1:9" x14ac:dyDescent="0.3">
      <c r="A1033" t="s">
        <v>2683</v>
      </c>
      <c r="B1033" t="s">
        <v>2684</v>
      </c>
      <c r="C1033">
        <v>1</v>
      </c>
      <c r="D1033" t="s">
        <v>1785</v>
      </c>
      <c r="E1033" t="s">
        <v>171</v>
      </c>
    </row>
    <row r="1034" spans="1:9" x14ac:dyDescent="0.3">
      <c r="A1034" t="s">
        <v>2685</v>
      </c>
      <c r="B1034" t="s">
        <v>2686</v>
      </c>
      <c r="C1034">
        <v>0.5</v>
      </c>
      <c r="D1034" t="s">
        <v>23</v>
      </c>
      <c r="E1034" t="s">
        <v>2243</v>
      </c>
    </row>
    <row r="1035" spans="1:9" x14ac:dyDescent="0.3">
      <c r="A1035" t="s">
        <v>2687</v>
      </c>
      <c r="B1035" t="s">
        <v>2688</v>
      </c>
      <c r="D1035" t="s">
        <v>2689</v>
      </c>
      <c r="E1035" t="s">
        <v>591</v>
      </c>
      <c r="I1035" t="s">
        <v>2690</v>
      </c>
    </row>
    <row r="1036" spans="1:9" x14ac:dyDescent="0.3">
      <c r="A1036" t="s">
        <v>2691</v>
      </c>
      <c r="B1036" t="s">
        <v>580</v>
      </c>
      <c r="C1036">
        <v>8</v>
      </c>
      <c r="D1036" t="s">
        <v>23</v>
      </c>
      <c r="E1036" t="s">
        <v>581</v>
      </c>
      <c r="H1036" t="s">
        <v>582</v>
      </c>
    </row>
    <row r="1037" spans="1:9" x14ac:dyDescent="0.3">
      <c r="A1037" t="s">
        <v>2692</v>
      </c>
      <c r="B1037" t="s">
        <v>2693</v>
      </c>
      <c r="C1037">
        <v>15</v>
      </c>
      <c r="D1037" t="s">
        <v>345</v>
      </c>
      <c r="E1037" t="s">
        <v>413</v>
      </c>
      <c r="I1037" t="s">
        <v>2694</v>
      </c>
    </row>
    <row r="1038" spans="1:9" x14ac:dyDescent="0.3">
      <c r="A1038" t="s">
        <v>2695</v>
      </c>
      <c r="B1038" t="s">
        <v>1436</v>
      </c>
      <c r="E1038" t="s">
        <v>1436</v>
      </c>
    </row>
    <row r="1039" spans="1:9" x14ac:dyDescent="0.3">
      <c r="A1039" t="s">
        <v>826</v>
      </c>
      <c r="B1039" t="s">
        <v>114</v>
      </c>
      <c r="C1039">
        <v>12.5</v>
      </c>
      <c r="D1039" t="s">
        <v>29</v>
      </c>
      <c r="E1039" t="s">
        <v>115</v>
      </c>
    </row>
    <row r="1040" spans="1:9" x14ac:dyDescent="0.3">
      <c r="A1040" t="s">
        <v>2696</v>
      </c>
      <c r="B1040" t="s">
        <v>2697</v>
      </c>
      <c r="C1040">
        <v>1</v>
      </c>
      <c r="D1040" t="s">
        <v>60</v>
      </c>
      <c r="E1040" t="s">
        <v>331</v>
      </c>
    </row>
    <row r="1041" spans="1:9" x14ac:dyDescent="0.3">
      <c r="A1041" t="s">
        <v>2698</v>
      </c>
      <c r="B1041" t="s">
        <v>1190</v>
      </c>
      <c r="C1041">
        <v>0.5</v>
      </c>
      <c r="D1041" t="s">
        <v>23</v>
      </c>
      <c r="E1041" t="s">
        <v>199</v>
      </c>
    </row>
    <row r="1042" spans="1:9" x14ac:dyDescent="0.3">
      <c r="A1042" t="s">
        <v>2699</v>
      </c>
      <c r="B1042" t="s">
        <v>2700</v>
      </c>
      <c r="C1042">
        <v>0.5</v>
      </c>
      <c r="D1042" t="s">
        <v>23</v>
      </c>
      <c r="E1042" t="s">
        <v>233</v>
      </c>
    </row>
    <row r="1043" spans="1:9" x14ac:dyDescent="0.3">
      <c r="A1043" t="s">
        <v>2701</v>
      </c>
      <c r="B1043" t="s">
        <v>2702</v>
      </c>
      <c r="C1043">
        <v>1</v>
      </c>
      <c r="D1043" t="s">
        <v>23</v>
      </c>
      <c r="E1043" t="s">
        <v>2703</v>
      </c>
    </row>
    <row r="1044" spans="1:9" x14ac:dyDescent="0.3">
      <c r="A1044" t="s">
        <v>2704</v>
      </c>
      <c r="B1044" t="s">
        <v>2705</v>
      </c>
      <c r="C1044">
        <v>0.5</v>
      </c>
      <c r="D1044" t="s">
        <v>361</v>
      </c>
      <c r="E1044" t="s">
        <v>2706</v>
      </c>
    </row>
    <row r="1045" spans="1:9" x14ac:dyDescent="0.3">
      <c r="A1045" t="s">
        <v>2707</v>
      </c>
      <c r="B1045" t="s">
        <v>2708</v>
      </c>
      <c r="C1045">
        <v>0.5</v>
      </c>
      <c r="D1045" t="s">
        <v>11</v>
      </c>
      <c r="E1045" t="s">
        <v>2709</v>
      </c>
    </row>
    <row r="1046" spans="1:9" x14ac:dyDescent="0.3">
      <c r="A1046" t="s">
        <v>2710</v>
      </c>
      <c r="B1046" t="s">
        <v>2711</v>
      </c>
      <c r="C1046">
        <v>1</v>
      </c>
      <c r="D1046" t="s">
        <v>2712</v>
      </c>
      <c r="E1046" t="s">
        <v>2713</v>
      </c>
    </row>
    <row r="1047" spans="1:9" x14ac:dyDescent="0.3">
      <c r="A1047" t="s">
        <v>2714</v>
      </c>
      <c r="B1047" t="s">
        <v>2715</v>
      </c>
      <c r="C1047">
        <v>37.5</v>
      </c>
      <c r="D1047" t="s">
        <v>29</v>
      </c>
      <c r="E1047" t="s">
        <v>112</v>
      </c>
    </row>
    <row r="1048" spans="1:9" x14ac:dyDescent="0.3">
      <c r="A1048" t="s">
        <v>2716</v>
      </c>
      <c r="B1048" t="s">
        <v>2717</v>
      </c>
      <c r="C1048">
        <v>2</v>
      </c>
      <c r="D1048" t="s">
        <v>345</v>
      </c>
      <c r="E1048" t="s">
        <v>2718</v>
      </c>
    </row>
    <row r="1049" spans="1:9" x14ac:dyDescent="0.3">
      <c r="A1049" t="s">
        <v>2719</v>
      </c>
      <c r="B1049" t="s">
        <v>51</v>
      </c>
      <c r="E1049" t="s">
        <v>51</v>
      </c>
    </row>
    <row r="1050" spans="1:9" x14ac:dyDescent="0.3">
      <c r="A1050" t="s">
        <v>2720</v>
      </c>
      <c r="B1050" t="s">
        <v>2721</v>
      </c>
      <c r="C1050">
        <v>1.5</v>
      </c>
      <c r="D1050" t="s">
        <v>23</v>
      </c>
      <c r="E1050" t="s">
        <v>331</v>
      </c>
    </row>
    <row r="1051" spans="1:9" x14ac:dyDescent="0.3">
      <c r="A1051" t="s">
        <v>2722</v>
      </c>
      <c r="B1051" t="s">
        <v>2723</v>
      </c>
      <c r="C1051">
        <v>2</v>
      </c>
      <c r="D1051" t="s">
        <v>23</v>
      </c>
      <c r="E1051" t="s">
        <v>2724</v>
      </c>
    </row>
    <row r="1052" spans="1:9" x14ac:dyDescent="0.3">
      <c r="A1052" t="s">
        <v>2725</v>
      </c>
      <c r="B1052" t="s">
        <v>2726</v>
      </c>
      <c r="C1052">
        <v>0.67</v>
      </c>
      <c r="D1052" t="s">
        <v>23</v>
      </c>
      <c r="E1052" t="s">
        <v>288</v>
      </c>
      <c r="I1052" t="s">
        <v>289</v>
      </c>
    </row>
    <row r="1053" spans="1:9" x14ac:dyDescent="0.3">
      <c r="A1053" t="s">
        <v>865</v>
      </c>
      <c r="B1053" t="s">
        <v>1118</v>
      </c>
      <c r="C1053">
        <v>1</v>
      </c>
      <c r="D1053" t="s">
        <v>23</v>
      </c>
      <c r="E1053" t="s">
        <v>281</v>
      </c>
    </row>
    <row r="1054" spans="1:9" x14ac:dyDescent="0.3">
      <c r="A1054" t="s">
        <v>2727</v>
      </c>
      <c r="B1054" t="s">
        <v>2728</v>
      </c>
      <c r="C1054" t="s">
        <v>1176</v>
      </c>
      <c r="E1054" t="s">
        <v>538</v>
      </c>
      <c r="I1054" t="s">
        <v>1177</v>
      </c>
    </row>
    <row r="1055" spans="1:9" x14ac:dyDescent="0.3">
      <c r="A1055" t="s">
        <v>2729</v>
      </c>
      <c r="B1055" t="s">
        <v>868</v>
      </c>
      <c r="C1055">
        <v>1</v>
      </c>
      <c r="D1055" t="s">
        <v>23</v>
      </c>
      <c r="E1055" t="s">
        <v>399</v>
      </c>
    </row>
    <row r="1056" spans="1:9" x14ac:dyDescent="0.3">
      <c r="A1056" t="s">
        <v>2730</v>
      </c>
      <c r="B1056" t="s">
        <v>2731</v>
      </c>
      <c r="C1056">
        <v>1.75</v>
      </c>
      <c r="D1056" t="s">
        <v>345</v>
      </c>
      <c r="E1056" t="s">
        <v>2732</v>
      </c>
      <c r="I1056" t="s">
        <v>2733</v>
      </c>
    </row>
    <row r="1057" spans="1:9" x14ac:dyDescent="0.3">
      <c r="A1057" t="s">
        <v>2734</v>
      </c>
      <c r="B1057" t="s">
        <v>2735</v>
      </c>
      <c r="C1057">
        <v>1</v>
      </c>
      <c r="D1057" t="s">
        <v>361</v>
      </c>
      <c r="E1057" t="s">
        <v>2736</v>
      </c>
    </row>
    <row r="1058" spans="1:9" x14ac:dyDescent="0.3">
      <c r="A1058" t="s">
        <v>2737</v>
      </c>
      <c r="B1058" t="s">
        <v>1101</v>
      </c>
      <c r="C1058">
        <v>1</v>
      </c>
      <c r="D1058" t="s">
        <v>23</v>
      </c>
      <c r="E1058" t="s">
        <v>328</v>
      </c>
    </row>
    <row r="1059" spans="1:9" x14ac:dyDescent="0.3">
      <c r="A1059" t="s">
        <v>2738</v>
      </c>
      <c r="B1059" t="s">
        <v>2739</v>
      </c>
      <c r="C1059">
        <v>10</v>
      </c>
      <c r="D1059" t="s">
        <v>29</v>
      </c>
      <c r="E1059" t="s">
        <v>265</v>
      </c>
    </row>
    <row r="1060" spans="1:9" x14ac:dyDescent="0.3">
      <c r="A1060" t="s">
        <v>2740</v>
      </c>
      <c r="B1060" t="s">
        <v>2741</v>
      </c>
      <c r="C1060">
        <v>0.5</v>
      </c>
      <c r="D1060" t="s">
        <v>23</v>
      </c>
      <c r="E1060" t="s">
        <v>2742</v>
      </c>
    </row>
    <row r="1061" spans="1:9" x14ac:dyDescent="0.3">
      <c r="A1061" t="s">
        <v>2743</v>
      </c>
      <c r="B1061" t="s">
        <v>2744</v>
      </c>
      <c r="C1061">
        <v>5</v>
      </c>
      <c r="D1061" t="s">
        <v>29</v>
      </c>
      <c r="E1061" t="s">
        <v>2745</v>
      </c>
    </row>
    <row r="1062" spans="1:9" x14ac:dyDescent="0.3">
      <c r="A1062" t="s">
        <v>2746</v>
      </c>
      <c r="B1062" t="s">
        <v>2747</v>
      </c>
      <c r="C1062">
        <v>1</v>
      </c>
      <c r="D1062" t="s">
        <v>23</v>
      </c>
      <c r="E1062" t="s">
        <v>423</v>
      </c>
    </row>
    <row r="1063" spans="1:9" x14ac:dyDescent="0.3">
      <c r="A1063" t="s">
        <v>2748</v>
      </c>
      <c r="B1063" t="s">
        <v>2749</v>
      </c>
      <c r="C1063">
        <v>2</v>
      </c>
      <c r="D1063" t="s">
        <v>345</v>
      </c>
      <c r="E1063" t="s">
        <v>2750</v>
      </c>
    </row>
    <row r="1064" spans="1:9" x14ac:dyDescent="0.3">
      <c r="A1064" t="s">
        <v>2325</v>
      </c>
      <c r="B1064" t="s">
        <v>2751</v>
      </c>
      <c r="C1064">
        <v>1</v>
      </c>
      <c r="D1064" t="s">
        <v>368</v>
      </c>
      <c r="E1064" t="s">
        <v>2752</v>
      </c>
    </row>
    <row r="1065" spans="1:9" x14ac:dyDescent="0.3">
      <c r="A1065" t="s">
        <v>2753</v>
      </c>
      <c r="B1065" t="s">
        <v>2754</v>
      </c>
      <c r="C1065">
        <v>1.5</v>
      </c>
      <c r="D1065" t="s">
        <v>23</v>
      </c>
      <c r="E1065" t="s">
        <v>1047</v>
      </c>
    </row>
    <row r="1066" spans="1:9" x14ac:dyDescent="0.3">
      <c r="A1066" t="s">
        <v>2755</v>
      </c>
      <c r="B1066" t="s">
        <v>2756</v>
      </c>
      <c r="C1066">
        <v>50</v>
      </c>
      <c r="D1066" t="s">
        <v>29</v>
      </c>
      <c r="E1066" t="s">
        <v>342</v>
      </c>
    </row>
    <row r="1067" spans="1:9" x14ac:dyDescent="0.3">
      <c r="A1067" t="s">
        <v>2757</v>
      </c>
      <c r="B1067" t="s">
        <v>2758</v>
      </c>
      <c r="C1067">
        <v>0.67</v>
      </c>
      <c r="D1067" t="s">
        <v>23</v>
      </c>
      <c r="E1067" t="s">
        <v>936</v>
      </c>
    </row>
    <row r="1068" spans="1:9" x14ac:dyDescent="0.3">
      <c r="A1068" t="s">
        <v>2759</v>
      </c>
      <c r="B1068" t="s">
        <v>2760</v>
      </c>
      <c r="C1068">
        <v>0.75</v>
      </c>
      <c r="D1068" t="s">
        <v>23</v>
      </c>
      <c r="E1068" t="s">
        <v>331</v>
      </c>
    </row>
    <row r="1069" spans="1:9" x14ac:dyDescent="0.3">
      <c r="A1069" t="s">
        <v>2761</v>
      </c>
      <c r="B1069" t="s">
        <v>2762</v>
      </c>
      <c r="C1069">
        <v>1</v>
      </c>
      <c r="D1069" t="s">
        <v>227</v>
      </c>
      <c r="E1069" t="s">
        <v>2763</v>
      </c>
    </row>
    <row r="1070" spans="1:9" x14ac:dyDescent="0.3">
      <c r="A1070" t="s">
        <v>2764</v>
      </c>
      <c r="B1070" t="s">
        <v>2765</v>
      </c>
      <c r="C1070">
        <v>25</v>
      </c>
      <c r="D1070" t="s">
        <v>29</v>
      </c>
      <c r="E1070" t="s">
        <v>1231</v>
      </c>
    </row>
    <row r="1071" spans="1:9" x14ac:dyDescent="0.3">
      <c r="A1071" t="s">
        <v>2766</v>
      </c>
      <c r="B1071" t="s">
        <v>2767</v>
      </c>
      <c r="E1071" t="s">
        <v>2767</v>
      </c>
    </row>
    <row r="1072" spans="1:9" x14ac:dyDescent="0.3">
      <c r="A1072" t="s">
        <v>2768</v>
      </c>
      <c r="B1072" t="s">
        <v>2769</v>
      </c>
      <c r="C1072">
        <v>810</v>
      </c>
      <c r="D1072" t="s">
        <v>1983</v>
      </c>
      <c r="E1072" t="s">
        <v>2770</v>
      </c>
      <c r="I1072" t="s">
        <v>20</v>
      </c>
    </row>
    <row r="1073" spans="1:9" x14ac:dyDescent="0.3">
      <c r="A1073" t="s">
        <v>2771</v>
      </c>
      <c r="B1073" t="s">
        <v>1394</v>
      </c>
      <c r="C1073">
        <v>0.5</v>
      </c>
      <c r="D1073" t="s">
        <v>612</v>
      </c>
      <c r="E1073" t="s">
        <v>1395</v>
      </c>
    </row>
    <row r="1074" spans="1:9" x14ac:dyDescent="0.3">
      <c r="A1074" t="s">
        <v>2772</v>
      </c>
      <c r="B1074" t="s">
        <v>2773</v>
      </c>
      <c r="C1074">
        <v>0.5</v>
      </c>
      <c r="D1074" t="s">
        <v>37</v>
      </c>
      <c r="E1074" t="s">
        <v>160</v>
      </c>
      <c r="F1074" t="s">
        <v>167</v>
      </c>
      <c r="G1074" t="s">
        <v>168</v>
      </c>
      <c r="I1074" t="s">
        <v>325</v>
      </c>
    </row>
    <row r="1075" spans="1:9" x14ac:dyDescent="0.3">
      <c r="A1075" t="s">
        <v>2774</v>
      </c>
      <c r="B1075" t="s">
        <v>2775</v>
      </c>
      <c r="C1075">
        <v>25</v>
      </c>
      <c r="D1075" t="s">
        <v>29</v>
      </c>
      <c r="E1075" t="s">
        <v>2776</v>
      </c>
      <c r="I1075" t="s">
        <v>2777</v>
      </c>
    </row>
    <row r="1076" spans="1:9" x14ac:dyDescent="0.3">
      <c r="A1076" t="s">
        <v>2778</v>
      </c>
      <c r="B1076" t="s">
        <v>2779</v>
      </c>
      <c r="C1076">
        <v>0.5</v>
      </c>
      <c r="D1076" t="s">
        <v>37</v>
      </c>
      <c r="E1076" t="s">
        <v>160</v>
      </c>
      <c r="F1076" t="s">
        <v>167</v>
      </c>
      <c r="G1076" t="s">
        <v>168</v>
      </c>
    </row>
    <row r="1077" spans="1:9" x14ac:dyDescent="0.3">
      <c r="A1077" t="s">
        <v>2780</v>
      </c>
      <c r="B1077" t="s">
        <v>2781</v>
      </c>
      <c r="C1077">
        <v>1</v>
      </c>
      <c r="D1077" t="s">
        <v>2782</v>
      </c>
      <c r="E1077" t="s">
        <v>1816</v>
      </c>
    </row>
    <row r="1078" spans="1:9" x14ac:dyDescent="0.3">
      <c r="A1078" t="s">
        <v>2783</v>
      </c>
      <c r="B1078" t="s">
        <v>2784</v>
      </c>
      <c r="C1078">
        <v>0.5</v>
      </c>
      <c r="D1078" t="s">
        <v>11</v>
      </c>
      <c r="E1078" t="s">
        <v>2785</v>
      </c>
    </row>
    <row r="1079" spans="1:9" x14ac:dyDescent="0.3">
      <c r="A1079" t="s">
        <v>2786</v>
      </c>
      <c r="B1079" t="s">
        <v>2787</v>
      </c>
      <c r="C1079">
        <v>0.5</v>
      </c>
      <c r="D1079" t="s">
        <v>23</v>
      </c>
      <c r="E1079" t="s">
        <v>2211</v>
      </c>
    </row>
    <row r="1080" spans="1:9" x14ac:dyDescent="0.3">
      <c r="A1080" t="s">
        <v>2788</v>
      </c>
      <c r="B1080" t="s">
        <v>2789</v>
      </c>
      <c r="C1080">
        <v>3</v>
      </c>
      <c r="D1080" t="s">
        <v>345</v>
      </c>
      <c r="E1080" t="s">
        <v>2790</v>
      </c>
    </row>
    <row r="1081" spans="1:9" x14ac:dyDescent="0.3">
      <c r="A1081" t="s">
        <v>2791</v>
      </c>
      <c r="B1081" t="s">
        <v>2792</v>
      </c>
      <c r="C1081">
        <v>1</v>
      </c>
      <c r="D1081" t="s">
        <v>361</v>
      </c>
      <c r="E1081" t="s">
        <v>2078</v>
      </c>
    </row>
    <row r="1082" spans="1:9" x14ac:dyDescent="0.3">
      <c r="A1082" t="s">
        <v>2793</v>
      </c>
      <c r="B1082" t="s">
        <v>2794</v>
      </c>
      <c r="C1082">
        <v>4</v>
      </c>
      <c r="E1082" t="s">
        <v>2795</v>
      </c>
    </row>
    <row r="1083" spans="1:9" x14ac:dyDescent="0.3">
      <c r="A1083" t="s">
        <v>2796</v>
      </c>
      <c r="B1083" t="s">
        <v>2797</v>
      </c>
      <c r="C1083">
        <v>9.5</v>
      </c>
      <c r="D1083" t="s">
        <v>345</v>
      </c>
      <c r="E1083" t="s">
        <v>581</v>
      </c>
      <c r="F1083" t="s">
        <v>2798</v>
      </c>
    </row>
    <row r="1084" spans="1:9" x14ac:dyDescent="0.3">
      <c r="A1084" t="s">
        <v>2799</v>
      </c>
      <c r="B1084" t="s">
        <v>2800</v>
      </c>
      <c r="C1084">
        <v>2</v>
      </c>
      <c r="D1084" t="s">
        <v>227</v>
      </c>
      <c r="E1084" t="s">
        <v>1445</v>
      </c>
      <c r="I1084" t="s">
        <v>2801</v>
      </c>
    </row>
    <row r="1085" spans="1:9" x14ac:dyDescent="0.3">
      <c r="A1085" t="s">
        <v>2802</v>
      </c>
      <c r="B1085" t="s">
        <v>2663</v>
      </c>
      <c r="C1085">
        <v>15</v>
      </c>
      <c r="D1085" t="s">
        <v>29</v>
      </c>
      <c r="E1085" t="s">
        <v>30</v>
      </c>
    </row>
    <row r="1086" spans="1:9" x14ac:dyDescent="0.3">
      <c r="A1086" t="s">
        <v>2803</v>
      </c>
      <c r="B1086" t="s">
        <v>272</v>
      </c>
      <c r="C1086">
        <v>0.5</v>
      </c>
      <c r="D1086" t="s">
        <v>23</v>
      </c>
      <c r="E1086" t="s">
        <v>265</v>
      </c>
    </row>
    <row r="1087" spans="1:9" x14ac:dyDescent="0.3">
      <c r="A1087" t="s">
        <v>2804</v>
      </c>
      <c r="B1087" t="s">
        <v>2805</v>
      </c>
      <c r="C1087">
        <v>1</v>
      </c>
      <c r="D1087" t="s">
        <v>23</v>
      </c>
      <c r="E1087" t="s">
        <v>2496</v>
      </c>
    </row>
    <row r="1088" spans="1:9" x14ac:dyDescent="0.3">
      <c r="A1088" t="s">
        <v>2806</v>
      </c>
      <c r="B1088" t="s">
        <v>2807</v>
      </c>
      <c r="C1088">
        <v>100</v>
      </c>
      <c r="D1088" t="s">
        <v>29</v>
      </c>
      <c r="E1088" t="s">
        <v>241</v>
      </c>
    </row>
    <row r="1089" spans="1:9" x14ac:dyDescent="0.3">
      <c r="A1089" t="s">
        <v>2808</v>
      </c>
      <c r="B1089" t="s">
        <v>2809</v>
      </c>
      <c r="C1089">
        <v>1</v>
      </c>
      <c r="D1089" t="s">
        <v>1671</v>
      </c>
      <c r="E1089" t="s">
        <v>152</v>
      </c>
      <c r="I1089" t="s">
        <v>248</v>
      </c>
    </row>
    <row r="1090" spans="1:9" x14ac:dyDescent="0.3">
      <c r="A1090" t="s">
        <v>2810</v>
      </c>
      <c r="B1090" t="s">
        <v>486</v>
      </c>
      <c r="C1090">
        <v>1</v>
      </c>
      <c r="D1090" t="s">
        <v>23</v>
      </c>
      <c r="E1090" t="s">
        <v>487</v>
      </c>
    </row>
    <row r="1091" spans="1:9" x14ac:dyDescent="0.3">
      <c r="A1091" t="s">
        <v>2811</v>
      </c>
      <c r="B1091" t="s">
        <v>1704</v>
      </c>
      <c r="C1091">
        <v>0.5</v>
      </c>
      <c r="D1091" t="s">
        <v>23</v>
      </c>
      <c r="E1091" t="s">
        <v>880</v>
      </c>
    </row>
    <row r="1092" spans="1:9" x14ac:dyDescent="0.3">
      <c r="A1092" t="s">
        <v>228</v>
      </c>
      <c r="B1092" t="s">
        <v>2812</v>
      </c>
      <c r="C1092">
        <v>4</v>
      </c>
      <c r="D1092" t="s">
        <v>23</v>
      </c>
      <c r="E1092" t="s">
        <v>516</v>
      </c>
    </row>
    <row r="1093" spans="1:9" x14ac:dyDescent="0.3">
      <c r="A1093" t="s">
        <v>2813</v>
      </c>
      <c r="B1093" t="s">
        <v>2814</v>
      </c>
      <c r="C1093">
        <v>1</v>
      </c>
      <c r="D1093" t="s">
        <v>2397</v>
      </c>
      <c r="E1093" t="s">
        <v>2815</v>
      </c>
    </row>
    <row r="1094" spans="1:9" x14ac:dyDescent="0.3">
      <c r="A1094" t="s">
        <v>2816</v>
      </c>
      <c r="B1094" t="s">
        <v>2817</v>
      </c>
      <c r="C1094">
        <v>2</v>
      </c>
      <c r="D1094" t="s">
        <v>91</v>
      </c>
      <c r="E1094" t="s">
        <v>2818</v>
      </c>
      <c r="I1094" t="s">
        <v>2819</v>
      </c>
    </row>
    <row r="1095" spans="1:9" x14ac:dyDescent="0.3">
      <c r="A1095" t="s">
        <v>2820</v>
      </c>
      <c r="B1095" t="s">
        <v>2445</v>
      </c>
      <c r="C1095">
        <v>10.5</v>
      </c>
      <c r="D1095" t="s">
        <v>91</v>
      </c>
      <c r="E1095" t="s">
        <v>2446</v>
      </c>
    </row>
    <row r="1096" spans="1:9" x14ac:dyDescent="0.3">
      <c r="A1096" t="s">
        <v>2821</v>
      </c>
      <c r="B1096" t="s">
        <v>1237</v>
      </c>
      <c r="C1096">
        <v>1</v>
      </c>
      <c r="D1096" t="s">
        <v>23</v>
      </c>
      <c r="E1096" t="s">
        <v>1238</v>
      </c>
    </row>
    <row r="1097" spans="1:9" x14ac:dyDescent="0.3">
      <c r="A1097" t="s">
        <v>2822</v>
      </c>
      <c r="B1097" t="s">
        <v>2823</v>
      </c>
      <c r="C1097">
        <v>0.75</v>
      </c>
      <c r="D1097" t="s">
        <v>23</v>
      </c>
      <c r="E1097" t="s">
        <v>1715</v>
      </c>
    </row>
    <row r="1098" spans="1:9" x14ac:dyDescent="0.3">
      <c r="A1098" t="s">
        <v>2824</v>
      </c>
      <c r="B1098" t="s">
        <v>2825</v>
      </c>
      <c r="C1098">
        <v>2</v>
      </c>
      <c r="D1098" t="s">
        <v>2826</v>
      </c>
      <c r="E1098" t="s">
        <v>2827</v>
      </c>
    </row>
    <row r="1099" spans="1:9" x14ac:dyDescent="0.3">
      <c r="A1099" t="s">
        <v>2828</v>
      </c>
      <c r="B1099" t="s">
        <v>2328</v>
      </c>
      <c r="C1099">
        <v>0.75</v>
      </c>
      <c r="D1099" t="s">
        <v>11</v>
      </c>
      <c r="E1099" t="s">
        <v>2329</v>
      </c>
    </row>
    <row r="1100" spans="1:9" x14ac:dyDescent="0.3">
      <c r="A1100" t="s">
        <v>2829</v>
      </c>
      <c r="B1100" t="s">
        <v>2830</v>
      </c>
      <c r="C1100">
        <v>0.5</v>
      </c>
      <c r="D1100" t="s">
        <v>23</v>
      </c>
      <c r="E1100" t="s">
        <v>1715</v>
      </c>
    </row>
    <row r="1101" spans="1:9" x14ac:dyDescent="0.3">
      <c r="A1101" t="s">
        <v>2831</v>
      </c>
      <c r="B1101" t="s">
        <v>2832</v>
      </c>
      <c r="C1101">
        <v>0.5</v>
      </c>
      <c r="D1101" t="s">
        <v>23</v>
      </c>
      <c r="E1101" t="s">
        <v>1488</v>
      </c>
      <c r="I1101" t="s">
        <v>2833</v>
      </c>
    </row>
    <row r="1102" spans="1:9" x14ac:dyDescent="0.3">
      <c r="A1102" t="s">
        <v>2834</v>
      </c>
      <c r="B1102" t="s">
        <v>152</v>
      </c>
      <c r="E1102" t="s">
        <v>152</v>
      </c>
    </row>
    <row r="1103" spans="1:9" x14ac:dyDescent="0.3">
      <c r="A1103" t="s">
        <v>2835</v>
      </c>
      <c r="B1103" t="s">
        <v>2836</v>
      </c>
      <c r="C1103">
        <v>0.5</v>
      </c>
      <c r="D1103" t="s">
        <v>284</v>
      </c>
      <c r="E1103" t="s">
        <v>2837</v>
      </c>
    </row>
    <row r="1104" spans="1:9" x14ac:dyDescent="0.3">
      <c r="A1104" t="s">
        <v>2838</v>
      </c>
      <c r="B1104" t="s">
        <v>2839</v>
      </c>
      <c r="C1104">
        <v>0.25</v>
      </c>
      <c r="E1104" t="s">
        <v>377</v>
      </c>
      <c r="F1104" t="s">
        <v>324</v>
      </c>
      <c r="I1104" t="s">
        <v>2840</v>
      </c>
    </row>
    <row r="1105" spans="1:9" x14ac:dyDescent="0.3">
      <c r="A1105" t="s">
        <v>2841</v>
      </c>
      <c r="B1105" t="s">
        <v>2842</v>
      </c>
      <c r="C1105">
        <v>1</v>
      </c>
      <c r="D1105" t="s">
        <v>1785</v>
      </c>
      <c r="E1105" t="s">
        <v>399</v>
      </c>
    </row>
    <row r="1106" spans="1:9" x14ac:dyDescent="0.3">
      <c r="A1106" t="s">
        <v>2843</v>
      </c>
      <c r="B1106" t="s">
        <v>2844</v>
      </c>
      <c r="C1106">
        <v>25</v>
      </c>
      <c r="D1106" t="s">
        <v>29</v>
      </c>
      <c r="E1106" t="s">
        <v>183</v>
      </c>
    </row>
    <row r="1107" spans="1:9" x14ac:dyDescent="0.3">
      <c r="A1107" t="s">
        <v>2845</v>
      </c>
      <c r="B1107" t="s">
        <v>2846</v>
      </c>
      <c r="C1107">
        <v>1</v>
      </c>
      <c r="E1107" t="s">
        <v>1440</v>
      </c>
    </row>
    <row r="1108" spans="1:9" x14ac:dyDescent="0.3">
      <c r="A1108" t="s">
        <v>2847</v>
      </c>
      <c r="B1108" t="s">
        <v>2848</v>
      </c>
      <c r="C1108">
        <v>1</v>
      </c>
      <c r="E1108" t="s">
        <v>2849</v>
      </c>
      <c r="F1108" t="s">
        <v>2167</v>
      </c>
      <c r="I1108" t="s">
        <v>248</v>
      </c>
    </row>
    <row r="1109" spans="1:9" x14ac:dyDescent="0.3">
      <c r="A1109" t="s">
        <v>2850</v>
      </c>
      <c r="B1109" t="s">
        <v>2851</v>
      </c>
      <c r="E1109" t="s">
        <v>2851</v>
      </c>
    </row>
    <row r="1110" spans="1:9" x14ac:dyDescent="0.3">
      <c r="A1110" t="s">
        <v>2852</v>
      </c>
      <c r="B1110" t="s">
        <v>2853</v>
      </c>
      <c r="C1110">
        <v>3</v>
      </c>
      <c r="E1110" t="s">
        <v>323</v>
      </c>
      <c r="F1110" t="s">
        <v>2854</v>
      </c>
      <c r="I1110" t="s">
        <v>325</v>
      </c>
    </row>
    <row r="1111" spans="1:9" x14ac:dyDescent="0.3">
      <c r="A1111" t="s">
        <v>2855</v>
      </c>
      <c r="B1111" t="s">
        <v>2011</v>
      </c>
      <c r="C1111">
        <v>2</v>
      </c>
      <c r="D1111" t="s">
        <v>189</v>
      </c>
      <c r="E1111" t="s">
        <v>61</v>
      </c>
    </row>
    <row r="1112" spans="1:9" x14ac:dyDescent="0.3">
      <c r="A1112" t="s">
        <v>2856</v>
      </c>
      <c r="B1112" t="s">
        <v>2857</v>
      </c>
      <c r="C1112">
        <v>4</v>
      </c>
      <c r="D1112" t="s">
        <v>23</v>
      </c>
      <c r="E1112" t="s">
        <v>2858</v>
      </c>
    </row>
    <row r="1113" spans="1:9" x14ac:dyDescent="0.3">
      <c r="A1113" t="s">
        <v>2859</v>
      </c>
      <c r="B1113" t="s">
        <v>518</v>
      </c>
      <c r="E1113" t="s">
        <v>518</v>
      </c>
    </row>
    <row r="1114" spans="1:9" x14ac:dyDescent="0.3">
      <c r="A1114" t="s">
        <v>2860</v>
      </c>
      <c r="B1114" t="s">
        <v>2861</v>
      </c>
      <c r="C1114">
        <v>2</v>
      </c>
      <c r="D1114" t="s">
        <v>91</v>
      </c>
      <c r="E1114" t="s">
        <v>2862</v>
      </c>
      <c r="I1114" t="s">
        <v>20</v>
      </c>
    </row>
    <row r="1115" spans="1:9" x14ac:dyDescent="0.3">
      <c r="A1115" t="s">
        <v>2863</v>
      </c>
      <c r="B1115" t="s">
        <v>2864</v>
      </c>
      <c r="C1115">
        <v>0.25</v>
      </c>
      <c r="D1115" t="s">
        <v>460</v>
      </c>
      <c r="E1115" t="s">
        <v>292</v>
      </c>
    </row>
    <row r="1116" spans="1:9" x14ac:dyDescent="0.3">
      <c r="A1116" t="s">
        <v>2865</v>
      </c>
      <c r="B1116" t="s">
        <v>2866</v>
      </c>
      <c r="C1116">
        <v>4</v>
      </c>
      <c r="D1116" t="s">
        <v>23</v>
      </c>
      <c r="E1116" t="s">
        <v>2867</v>
      </c>
    </row>
    <row r="1117" spans="1:9" x14ac:dyDescent="0.3">
      <c r="A1117" t="s">
        <v>2868</v>
      </c>
      <c r="B1117" t="s">
        <v>1179</v>
      </c>
      <c r="C1117">
        <v>1</v>
      </c>
      <c r="D1117" t="s">
        <v>23</v>
      </c>
      <c r="E1117" t="s">
        <v>233</v>
      </c>
    </row>
    <row r="1118" spans="1:9" x14ac:dyDescent="0.3">
      <c r="A1118" t="s">
        <v>2869</v>
      </c>
      <c r="B1118" t="s">
        <v>2870</v>
      </c>
      <c r="C1118">
        <v>0.75</v>
      </c>
      <c r="D1118" t="s">
        <v>2210</v>
      </c>
      <c r="E1118" t="s">
        <v>2211</v>
      </c>
      <c r="I1118" t="s">
        <v>289</v>
      </c>
    </row>
    <row r="1119" spans="1:9" x14ac:dyDescent="0.3">
      <c r="A1119" t="s">
        <v>2871</v>
      </c>
      <c r="B1119" t="s">
        <v>407</v>
      </c>
      <c r="C1119">
        <v>1</v>
      </c>
      <c r="D1119" t="s">
        <v>23</v>
      </c>
      <c r="E1119" t="s">
        <v>171</v>
      </c>
    </row>
    <row r="1120" spans="1:9" x14ac:dyDescent="0.3">
      <c r="A1120" t="s">
        <v>2872</v>
      </c>
      <c r="B1120" t="s">
        <v>907</v>
      </c>
      <c r="E1120" t="s">
        <v>907</v>
      </c>
    </row>
    <row r="1121" spans="1:9" x14ac:dyDescent="0.3">
      <c r="A1121" t="s">
        <v>2873</v>
      </c>
      <c r="B1121" t="s">
        <v>2874</v>
      </c>
      <c r="C1121">
        <v>1</v>
      </c>
      <c r="D1121" t="s">
        <v>460</v>
      </c>
      <c r="E1121" t="s">
        <v>2875</v>
      </c>
    </row>
    <row r="1122" spans="1:9" x14ac:dyDescent="0.3">
      <c r="A1122" t="s">
        <v>2876</v>
      </c>
      <c r="B1122" t="s">
        <v>2877</v>
      </c>
      <c r="C1122">
        <v>1</v>
      </c>
      <c r="D1122" t="s">
        <v>37</v>
      </c>
      <c r="E1122" t="s">
        <v>1063</v>
      </c>
    </row>
    <row r="1123" spans="1:9" x14ac:dyDescent="0.3">
      <c r="A1123" t="s">
        <v>2878</v>
      </c>
      <c r="B1123" t="s">
        <v>2879</v>
      </c>
      <c r="C1123">
        <v>10.5</v>
      </c>
      <c r="D1123" t="s">
        <v>91</v>
      </c>
      <c r="E1123" t="s">
        <v>524</v>
      </c>
    </row>
    <row r="1124" spans="1:9" x14ac:dyDescent="0.3">
      <c r="A1124" t="s">
        <v>2880</v>
      </c>
      <c r="B1124" t="s">
        <v>2881</v>
      </c>
      <c r="C1124">
        <v>1</v>
      </c>
      <c r="E1124" t="s">
        <v>2882</v>
      </c>
    </row>
    <row r="1125" spans="1:9" x14ac:dyDescent="0.3">
      <c r="A1125" t="s">
        <v>2883</v>
      </c>
      <c r="B1125" t="s">
        <v>2884</v>
      </c>
      <c r="C1125">
        <v>0.5</v>
      </c>
      <c r="E1125" t="s">
        <v>984</v>
      </c>
      <c r="I1125" t="s">
        <v>248</v>
      </c>
    </row>
    <row r="1126" spans="1:9" x14ac:dyDescent="0.3">
      <c r="A1126" t="s">
        <v>2885</v>
      </c>
      <c r="B1126" t="s">
        <v>2886</v>
      </c>
      <c r="C1126">
        <v>0.75</v>
      </c>
      <c r="D1126" t="s">
        <v>23</v>
      </c>
      <c r="E1126" t="s">
        <v>2887</v>
      </c>
    </row>
    <row r="1127" spans="1:9" x14ac:dyDescent="0.3">
      <c r="A1127" t="s">
        <v>2888</v>
      </c>
      <c r="B1127" t="s">
        <v>2889</v>
      </c>
      <c r="C1127">
        <v>2</v>
      </c>
      <c r="D1127" t="s">
        <v>23</v>
      </c>
      <c r="E1127" t="s">
        <v>2890</v>
      </c>
    </row>
    <row r="1128" spans="1:9" x14ac:dyDescent="0.3">
      <c r="A1128" t="s">
        <v>2891</v>
      </c>
      <c r="B1128" t="s">
        <v>272</v>
      </c>
      <c r="C1128">
        <v>0.5</v>
      </c>
      <c r="D1128" t="s">
        <v>23</v>
      </c>
      <c r="E1128" t="s">
        <v>265</v>
      </c>
    </row>
    <row r="1129" spans="1:9" x14ac:dyDescent="0.3">
      <c r="A1129" t="s">
        <v>2892</v>
      </c>
      <c r="B1129" t="s">
        <v>2893</v>
      </c>
      <c r="C1129">
        <v>4.5</v>
      </c>
      <c r="D1129" t="s">
        <v>71</v>
      </c>
      <c r="E1129" t="s">
        <v>1003</v>
      </c>
    </row>
    <row r="1130" spans="1:9" x14ac:dyDescent="0.3">
      <c r="A1130" t="s">
        <v>2894</v>
      </c>
      <c r="B1130" t="s">
        <v>2895</v>
      </c>
      <c r="C1130">
        <v>1</v>
      </c>
      <c r="D1130" t="s">
        <v>2689</v>
      </c>
      <c r="E1130" t="s">
        <v>2896</v>
      </c>
    </row>
    <row r="1131" spans="1:9" x14ac:dyDescent="0.3">
      <c r="A1131" t="s">
        <v>2897</v>
      </c>
      <c r="B1131" t="s">
        <v>638</v>
      </c>
      <c r="E1131" t="s">
        <v>638</v>
      </c>
    </row>
    <row r="1132" spans="1:9" x14ac:dyDescent="0.3">
      <c r="A1132" t="s">
        <v>2898</v>
      </c>
      <c r="B1132" t="s">
        <v>2899</v>
      </c>
      <c r="C1132">
        <v>3</v>
      </c>
      <c r="D1132" t="s">
        <v>91</v>
      </c>
      <c r="E1132" t="s">
        <v>2138</v>
      </c>
    </row>
    <row r="1133" spans="1:9" x14ac:dyDescent="0.3">
      <c r="A1133" t="s">
        <v>2900</v>
      </c>
      <c r="B1133" t="s">
        <v>2021</v>
      </c>
      <c r="C1133">
        <v>0.5</v>
      </c>
      <c r="D1133" t="s">
        <v>23</v>
      </c>
      <c r="E1133" t="s">
        <v>183</v>
      </c>
    </row>
    <row r="1134" spans="1:9" x14ac:dyDescent="0.3">
      <c r="A1134" t="s">
        <v>2901</v>
      </c>
      <c r="B1134" t="s">
        <v>2902</v>
      </c>
      <c r="E1134" t="s">
        <v>2902</v>
      </c>
    </row>
    <row r="1135" spans="1:9" x14ac:dyDescent="0.3">
      <c r="A1135" t="s">
        <v>2903</v>
      </c>
      <c r="B1135" t="s">
        <v>1141</v>
      </c>
      <c r="C1135">
        <v>50</v>
      </c>
      <c r="D1135" t="s">
        <v>29</v>
      </c>
      <c r="E1135" t="s">
        <v>1142</v>
      </c>
    </row>
    <row r="1136" spans="1:9" x14ac:dyDescent="0.3">
      <c r="A1136" t="s">
        <v>2904</v>
      </c>
      <c r="B1136" t="s">
        <v>2905</v>
      </c>
      <c r="C1136">
        <v>6</v>
      </c>
      <c r="D1136" t="s">
        <v>23</v>
      </c>
      <c r="E1136" t="s">
        <v>262</v>
      </c>
    </row>
    <row r="1137" spans="1:9" x14ac:dyDescent="0.3">
      <c r="A1137" t="s">
        <v>2906</v>
      </c>
      <c r="B1137" t="s">
        <v>2907</v>
      </c>
      <c r="C1137">
        <v>25</v>
      </c>
      <c r="D1137" t="s">
        <v>29</v>
      </c>
      <c r="E1137" t="s">
        <v>57</v>
      </c>
    </row>
    <row r="1138" spans="1:9" x14ac:dyDescent="0.3">
      <c r="A1138" t="s">
        <v>2908</v>
      </c>
      <c r="B1138" t="s">
        <v>1894</v>
      </c>
      <c r="C1138">
        <v>3</v>
      </c>
      <c r="D1138" t="s">
        <v>189</v>
      </c>
      <c r="E1138" t="s">
        <v>1895</v>
      </c>
    </row>
    <row r="1139" spans="1:9" x14ac:dyDescent="0.3">
      <c r="A1139" t="s">
        <v>2909</v>
      </c>
      <c r="B1139" t="s">
        <v>2910</v>
      </c>
      <c r="C1139">
        <v>1.25</v>
      </c>
      <c r="D1139" t="s">
        <v>23</v>
      </c>
      <c r="E1139" t="s">
        <v>281</v>
      </c>
    </row>
    <row r="1140" spans="1:9" x14ac:dyDescent="0.3">
      <c r="A1140" t="s">
        <v>2911</v>
      </c>
      <c r="B1140" t="s">
        <v>2912</v>
      </c>
      <c r="C1140">
        <v>0.75</v>
      </c>
      <c r="D1140" t="s">
        <v>23</v>
      </c>
      <c r="E1140" t="s">
        <v>2913</v>
      </c>
    </row>
    <row r="1141" spans="1:9" x14ac:dyDescent="0.3">
      <c r="A1141" t="s">
        <v>681</v>
      </c>
      <c r="B1141" t="s">
        <v>104</v>
      </c>
      <c r="C1141">
        <v>1</v>
      </c>
      <c r="E1141" t="s">
        <v>105</v>
      </c>
    </row>
    <row r="1142" spans="1:9" x14ac:dyDescent="0.3">
      <c r="A1142" t="s">
        <v>2914</v>
      </c>
      <c r="B1142" t="s">
        <v>2915</v>
      </c>
      <c r="C1142">
        <v>0.75</v>
      </c>
      <c r="D1142" t="s">
        <v>37</v>
      </c>
      <c r="E1142" t="s">
        <v>1416</v>
      </c>
      <c r="I1142" t="s">
        <v>2916</v>
      </c>
    </row>
    <row r="1143" spans="1:9" x14ac:dyDescent="0.3">
      <c r="A1143" t="s">
        <v>2917</v>
      </c>
      <c r="B1143" t="s">
        <v>2918</v>
      </c>
      <c r="C1143">
        <v>25</v>
      </c>
      <c r="D1143" t="s">
        <v>29</v>
      </c>
      <c r="E1143" t="s">
        <v>1666</v>
      </c>
    </row>
    <row r="1144" spans="1:9" x14ac:dyDescent="0.3">
      <c r="A1144" t="s">
        <v>122</v>
      </c>
      <c r="B1144" t="s">
        <v>2919</v>
      </c>
      <c r="C1144">
        <v>1.5</v>
      </c>
      <c r="D1144" t="s">
        <v>345</v>
      </c>
      <c r="E1144" t="s">
        <v>2920</v>
      </c>
    </row>
    <row r="1145" spans="1:9" x14ac:dyDescent="0.3">
      <c r="A1145" t="s">
        <v>2921</v>
      </c>
      <c r="B1145" t="s">
        <v>2922</v>
      </c>
      <c r="C1145">
        <v>0.5</v>
      </c>
      <c r="D1145" t="s">
        <v>284</v>
      </c>
      <c r="E1145" t="s">
        <v>2178</v>
      </c>
    </row>
    <row r="1146" spans="1:9" x14ac:dyDescent="0.3">
      <c r="A1146" t="s">
        <v>2248</v>
      </c>
      <c r="B1146" t="s">
        <v>2923</v>
      </c>
      <c r="C1146">
        <v>1</v>
      </c>
      <c r="D1146" t="s">
        <v>18</v>
      </c>
      <c r="E1146" t="s">
        <v>2924</v>
      </c>
    </row>
    <row r="1147" spans="1:9" x14ac:dyDescent="0.3">
      <c r="A1147" t="s">
        <v>2925</v>
      </c>
      <c r="B1147" t="s">
        <v>2926</v>
      </c>
      <c r="C1147">
        <v>1</v>
      </c>
      <c r="E1147" t="s">
        <v>2927</v>
      </c>
      <c r="F1147" t="s">
        <v>1813</v>
      </c>
    </row>
    <row r="1148" spans="1:9" x14ac:dyDescent="0.3">
      <c r="A1148" t="s">
        <v>2928</v>
      </c>
      <c r="B1148" t="s">
        <v>2929</v>
      </c>
      <c r="C1148">
        <v>1</v>
      </c>
      <c r="D1148" t="s">
        <v>111</v>
      </c>
      <c r="E1148" t="s">
        <v>331</v>
      </c>
    </row>
    <row r="1149" spans="1:9" x14ac:dyDescent="0.3">
      <c r="A1149" t="s">
        <v>2930</v>
      </c>
      <c r="B1149" t="s">
        <v>2931</v>
      </c>
      <c r="D1149" t="s">
        <v>625</v>
      </c>
      <c r="E1149" t="s">
        <v>2896</v>
      </c>
      <c r="I1149" t="s">
        <v>2932</v>
      </c>
    </row>
    <row r="1150" spans="1:9" x14ac:dyDescent="0.3">
      <c r="A1150" t="s">
        <v>2933</v>
      </c>
      <c r="B1150" t="s">
        <v>2934</v>
      </c>
      <c r="C1150">
        <v>1</v>
      </c>
      <c r="D1150" t="s">
        <v>23</v>
      </c>
      <c r="E1150" t="s">
        <v>1328</v>
      </c>
    </row>
    <row r="1151" spans="1:9" x14ac:dyDescent="0.3">
      <c r="A1151" t="s">
        <v>2935</v>
      </c>
      <c r="B1151" t="s">
        <v>333</v>
      </c>
      <c r="E1151" t="s">
        <v>333</v>
      </c>
    </row>
    <row r="1152" spans="1:9" x14ac:dyDescent="0.3">
      <c r="A1152" t="s">
        <v>2936</v>
      </c>
      <c r="B1152" t="s">
        <v>2937</v>
      </c>
      <c r="C1152" t="s">
        <v>665</v>
      </c>
      <c r="D1152" t="s">
        <v>84</v>
      </c>
      <c r="E1152" t="s">
        <v>2938</v>
      </c>
      <c r="I1152" t="s">
        <v>1177</v>
      </c>
    </row>
    <row r="1153" spans="1:9" x14ac:dyDescent="0.3">
      <c r="A1153" t="s">
        <v>2939</v>
      </c>
      <c r="B1153" t="s">
        <v>2940</v>
      </c>
      <c r="C1153">
        <v>2</v>
      </c>
      <c r="D1153" t="s">
        <v>91</v>
      </c>
      <c r="E1153" t="s">
        <v>2132</v>
      </c>
    </row>
    <row r="1154" spans="1:9" x14ac:dyDescent="0.3">
      <c r="A1154" t="s">
        <v>2941</v>
      </c>
      <c r="B1154" t="s">
        <v>2942</v>
      </c>
      <c r="C1154">
        <v>0.5</v>
      </c>
      <c r="D1154" t="s">
        <v>23</v>
      </c>
      <c r="E1154" t="s">
        <v>758</v>
      </c>
      <c r="I1154" t="s">
        <v>289</v>
      </c>
    </row>
    <row r="1155" spans="1:9" x14ac:dyDescent="0.3">
      <c r="A1155" t="s">
        <v>2943</v>
      </c>
      <c r="B1155" t="s">
        <v>2944</v>
      </c>
      <c r="C1155">
        <v>0.5</v>
      </c>
      <c r="D1155" t="s">
        <v>23</v>
      </c>
      <c r="E1155" t="s">
        <v>1209</v>
      </c>
    </row>
    <row r="1156" spans="1:9" x14ac:dyDescent="0.3">
      <c r="A1156" t="s">
        <v>2945</v>
      </c>
      <c r="B1156" t="s">
        <v>2946</v>
      </c>
      <c r="C1156">
        <v>0.5</v>
      </c>
      <c r="D1156" t="s">
        <v>23</v>
      </c>
      <c r="E1156" t="s">
        <v>1084</v>
      </c>
    </row>
    <row r="1157" spans="1:9" x14ac:dyDescent="0.3">
      <c r="A1157" t="s">
        <v>2947</v>
      </c>
      <c r="B1157" t="s">
        <v>2948</v>
      </c>
      <c r="C1157">
        <v>1</v>
      </c>
      <c r="D1157" t="s">
        <v>71</v>
      </c>
      <c r="E1157" t="s">
        <v>2292</v>
      </c>
    </row>
    <row r="1158" spans="1:9" x14ac:dyDescent="0.3">
      <c r="A1158" t="s">
        <v>2949</v>
      </c>
      <c r="B1158" t="s">
        <v>2950</v>
      </c>
      <c r="C1158">
        <v>2.5</v>
      </c>
      <c r="D1158" t="s">
        <v>71</v>
      </c>
      <c r="E1158" t="s">
        <v>38</v>
      </c>
      <c r="G1158" t="s">
        <v>68</v>
      </c>
    </row>
    <row r="1159" spans="1:9" x14ac:dyDescent="0.3">
      <c r="A1159" t="s">
        <v>2951</v>
      </c>
      <c r="B1159" t="s">
        <v>2952</v>
      </c>
      <c r="C1159">
        <v>1</v>
      </c>
      <c r="D1159" t="s">
        <v>23</v>
      </c>
      <c r="E1159" t="s">
        <v>98</v>
      </c>
      <c r="I1159" t="s">
        <v>289</v>
      </c>
    </row>
    <row r="1160" spans="1:9" x14ac:dyDescent="0.3">
      <c r="A1160" t="s">
        <v>2953</v>
      </c>
      <c r="B1160" t="s">
        <v>2954</v>
      </c>
      <c r="C1160">
        <v>1</v>
      </c>
      <c r="D1160" t="s">
        <v>361</v>
      </c>
      <c r="E1160" t="s">
        <v>2955</v>
      </c>
    </row>
    <row r="1161" spans="1:9" x14ac:dyDescent="0.3">
      <c r="A1161" t="s">
        <v>2956</v>
      </c>
      <c r="B1161" t="s">
        <v>2957</v>
      </c>
      <c r="C1161">
        <v>0.75</v>
      </c>
      <c r="D1161" t="s">
        <v>11</v>
      </c>
      <c r="E1161" t="s">
        <v>2958</v>
      </c>
    </row>
    <row r="1162" spans="1:9" x14ac:dyDescent="0.3">
      <c r="A1162" t="s">
        <v>2959</v>
      </c>
      <c r="B1162" t="s">
        <v>2960</v>
      </c>
      <c r="C1162">
        <v>1</v>
      </c>
      <c r="E1162" t="s">
        <v>2961</v>
      </c>
      <c r="F1162" t="s">
        <v>2962</v>
      </c>
      <c r="I1162" t="s">
        <v>2963</v>
      </c>
    </row>
    <row r="1163" spans="1:9" x14ac:dyDescent="0.3">
      <c r="A1163" t="s">
        <v>2964</v>
      </c>
      <c r="B1163" t="s">
        <v>2965</v>
      </c>
      <c r="C1163">
        <v>4</v>
      </c>
      <c r="D1163" t="s">
        <v>227</v>
      </c>
      <c r="E1163" t="s">
        <v>2376</v>
      </c>
      <c r="F1163" t="s">
        <v>2377</v>
      </c>
      <c r="G1163" t="s">
        <v>68</v>
      </c>
    </row>
    <row r="1164" spans="1:9" x14ac:dyDescent="0.3">
      <c r="A1164" t="s">
        <v>2966</v>
      </c>
      <c r="B1164" t="s">
        <v>2967</v>
      </c>
      <c r="C1164">
        <v>0.75</v>
      </c>
      <c r="D1164" t="s">
        <v>23</v>
      </c>
      <c r="E1164" t="s">
        <v>587</v>
      </c>
    </row>
    <row r="1165" spans="1:9" x14ac:dyDescent="0.3">
      <c r="A1165" t="s">
        <v>2968</v>
      </c>
      <c r="B1165" t="s">
        <v>2969</v>
      </c>
      <c r="C1165">
        <v>1</v>
      </c>
      <c r="D1165" t="s">
        <v>18</v>
      </c>
      <c r="E1165" t="s">
        <v>2348</v>
      </c>
      <c r="I1165" t="s">
        <v>20</v>
      </c>
    </row>
    <row r="1166" spans="1:9" x14ac:dyDescent="0.3">
      <c r="A1166" t="s">
        <v>2970</v>
      </c>
      <c r="B1166" t="s">
        <v>2971</v>
      </c>
      <c r="C1166">
        <v>2</v>
      </c>
      <c r="D1166" t="s">
        <v>91</v>
      </c>
      <c r="E1166" t="s">
        <v>2972</v>
      </c>
    </row>
    <row r="1167" spans="1:9" x14ac:dyDescent="0.3">
      <c r="A1167" t="s">
        <v>2973</v>
      </c>
      <c r="B1167" t="s">
        <v>1101</v>
      </c>
      <c r="C1167">
        <v>1</v>
      </c>
      <c r="D1167" t="s">
        <v>23</v>
      </c>
      <c r="E1167" t="s">
        <v>328</v>
      </c>
    </row>
    <row r="1168" spans="1:9" x14ac:dyDescent="0.3">
      <c r="A1168" t="s">
        <v>2974</v>
      </c>
      <c r="B1168" t="s">
        <v>2975</v>
      </c>
      <c r="C1168">
        <v>1</v>
      </c>
      <c r="D1168" t="s">
        <v>426</v>
      </c>
      <c r="E1168" t="s">
        <v>75</v>
      </c>
    </row>
    <row r="1169" spans="1:9" x14ac:dyDescent="0.3">
      <c r="A1169" t="s">
        <v>2976</v>
      </c>
      <c r="B1169" t="s">
        <v>879</v>
      </c>
      <c r="C1169">
        <v>1</v>
      </c>
      <c r="D1169" t="s">
        <v>23</v>
      </c>
      <c r="E1169" t="s">
        <v>880</v>
      </c>
    </row>
    <row r="1170" spans="1:9" x14ac:dyDescent="0.3">
      <c r="A1170" t="s">
        <v>2977</v>
      </c>
      <c r="B1170" t="s">
        <v>2978</v>
      </c>
      <c r="C1170">
        <v>2</v>
      </c>
      <c r="D1170" t="s">
        <v>23</v>
      </c>
      <c r="E1170" t="s">
        <v>2979</v>
      </c>
    </row>
    <row r="1171" spans="1:9" x14ac:dyDescent="0.3">
      <c r="A1171" t="s">
        <v>2980</v>
      </c>
      <c r="B1171" t="s">
        <v>2981</v>
      </c>
      <c r="C1171">
        <v>3</v>
      </c>
      <c r="D1171" t="s">
        <v>23</v>
      </c>
      <c r="E1171" t="s">
        <v>1077</v>
      </c>
    </row>
    <row r="1172" spans="1:9" x14ac:dyDescent="0.3">
      <c r="A1172" t="s">
        <v>2982</v>
      </c>
      <c r="B1172" t="s">
        <v>2983</v>
      </c>
      <c r="C1172">
        <v>34</v>
      </c>
      <c r="D1172" t="s">
        <v>23</v>
      </c>
      <c r="E1172" t="s">
        <v>2984</v>
      </c>
    </row>
    <row r="1173" spans="1:9" x14ac:dyDescent="0.3">
      <c r="A1173" t="s">
        <v>2985</v>
      </c>
      <c r="B1173" t="s">
        <v>2986</v>
      </c>
      <c r="C1173">
        <v>1.25</v>
      </c>
      <c r="D1173" t="s">
        <v>345</v>
      </c>
      <c r="E1173" t="s">
        <v>1915</v>
      </c>
    </row>
    <row r="1174" spans="1:9" x14ac:dyDescent="0.3">
      <c r="A1174" t="s">
        <v>2987</v>
      </c>
      <c r="B1174" t="s">
        <v>2988</v>
      </c>
      <c r="C1174">
        <v>0.75</v>
      </c>
      <c r="D1174" t="s">
        <v>37</v>
      </c>
      <c r="E1174" t="s">
        <v>81</v>
      </c>
    </row>
    <row r="1175" spans="1:9" x14ac:dyDescent="0.3">
      <c r="A1175" t="s">
        <v>2989</v>
      </c>
      <c r="B1175" t="s">
        <v>1838</v>
      </c>
      <c r="C1175">
        <v>1.5</v>
      </c>
      <c r="D1175" t="s">
        <v>345</v>
      </c>
      <c r="E1175" t="s">
        <v>41</v>
      </c>
    </row>
    <row r="1176" spans="1:9" x14ac:dyDescent="0.3">
      <c r="A1176" t="s">
        <v>2990</v>
      </c>
      <c r="B1176" t="s">
        <v>2991</v>
      </c>
      <c r="C1176">
        <v>1</v>
      </c>
      <c r="E1176" t="s">
        <v>2992</v>
      </c>
      <c r="I1176" t="s">
        <v>248</v>
      </c>
    </row>
    <row r="1177" spans="1:9" x14ac:dyDescent="0.3">
      <c r="A1177" t="s">
        <v>2993</v>
      </c>
      <c r="B1177" t="s">
        <v>2994</v>
      </c>
      <c r="E1177" t="s">
        <v>2815</v>
      </c>
      <c r="I1177" t="s">
        <v>2995</v>
      </c>
    </row>
    <row r="1178" spans="1:9" x14ac:dyDescent="0.3">
      <c r="A1178" t="s">
        <v>2996</v>
      </c>
      <c r="B1178" t="s">
        <v>2997</v>
      </c>
      <c r="C1178">
        <v>0.5</v>
      </c>
      <c r="D1178" t="s">
        <v>23</v>
      </c>
      <c r="E1178" t="s">
        <v>2998</v>
      </c>
    </row>
    <row r="1179" spans="1:9" x14ac:dyDescent="0.3">
      <c r="A1179" t="s">
        <v>2999</v>
      </c>
      <c r="B1179" t="s">
        <v>333</v>
      </c>
      <c r="E1179" t="s">
        <v>333</v>
      </c>
    </row>
    <row r="1180" spans="1:9" x14ac:dyDescent="0.3">
      <c r="A1180" t="s">
        <v>2195</v>
      </c>
      <c r="B1180" t="s">
        <v>3000</v>
      </c>
      <c r="C1180">
        <v>0.25</v>
      </c>
      <c r="D1180" t="s">
        <v>284</v>
      </c>
      <c r="E1180" t="s">
        <v>3001</v>
      </c>
      <c r="I1180" t="s">
        <v>3002</v>
      </c>
    </row>
    <row r="1181" spans="1:9" x14ac:dyDescent="0.3">
      <c r="A1181" t="s">
        <v>3003</v>
      </c>
      <c r="B1181" t="s">
        <v>3004</v>
      </c>
      <c r="C1181">
        <v>3</v>
      </c>
      <c r="D1181" t="s">
        <v>23</v>
      </c>
      <c r="E1181" t="s">
        <v>241</v>
      </c>
    </row>
    <row r="1182" spans="1:9" x14ac:dyDescent="0.3">
      <c r="A1182" t="s">
        <v>3005</v>
      </c>
      <c r="B1182" t="s">
        <v>3006</v>
      </c>
      <c r="C1182">
        <v>0.25</v>
      </c>
      <c r="D1182" t="s">
        <v>37</v>
      </c>
      <c r="E1182" t="s">
        <v>3007</v>
      </c>
    </row>
    <row r="1183" spans="1:9" x14ac:dyDescent="0.3">
      <c r="A1183" t="s">
        <v>3008</v>
      </c>
      <c r="B1183" t="s">
        <v>1726</v>
      </c>
      <c r="C1183">
        <v>0.5</v>
      </c>
      <c r="D1183" t="s">
        <v>23</v>
      </c>
      <c r="E1183" t="s">
        <v>95</v>
      </c>
    </row>
    <row r="1184" spans="1:9" x14ac:dyDescent="0.3">
      <c r="A1184" t="s">
        <v>3009</v>
      </c>
      <c r="B1184" t="s">
        <v>3010</v>
      </c>
      <c r="C1184">
        <v>3</v>
      </c>
      <c r="D1184" t="s">
        <v>71</v>
      </c>
      <c r="E1184" t="s">
        <v>3011</v>
      </c>
      <c r="I1184" t="s">
        <v>3012</v>
      </c>
    </row>
    <row r="1185" spans="1:9" x14ac:dyDescent="0.3">
      <c r="A1185" t="s">
        <v>3013</v>
      </c>
      <c r="B1185" t="s">
        <v>3014</v>
      </c>
      <c r="C1185">
        <v>0.5</v>
      </c>
      <c r="D1185" t="s">
        <v>11</v>
      </c>
      <c r="E1185" t="s">
        <v>1457</v>
      </c>
    </row>
    <row r="1186" spans="1:9" x14ac:dyDescent="0.3">
      <c r="A1186" t="s">
        <v>1935</v>
      </c>
      <c r="B1186" t="s">
        <v>59</v>
      </c>
      <c r="C1186">
        <v>1</v>
      </c>
      <c r="D1186" t="s">
        <v>60</v>
      </c>
      <c r="E1186" t="s">
        <v>61</v>
      </c>
    </row>
    <row r="1187" spans="1:9" x14ac:dyDescent="0.3">
      <c r="A1187" t="s">
        <v>3015</v>
      </c>
      <c r="B1187" t="s">
        <v>2610</v>
      </c>
      <c r="C1187">
        <v>0.5</v>
      </c>
      <c r="D1187" t="s">
        <v>284</v>
      </c>
      <c r="E1187" t="s">
        <v>581</v>
      </c>
    </row>
    <row r="1188" spans="1:9" x14ac:dyDescent="0.3">
      <c r="A1188" t="s">
        <v>3016</v>
      </c>
      <c r="B1188" t="s">
        <v>813</v>
      </c>
      <c r="E1188" t="s">
        <v>813</v>
      </c>
    </row>
    <row r="1189" spans="1:9" x14ac:dyDescent="0.3">
      <c r="A1189" t="s">
        <v>3017</v>
      </c>
      <c r="B1189" t="s">
        <v>3018</v>
      </c>
      <c r="C1189">
        <v>2</v>
      </c>
      <c r="D1189" t="s">
        <v>189</v>
      </c>
      <c r="E1189" t="s">
        <v>541</v>
      </c>
    </row>
    <row r="1190" spans="1:9" x14ac:dyDescent="0.3">
      <c r="A1190" t="s">
        <v>702</v>
      </c>
      <c r="B1190" t="s">
        <v>3019</v>
      </c>
      <c r="C1190">
        <v>1.5</v>
      </c>
      <c r="D1190" t="s">
        <v>23</v>
      </c>
      <c r="E1190" t="s">
        <v>1209</v>
      </c>
    </row>
    <row r="1191" spans="1:9" x14ac:dyDescent="0.3">
      <c r="A1191" t="s">
        <v>3020</v>
      </c>
      <c r="B1191" t="s">
        <v>1728</v>
      </c>
      <c r="C1191">
        <v>0.75</v>
      </c>
      <c r="D1191" t="s">
        <v>23</v>
      </c>
      <c r="E1191" t="s">
        <v>183</v>
      </c>
      <c r="I1191" t="s">
        <v>289</v>
      </c>
    </row>
    <row r="1192" spans="1:9" x14ac:dyDescent="0.3">
      <c r="A1192" t="s">
        <v>3021</v>
      </c>
      <c r="B1192" t="s">
        <v>3022</v>
      </c>
      <c r="C1192">
        <v>24</v>
      </c>
      <c r="D1192" t="s">
        <v>23</v>
      </c>
      <c r="E1192" t="s">
        <v>292</v>
      </c>
    </row>
    <row r="1193" spans="1:9" x14ac:dyDescent="0.3">
      <c r="A1193" t="s">
        <v>3023</v>
      </c>
      <c r="B1193" t="s">
        <v>3024</v>
      </c>
      <c r="C1193">
        <v>1</v>
      </c>
      <c r="D1193" t="s">
        <v>368</v>
      </c>
      <c r="E1193" t="s">
        <v>932</v>
      </c>
      <c r="I1193" t="s">
        <v>3025</v>
      </c>
    </row>
    <row r="1194" spans="1:9" x14ac:dyDescent="0.3">
      <c r="A1194" t="s">
        <v>3026</v>
      </c>
      <c r="B1194" t="s">
        <v>413</v>
      </c>
      <c r="E1194" t="s">
        <v>413</v>
      </c>
    </row>
    <row r="1195" spans="1:9" x14ac:dyDescent="0.3">
      <c r="A1195" t="s">
        <v>3027</v>
      </c>
      <c r="B1195" t="s">
        <v>3019</v>
      </c>
      <c r="C1195">
        <v>1.5</v>
      </c>
      <c r="D1195" t="s">
        <v>23</v>
      </c>
      <c r="E1195" t="s">
        <v>1209</v>
      </c>
    </row>
    <row r="1196" spans="1:9" x14ac:dyDescent="0.3">
      <c r="A1196" t="s">
        <v>1166</v>
      </c>
      <c r="B1196" t="s">
        <v>3028</v>
      </c>
      <c r="C1196">
        <v>1</v>
      </c>
      <c r="D1196" t="s">
        <v>368</v>
      </c>
      <c r="E1196" t="s">
        <v>2166</v>
      </c>
    </row>
    <row r="1197" spans="1:9" x14ac:dyDescent="0.3">
      <c r="A1197" t="s">
        <v>3029</v>
      </c>
      <c r="B1197" t="s">
        <v>3030</v>
      </c>
      <c r="C1197">
        <v>150</v>
      </c>
      <c r="D1197" t="s">
        <v>29</v>
      </c>
      <c r="E1197" t="s">
        <v>1816</v>
      </c>
      <c r="F1197" t="s">
        <v>3031</v>
      </c>
      <c r="I1197" t="s">
        <v>3032</v>
      </c>
    </row>
    <row r="1198" spans="1:9" x14ac:dyDescent="0.3">
      <c r="A1198" t="s">
        <v>3033</v>
      </c>
      <c r="B1198" t="s">
        <v>3034</v>
      </c>
      <c r="E1198" t="s">
        <v>3035</v>
      </c>
      <c r="I1198" t="s">
        <v>3036</v>
      </c>
    </row>
    <row r="1199" spans="1:9" x14ac:dyDescent="0.3">
      <c r="A1199" t="s">
        <v>3037</v>
      </c>
      <c r="B1199" t="s">
        <v>3038</v>
      </c>
      <c r="C1199">
        <v>1</v>
      </c>
      <c r="D1199" t="s">
        <v>37</v>
      </c>
      <c r="E1199" t="s">
        <v>728</v>
      </c>
    </row>
    <row r="1200" spans="1:9" x14ac:dyDescent="0.3">
      <c r="A1200" t="s">
        <v>3039</v>
      </c>
      <c r="B1200" t="s">
        <v>3040</v>
      </c>
      <c r="C1200">
        <v>1</v>
      </c>
      <c r="E1200" t="s">
        <v>3041</v>
      </c>
      <c r="F1200" t="s">
        <v>3042</v>
      </c>
    </row>
    <row r="1201" spans="1:9" x14ac:dyDescent="0.3">
      <c r="A1201" t="s">
        <v>3043</v>
      </c>
      <c r="B1201" t="s">
        <v>3044</v>
      </c>
      <c r="C1201" t="s">
        <v>665</v>
      </c>
      <c r="D1201" t="s">
        <v>18</v>
      </c>
      <c r="E1201" t="s">
        <v>3045</v>
      </c>
      <c r="I1201" t="s">
        <v>1652</v>
      </c>
    </row>
    <row r="1202" spans="1:9" x14ac:dyDescent="0.3">
      <c r="A1202" t="s">
        <v>3046</v>
      </c>
      <c r="B1202" t="s">
        <v>3047</v>
      </c>
      <c r="C1202">
        <v>25</v>
      </c>
      <c r="D1202" t="s">
        <v>29</v>
      </c>
      <c r="E1202" t="s">
        <v>3048</v>
      </c>
    </row>
    <row r="1203" spans="1:9" x14ac:dyDescent="0.3">
      <c r="A1203" t="s">
        <v>3049</v>
      </c>
      <c r="B1203" t="s">
        <v>3050</v>
      </c>
      <c r="C1203">
        <v>25</v>
      </c>
      <c r="D1203" t="s">
        <v>29</v>
      </c>
      <c r="E1203" t="s">
        <v>233</v>
      </c>
    </row>
    <row r="1204" spans="1:9" x14ac:dyDescent="0.3">
      <c r="A1204" t="s">
        <v>3051</v>
      </c>
      <c r="B1204" t="s">
        <v>3052</v>
      </c>
      <c r="C1204">
        <v>1</v>
      </c>
      <c r="D1204" t="s">
        <v>3053</v>
      </c>
      <c r="E1204" t="s">
        <v>3054</v>
      </c>
      <c r="I1204" t="s">
        <v>3055</v>
      </c>
    </row>
    <row r="1205" spans="1:9" x14ac:dyDescent="0.3">
      <c r="A1205" t="s">
        <v>3056</v>
      </c>
      <c r="B1205" t="s">
        <v>3057</v>
      </c>
      <c r="C1205">
        <v>8</v>
      </c>
      <c r="D1205" t="s">
        <v>23</v>
      </c>
      <c r="E1205" t="s">
        <v>581</v>
      </c>
      <c r="H1205" t="s">
        <v>3058</v>
      </c>
    </row>
    <row r="1206" spans="1:9" x14ac:dyDescent="0.3">
      <c r="A1206" t="s">
        <v>3059</v>
      </c>
      <c r="B1206" t="s">
        <v>3060</v>
      </c>
      <c r="C1206">
        <v>3.5</v>
      </c>
      <c r="D1206" t="s">
        <v>227</v>
      </c>
      <c r="E1206" t="s">
        <v>1816</v>
      </c>
    </row>
    <row r="1207" spans="1:9" x14ac:dyDescent="0.3">
      <c r="A1207" t="s">
        <v>144</v>
      </c>
      <c r="B1207" t="s">
        <v>3061</v>
      </c>
      <c r="C1207">
        <v>1</v>
      </c>
      <c r="D1207" t="s">
        <v>37</v>
      </c>
      <c r="E1207" t="s">
        <v>581</v>
      </c>
      <c r="H1207" t="s">
        <v>3062</v>
      </c>
    </row>
    <row r="1208" spans="1:9" x14ac:dyDescent="0.3">
      <c r="A1208" t="s">
        <v>3063</v>
      </c>
      <c r="B1208" t="s">
        <v>3064</v>
      </c>
      <c r="C1208">
        <v>150</v>
      </c>
      <c r="D1208" t="s">
        <v>29</v>
      </c>
      <c r="E1208" t="s">
        <v>581</v>
      </c>
      <c r="H1208" t="s">
        <v>3058</v>
      </c>
    </row>
    <row r="1209" spans="1:9" x14ac:dyDescent="0.3">
      <c r="A1209" t="s">
        <v>3065</v>
      </c>
      <c r="B1209" t="s">
        <v>3066</v>
      </c>
      <c r="C1209">
        <v>25</v>
      </c>
      <c r="D1209" t="s">
        <v>29</v>
      </c>
      <c r="E1209" t="s">
        <v>3067</v>
      </c>
    </row>
    <row r="1210" spans="1:9" x14ac:dyDescent="0.3">
      <c r="A1210" t="s">
        <v>3068</v>
      </c>
      <c r="B1210" t="s">
        <v>348</v>
      </c>
      <c r="C1210">
        <v>1</v>
      </c>
      <c r="D1210" t="s">
        <v>23</v>
      </c>
      <c r="E1210" t="s">
        <v>349</v>
      </c>
    </row>
    <row r="1211" spans="1:9" x14ac:dyDescent="0.3">
      <c r="A1211" t="s">
        <v>3069</v>
      </c>
      <c r="B1211" t="s">
        <v>3070</v>
      </c>
      <c r="C1211">
        <v>1.5</v>
      </c>
      <c r="D1211" t="s">
        <v>345</v>
      </c>
      <c r="E1211" t="s">
        <v>3071</v>
      </c>
    </row>
    <row r="1212" spans="1:9" x14ac:dyDescent="0.3">
      <c r="A1212" t="s">
        <v>3072</v>
      </c>
      <c r="B1212" t="s">
        <v>1737</v>
      </c>
      <c r="C1212">
        <v>2</v>
      </c>
      <c r="D1212" t="s">
        <v>23</v>
      </c>
      <c r="E1212" t="s">
        <v>320</v>
      </c>
    </row>
    <row r="1213" spans="1:9" x14ac:dyDescent="0.3">
      <c r="A1213" t="s">
        <v>3073</v>
      </c>
      <c r="B1213" t="s">
        <v>2392</v>
      </c>
      <c r="C1213">
        <v>1</v>
      </c>
      <c r="D1213" t="s">
        <v>33</v>
      </c>
      <c r="E1213" t="s">
        <v>377</v>
      </c>
    </row>
    <row r="1214" spans="1:9" x14ac:dyDescent="0.3">
      <c r="A1214" t="s">
        <v>3074</v>
      </c>
      <c r="B1214" t="s">
        <v>162</v>
      </c>
      <c r="D1214" t="s">
        <v>33</v>
      </c>
      <c r="E1214" t="s">
        <v>163</v>
      </c>
      <c r="I1214" t="s">
        <v>3075</v>
      </c>
    </row>
    <row r="1215" spans="1:9" x14ac:dyDescent="0.3">
      <c r="A1215" t="s">
        <v>3076</v>
      </c>
      <c r="B1215" t="s">
        <v>3077</v>
      </c>
      <c r="C1215">
        <v>0.5</v>
      </c>
      <c r="D1215" t="s">
        <v>23</v>
      </c>
      <c r="E1215" t="s">
        <v>374</v>
      </c>
    </row>
    <row r="1216" spans="1:9" x14ac:dyDescent="0.3">
      <c r="A1216" t="s">
        <v>3078</v>
      </c>
      <c r="B1216" t="s">
        <v>3079</v>
      </c>
      <c r="C1216">
        <v>1</v>
      </c>
      <c r="D1216" t="s">
        <v>460</v>
      </c>
      <c r="E1216" t="s">
        <v>51</v>
      </c>
    </row>
    <row r="1217" spans="1:9" x14ac:dyDescent="0.3">
      <c r="A1217" t="s">
        <v>1210</v>
      </c>
      <c r="B1217" t="s">
        <v>3080</v>
      </c>
      <c r="C1217">
        <v>1</v>
      </c>
      <c r="D1217" t="s">
        <v>361</v>
      </c>
      <c r="E1217" t="s">
        <v>507</v>
      </c>
      <c r="I1217" t="s">
        <v>3081</v>
      </c>
    </row>
    <row r="1218" spans="1:9" x14ac:dyDescent="0.3">
      <c r="A1218" t="s">
        <v>3082</v>
      </c>
      <c r="B1218" t="s">
        <v>3083</v>
      </c>
      <c r="C1218">
        <v>50</v>
      </c>
      <c r="D1218" t="s">
        <v>29</v>
      </c>
      <c r="E1218" t="s">
        <v>2535</v>
      </c>
    </row>
    <row r="1219" spans="1:9" x14ac:dyDescent="0.3">
      <c r="A1219" t="s">
        <v>3084</v>
      </c>
      <c r="B1219" t="s">
        <v>3085</v>
      </c>
      <c r="C1219">
        <v>1</v>
      </c>
      <c r="D1219" t="s">
        <v>23</v>
      </c>
      <c r="E1219" t="s">
        <v>1059</v>
      </c>
    </row>
    <row r="1220" spans="1:9" x14ac:dyDescent="0.3">
      <c r="A1220" t="s">
        <v>3086</v>
      </c>
      <c r="B1220" t="s">
        <v>3087</v>
      </c>
      <c r="C1220">
        <v>3</v>
      </c>
      <c r="D1220" t="s">
        <v>345</v>
      </c>
      <c r="E1220" t="s">
        <v>3088</v>
      </c>
      <c r="H1220" t="s">
        <v>1078</v>
      </c>
      <c r="I1220" t="s">
        <v>3032</v>
      </c>
    </row>
    <row r="1221" spans="1:9" x14ac:dyDescent="0.3">
      <c r="A1221" t="s">
        <v>1837</v>
      </c>
      <c r="B1221" t="s">
        <v>3089</v>
      </c>
      <c r="C1221">
        <v>0.25</v>
      </c>
      <c r="E1221" t="s">
        <v>377</v>
      </c>
      <c r="F1221" t="s">
        <v>1983</v>
      </c>
      <c r="I1221" t="s">
        <v>3090</v>
      </c>
    </row>
    <row r="1222" spans="1:9" x14ac:dyDescent="0.3">
      <c r="A1222" t="s">
        <v>485</v>
      </c>
      <c r="B1222" t="s">
        <v>3091</v>
      </c>
      <c r="C1222">
        <v>0.5</v>
      </c>
      <c r="D1222" t="s">
        <v>11</v>
      </c>
      <c r="E1222" t="s">
        <v>3092</v>
      </c>
      <c r="I1222" t="s">
        <v>654</v>
      </c>
    </row>
    <row r="1223" spans="1:9" x14ac:dyDescent="0.3">
      <c r="A1223" t="s">
        <v>3093</v>
      </c>
      <c r="B1223" t="s">
        <v>1222</v>
      </c>
      <c r="C1223">
        <v>2</v>
      </c>
      <c r="D1223" t="s">
        <v>189</v>
      </c>
      <c r="E1223" t="s">
        <v>1223</v>
      </c>
    </row>
    <row r="1224" spans="1:9" x14ac:dyDescent="0.3">
      <c r="A1224" t="s">
        <v>3094</v>
      </c>
      <c r="B1224" t="s">
        <v>671</v>
      </c>
      <c r="C1224">
        <v>2</v>
      </c>
      <c r="D1224" t="s">
        <v>189</v>
      </c>
      <c r="E1224" t="s">
        <v>672</v>
      </c>
    </row>
    <row r="1225" spans="1:9" x14ac:dyDescent="0.3">
      <c r="A1225" t="s">
        <v>3095</v>
      </c>
      <c r="B1225" t="s">
        <v>3096</v>
      </c>
      <c r="C1225">
        <v>0.5</v>
      </c>
      <c r="D1225" t="s">
        <v>23</v>
      </c>
      <c r="E1225" t="s">
        <v>2703</v>
      </c>
    </row>
    <row r="1226" spans="1:9" x14ac:dyDescent="0.3">
      <c r="A1226" t="s">
        <v>3097</v>
      </c>
      <c r="B1226" t="s">
        <v>3098</v>
      </c>
      <c r="C1226">
        <v>0.5</v>
      </c>
      <c r="D1226" t="s">
        <v>284</v>
      </c>
      <c r="E1226" t="s">
        <v>581</v>
      </c>
      <c r="H1226" t="s">
        <v>3099</v>
      </c>
    </row>
    <row r="1227" spans="1:9" x14ac:dyDescent="0.3">
      <c r="A1227" t="s">
        <v>3100</v>
      </c>
      <c r="B1227" t="s">
        <v>3101</v>
      </c>
      <c r="C1227">
        <v>1</v>
      </c>
      <c r="D1227" t="s">
        <v>3102</v>
      </c>
      <c r="E1227" t="s">
        <v>2078</v>
      </c>
    </row>
    <row r="1228" spans="1:9" x14ac:dyDescent="0.3">
      <c r="A1228" t="s">
        <v>3103</v>
      </c>
      <c r="B1228" t="s">
        <v>3104</v>
      </c>
      <c r="E1228" t="s">
        <v>190</v>
      </c>
      <c r="I1228" t="s">
        <v>3105</v>
      </c>
    </row>
    <row r="1229" spans="1:9" x14ac:dyDescent="0.3">
      <c r="A1229" t="s">
        <v>3106</v>
      </c>
      <c r="B1229" t="s">
        <v>3107</v>
      </c>
      <c r="C1229">
        <v>12</v>
      </c>
      <c r="D1229" t="s">
        <v>206</v>
      </c>
      <c r="E1229" t="s">
        <v>2120</v>
      </c>
    </row>
    <row r="1230" spans="1:9" x14ac:dyDescent="0.3">
      <c r="A1230" t="s">
        <v>3108</v>
      </c>
      <c r="B1230" t="s">
        <v>1596</v>
      </c>
      <c r="C1230">
        <v>1</v>
      </c>
      <c r="D1230" t="s">
        <v>18</v>
      </c>
      <c r="E1230" t="s">
        <v>190</v>
      </c>
    </row>
    <row r="1231" spans="1:9" x14ac:dyDescent="0.3">
      <c r="A1231" t="s">
        <v>3109</v>
      </c>
      <c r="B1231" t="s">
        <v>3110</v>
      </c>
      <c r="C1231">
        <v>0.5</v>
      </c>
      <c r="D1231" t="s">
        <v>11</v>
      </c>
      <c r="E1231" t="s">
        <v>423</v>
      </c>
    </row>
    <row r="1232" spans="1:9" x14ac:dyDescent="0.3">
      <c r="A1232" t="s">
        <v>3111</v>
      </c>
      <c r="B1232" t="s">
        <v>294</v>
      </c>
      <c r="C1232">
        <v>1</v>
      </c>
      <c r="E1232" t="s">
        <v>295</v>
      </c>
      <c r="I1232" t="s">
        <v>248</v>
      </c>
    </row>
    <row r="1233" spans="1:9" x14ac:dyDescent="0.3">
      <c r="A1233" t="s">
        <v>3112</v>
      </c>
      <c r="B1233" t="s">
        <v>3113</v>
      </c>
      <c r="C1233">
        <v>5</v>
      </c>
      <c r="D1233" t="s">
        <v>23</v>
      </c>
      <c r="E1233" t="s">
        <v>3114</v>
      </c>
    </row>
    <row r="1234" spans="1:9" x14ac:dyDescent="0.3">
      <c r="A1234" t="s">
        <v>3115</v>
      </c>
      <c r="B1234" t="s">
        <v>3116</v>
      </c>
      <c r="C1234">
        <v>1</v>
      </c>
      <c r="E1234" t="s">
        <v>704</v>
      </c>
    </row>
    <row r="1235" spans="1:9" x14ac:dyDescent="0.3">
      <c r="A1235" t="s">
        <v>3117</v>
      </c>
      <c r="B1235" t="s">
        <v>3118</v>
      </c>
      <c r="C1235">
        <v>0.25</v>
      </c>
      <c r="D1235" t="s">
        <v>23</v>
      </c>
      <c r="E1235" t="s">
        <v>880</v>
      </c>
    </row>
    <row r="1236" spans="1:9" x14ac:dyDescent="0.3">
      <c r="A1236" t="s">
        <v>3119</v>
      </c>
      <c r="B1236" t="s">
        <v>3120</v>
      </c>
      <c r="C1236">
        <v>8</v>
      </c>
      <c r="D1236" t="s">
        <v>23</v>
      </c>
      <c r="E1236" t="s">
        <v>26</v>
      </c>
    </row>
    <row r="1237" spans="1:9" x14ac:dyDescent="0.3">
      <c r="A1237" t="s">
        <v>3121</v>
      </c>
      <c r="B1237" t="s">
        <v>3122</v>
      </c>
      <c r="C1237">
        <v>2</v>
      </c>
      <c r="D1237" t="s">
        <v>176</v>
      </c>
      <c r="E1237" t="s">
        <v>3123</v>
      </c>
    </row>
    <row r="1238" spans="1:9" x14ac:dyDescent="0.3">
      <c r="A1238" t="s">
        <v>3124</v>
      </c>
      <c r="B1238" t="s">
        <v>518</v>
      </c>
      <c r="E1238" t="s">
        <v>518</v>
      </c>
    </row>
    <row r="1239" spans="1:9" x14ac:dyDescent="0.3">
      <c r="A1239" t="s">
        <v>3125</v>
      </c>
      <c r="B1239" t="s">
        <v>3126</v>
      </c>
      <c r="C1239">
        <v>2</v>
      </c>
      <c r="D1239" t="s">
        <v>91</v>
      </c>
      <c r="E1239" t="s">
        <v>3127</v>
      </c>
      <c r="I1239" t="s">
        <v>1565</v>
      </c>
    </row>
    <row r="1240" spans="1:9" x14ac:dyDescent="0.3">
      <c r="A1240" t="s">
        <v>3128</v>
      </c>
      <c r="B1240" t="s">
        <v>3129</v>
      </c>
      <c r="C1240">
        <v>30</v>
      </c>
      <c r="D1240" t="s">
        <v>29</v>
      </c>
      <c r="E1240" t="s">
        <v>349</v>
      </c>
      <c r="I1240" t="s">
        <v>306</v>
      </c>
    </row>
    <row r="1241" spans="1:9" x14ac:dyDescent="0.3">
      <c r="A1241" t="s">
        <v>3130</v>
      </c>
      <c r="B1241" t="s">
        <v>3131</v>
      </c>
      <c r="C1241">
        <v>150</v>
      </c>
      <c r="D1241" t="s">
        <v>29</v>
      </c>
      <c r="E1241" t="s">
        <v>3132</v>
      </c>
    </row>
    <row r="1242" spans="1:9" x14ac:dyDescent="0.3">
      <c r="A1242" t="s">
        <v>3133</v>
      </c>
      <c r="B1242" t="s">
        <v>3134</v>
      </c>
      <c r="C1242">
        <v>2</v>
      </c>
      <c r="D1242" t="s">
        <v>23</v>
      </c>
      <c r="E1242" t="s">
        <v>1209</v>
      </c>
    </row>
    <row r="1243" spans="1:9" x14ac:dyDescent="0.3">
      <c r="A1243" t="s">
        <v>3135</v>
      </c>
      <c r="B1243" t="s">
        <v>3136</v>
      </c>
      <c r="C1243">
        <v>2</v>
      </c>
      <c r="E1243" t="s">
        <v>1056</v>
      </c>
    </row>
    <row r="1244" spans="1:9" x14ac:dyDescent="0.3">
      <c r="A1244" t="s">
        <v>3137</v>
      </c>
      <c r="B1244" t="s">
        <v>3138</v>
      </c>
      <c r="C1244">
        <v>0.5</v>
      </c>
      <c r="D1244" t="s">
        <v>37</v>
      </c>
      <c r="E1244" t="s">
        <v>494</v>
      </c>
    </row>
    <row r="1245" spans="1:9" x14ac:dyDescent="0.3">
      <c r="A1245" t="s">
        <v>3139</v>
      </c>
      <c r="B1245" t="s">
        <v>3140</v>
      </c>
      <c r="E1245" t="s">
        <v>3140</v>
      </c>
    </row>
    <row r="1246" spans="1:9" x14ac:dyDescent="0.3">
      <c r="A1246" t="s">
        <v>2664</v>
      </c>
      <c r="B1246" t="s">
        <v>3141</v>
      </c>
      <c r="C1246">
        <v>2.5</v>
      </c>
      <c r="D1246" t="s">
        <v>71</v>
      </c>
      <c r="E1246" t="s">
        <v>220</v>
      </c>
    </row>
    <row r="1247" spans="1:9" x14ac:dyDescent="0.3">
      <c r="A1247" t="s">
        <v>3142</v>
      </c>
      <c r="B1247" t="s">
        <v>3143</v>
      </c>
      <c r="C1247">
        <v>1</v>
      </c>
      <c r="D1247" t="s">
        <v>18</v>
      </c>
      <c r="E1247" t="s">
        <v>3144</v>
      </c>
    </row>
    <row r="1248" spans="1:9" x14ac:dyDescent="0.3">
      <c r="A1248" t="s">
        <v>3145</v>
      </c>
      <c r="B1248" t="s">
        <v>3146</v>
      </c>
      <c r="C1248">
        <v>3</v>
      </c>
      <c r="D1248" t="s">
        <v>176</v>
      </c>
      <c r="E1248" t="s">
        <v>220</v>
      </c>
    </row>
    <row r="1249" spans="1:9" x14ac:dyDescent="0.3">
      <c r="A1249" t="s">
        <v>3147</v>
      </c>
      <c r="B1249" t="s">
        <v>1179</v>
      </c>
      <c r="C1249">
        <v>1</v>
      </c>
      <c r="D1249" t="s">
        <v>23</v>
      </c>
      <c r="E1249" t="s">
        <v>233</v>
      </c>
    </row>
    <row r="1250" spans="1:9" x14ac:dyDescent="0.3">
      <c r="A1250" t="s">
        <v>3148</v>
      </c>
      <c r="B1250" t="s">
        <v>1604</v>
      </c>
      <c r="C1250">
        <v>0.5</v>
      </c>
      <c r="D1250" t="s">
        <v>23</v>
      </c>
      <c r="E1250" t="s">
        <v>30</v>
      </c>
      <c r="I1250" t="s">
        <v>289</v>
      </c>
    </row>
    <row r="1251" spans="1:9" x14ac:dyDescent="0.3">
      <c r="A1251" t="s">
        <v>3149</v>
      </c>
      <c r="B1251" t="s">
        <v>3150</v>
      </c>
      <c r="C1251">
        <v>1.5</v>
      </c>
      <c r="D1251" t="s">
        <v>23</v>
      </c>
      <c r="E1251" t="s">
        <v>847</v>
      </c>
    </row>
    <row r="1252" spans="1:9" x14ac:dyDescent="0.3">
      <c r="A1252" t="s">
        <v>3151</v>
      </c>
      <c r="B1252" t="s">
        <v>2225</v>
      </c>
      <c r="C1252">
        <v>1</v>
      </c>
      <c r="D1252" t="s">
        <v>23</v>
      </c>
      <c r="E1252" t="s">
        <v>183</v>
      </c>
    </row>
    <row r="1253" spans="1:9" x14ac:dyDescent="0.3">
      <c r="A1253" t="s">
        <v>3152</v>
      </c>
      <c r="B1253" t="s">
        <v>3153</v>
      </c>
      <c r="C1253">
        <v>2</v>
      </c>
      <c r="D1253" t="s">
        <v>345</v>
      </c>
      <c r="E1253" t="s">
        <v>220</v>
      </c>
    </row>
    <row r="1254" spans="1:9" x14ac:dyDescent="0.3">
      <c r="A1254" t="s">
        <v>3154</v>
      </c>
      <c r="B1254" t="s">
        <v>1056</v>
      </c>
      <c r="E1254" t="s">
        <v>1056</v>
      </c>
    </row>
    <row r="1255" spans="1:9" x14ac:dyDescent="0.3">
      <c r="A1255" t="s">
        <v>3155</v>
      </c>
      <c r="B1255" t="s">
        <v>3156</v>
      </c>
      <c r="C1255">
        <v>0.75</v>
      </c>
      <c r="D1255" t="s">
        <v>23</v>
      </c>
      <c r="E1255" t="s">
        <v>38</v>
      </c>
      <c r="G1255" t="s">
        <v>814</v>
      </c>
    </row>
    <row r="1256" spans="1:9" x14ac:dyDescent="0.3">
      <c r="A1256" t="s">
        <v>3157</v>
      </c>
      <c r="B1256" t="s">
        <v>2929</v>
      </c>
      <c r="C1256">
        <v>1</v>
      </c>
      <c r="D1256" t="s">
        <v>111</v>
      </c>
      <c r="E1256" t="s">
        <v>331</v>
      </c>
    </row>
    <row r="1257" spans="1:9" x14ac:dyDescent="0.3">
      <c r="A1257" t="s">
        <v>69</v>
      </c>
      <c r="B1257" t="s">
        <v>3158</v>
      </c>
      <c r="C1257">
        <v>6</v>
      </c>
      <c r="D1257" t="s">
        <v>71</v>
      </c>
      <c r="E1257" t="s">
        <v>3159</v>
      </c>
      <c r="F1257" t="s">
        <v>167</v>
      </c>
      <c r="G1257" t="s">
        <v>168</v>
      </c>
    </row>
    <row r="1258" spans="1:9" x14ac:dyDescent="0.3">
      <c r="A1258" t="s">
        <v>3160</v>
      </c>
      <c r="B1258" t="s">
        <v>1539</v>
      </c>
      <c r="C1258">
        <v>1</v>
      </c>
      <c r="D1258" t="s">
        <v>23</v>
      </c>
      <c r="E1258" t="s">
        <v>738</v>
      </c>
    </row>
    <row r="1259" spans="1:9" x14ac:dyDescent="0.3">
      <c r="A1259" t="s">
        <v>3161</v>
      </c>
      <c r="B1259" t="s">
        <v>3162</v>
      </c>
      <c r="C1259">
        <v>1</v>
      </c>
      <c r="D1259" t="s">
        <v>37</v>
      </c>
      <c r="E1259" t="s">
        <v>3163</v>
      </c>
    </row>
    <row r="1260" spans="1:9" x14ac:dyDescent="0.3">
      <c r="A1260" t="s">
        <v>3164</v>
      </c>
      <c r="B1260" t="s">
        <v>3165</v>
      </c>
      <c r="C1260">
        <v>0.25</v>
      </c>
      <c r="D1260" t="s">
        <v>37</v>
      </c>
      <c r="E1260" t="s">
        <v>3166</v>
      </c>
    </row>
    <row r="1261" spans="1:9" x14ac:dyDescent="0.3">
      <c r="A1261" t="s">
        <v>3167</v>
      </c>
      <c r="B1261" t="s">
        <v>3168</v>
      </c>
      <c r="C1261">
        <v>1.5</v>
      </c>
      <c r="D1261" t="s">
        <v>345</v>
      </c>
      <c r="E1261" t="s">
        <v>728</v>
      </c>
      <c r="I1261" t="s">
        <v>3169</v>
      </c>
    </row>
    <row r="1262" spans="1:9" x14ac:dyDescent="0.3">
      <c r="A1262" t="s">
        <v>3170</v>
      </c>
      <c r="B1262" t="s">
        <v>3171</v>
      </c>
      <c r="C1262">
        <v>2</v>
      </c>
      <c r="E1262" t="s">
        <v>2053</v>
      </c>
    </row>
    <row r="1263" spans="1:9" x14ac:dyDescent="0.3">
      <c r="A1263" t="s">
        <v>3172</v>
      </c>
      <c r="B1263" t="s">
        <v>3173</v>
      </c>
      <c r="C1263">
        <v>4</v>
      </c>
      <c r="D1263" t="s">
        <v>146</v>
      </c>
      <c r="E1263" t="s">
        <v>3174</v>
      </c>
    </row>
    <row r="1264" spans="1:9" x14ac:dyDescent="0.3">
      <c r="A1264" t="s">
        <v>3175</v>
      </c>
      <c r="B1264" t="s">
        <v>3176</v>
      </c>
      <c r="C1264">
        <v>0.5</v>
      </c>
      <c r="D1264" t="s">
        <v>23</v>
      </c>
      <c r="E1264" t="s">
        <v>3177</v>
      </c>
    </row>
    <row r="1265" spans="1:9" x14ac:dyDescent="0.3">
      <c r="A1265" t="s">
        <v>1353</v>
      </c>
      <c r="B1265" t="s">
        <v>3178</v>
      </c>
      <c r="E1265" t="s">
        <v>416</v>
      </c>
      <c r="I1265" t="s">
        <v>3179</v>
      </c>
    </row>
    <row r="1266" spans="1:9" x14ac:dyDescent="0.3">
      <c r="A1266" t="s">
        <v>3180</v>
      </c>
      <c r="B1266" t="s">
        <v>3181</v>
      </c>
      <c r="C1266">
        <v>2</v>
      </c>
      <c r="D1266" t="s">
        <v>473</v>
      </c>
      <c r="E1266" t="s">
        <v>3182</v>
      </c>
      <c r="I1266" t="s">
        <v>3183</v>
      </c>
    </row>
    <row r="1267" spans="1:9" x14ac:dyDescent="0.3">
      <c r="A1267" t="s">
        <v>2195</v>
      </c>
      <c r="B1267" t="s">
        <v>3184</v>
      </c>
      <c r="C1267">
        <v>0.5</v>
      </c>
      <c r="D1267" t="s">
        <v>284</v>
      </c>
      <c r="E1267" t="s">
        <v>2324</v>
      </c>
    </row>
    <row r="1268" spans="1:9" x14ac:dyDescent="0.3">
      <c r="A1268" t="s">
        <v>3185</v>
      </c>
      <c r="B1268" t="s">
        <v>3186</v>
      </c>
      <c r="C1268">
        <v>1</v>
      </c>
      <c r="D1268" t="s">
        <v>111</v>
      </c>
      <c r="E1268" t="s">
        <v>320</v>
      </c>
    </row>
    <row r="1269" spans="1:9" x14ac:dyDescent="0.3">
      <c r="A1269" t="s">
        <v>3187</v>
      </c>
      <c r="B1269" t="s">
        <v>3188</v>
      </c>
      <c r="C1269">
        <v>0.33</v>
      </c>
      <c r="D1269" t="s">
        <v>11</v>
      </c>
      <c r="E1269" t="s">
        <v>233</v>
      </c>
    </row>
    <row r="1270" spans="1:9" x14ac:dyDescent="0.3">
      <c r="A1270" t="s">
        <v>3189</v>
      </c>
      <c r="B1270" t="s">
        <v>3190</v>
      </c>
      <c r="C1270" t="s">
        <v>1650</v>
      </c>
      <c r="D1270" t="s">
        <v>23</v>
      </c>
      <c r="E1270" t="s">
        <v>402</v>
      </c>
      <c r="I1270">
        <v>6</v>
      </c>
    </row>
    <row r="1271" spans="1:9" x14ac:dyDescent="0.3">
      <c r="A1271" t="s">
        <v>3191</v>
      </c>
      <c r="B1271" t="s">
        <v>3192</v>
      </c>
      <c r="C1271">
        <v>2</v>
      </c>
      <c r="D1271" t="s">
        <v>189</v>
      </c>
      <c r="E1271" t="s">
        <v>3193</v>
      </c>
    </row>
    <row r="1272" spans="1:9" x14ac:dyDescent="0.3">
      <c r="A1272" t="s">
        <v>3194</v>
      </c>
      <c r="B1272" t="s">
        <v>3195</v>
      </c>
      <c r="C1272">
        <v>0.5</v>
      </c>
      <c r="D1272" t="s">
        <v>37</v>
      </c>
      <c r="E1272" t="s">
        <v>3196</v>
      </c>
    </row>
    <row r="1273" spans="1:9" x14ac:dyDescent="0.3">
      <c r="A1273" t="s">
        <v>3197</v>
      </c>
      <c r="B1273" t="s">
        <v>3198</v>
      </c>
      <c r="C1273">
        <v>2</v>
      </c>
      <c r="D1273" t="s">
        <v>91</v>
      </c>
      <c r="E1273" t="s">
        <v>1674</v>
      </c>
    </row>
    <row r="1274" spans="1:9" x14ac:dyDescent="0.3">
      <c r="A1274" t="s">
        <v>3199</v>
      </c>
      <c r="B1274" t="s">
        <v>3200</v>
      </c>
      <c r="C1274">
        <v>1.25</v>
      </c>
      <c r="D1274" t="s">
        <v>345</v>
      </c>
      <c r="E1274" t="s">
        <v>3201</v>
      </c>
    </row>
    <row r="1275" spans="1:9" x14ac:dyDescent="0.3">
      <c r="A1275" t="s">
        <v>3202</v>
      </c>
      <c r="B1275" t="s">
        <v>3203</v>
      </c>
      <c r="C1275">
        <v>0.5</v>
      </c>
      <c r="D1275" t="s">
        <v>23</v>
      </c>
      <c r="E1275" t="s">
        <v>3204</v>
      </c>
      <c r="I1275" t="s">
        <v>289</v>
      </c>
    </row>
    <row r="1276" spans="1:9" x14ac:dyDescent="0.3">
      <c r="A1276" t="s">
        <v>2639</v>
      </c>
      <c r="B1276" t="s">
        <v>3205</v>
      </c>
      <c r="C1276">
        <v>1.5</v>
      </c>
      <c r="D1276" t="s">
        <v>345</v>
      </c>
      <c r="E1276" t="s">
        <v>1476</v>
      </c>
    </row>
    <row r="1277" spans="1:9" x14ac:dyDescent="0.3">
      <c r="A1277" t="s">
        <v>3206</v>
      </c>
      <c r="B1277" t="s">
        <v>3207</v>
      </c>
      <c r="C1277">
        <v>1.5</v>
      </c>
      <c r="D1277" t="s">
        <v>227</v>
      </c>
      <c r="E1277" t="s">
        <v>220</v>
      </c>
    </row>
    <row r="1278" spans="1:9" x14ac:dyDescent="0.3">
      <c r="A1278" t="s">
        <v>3208</v>
      </c>
      <c r="B1278" t="s">
        <v>3209</v>
      </c>
      <c r="C1278">
        <v>2</v>
      </c>
      <c r="D1278" t="s">
        <v>91</v>
      </c>
      <c r="E1278" t="s">
        <v>2299</v>
      </c>
    </row>
    <row r="1279" spans="1:9" x14ac:dyDescent="0.3">
      <c r="A1279" t="s">
        <v>3210</v>
      </c>
      <c r="B1279" t="s">
        <v>3211</v>
      </c>
      <c r="C1279">
        <v>1</v>
      </c>
      <c r="D1279" t="s">
        <v>151</v>
      </c>
      <c r="E1279" t="s">
        <v>1436</v>
      </c>
    </row>
    <row r="1280" spans="1:9" x14ac:dyDescent="0.3">
      <c r="A1280" t="s">
        <v>3212</v>
      </c>
      <c r="B1280" t="s">
        <v>3213</v>
      </c>
      <c r="C1280">
        <v>2</v>
      </c>
      <c r="D1280" t="s">
        <v>227</v>
      </c>
      <c r="E1280" t="s">
        <v>581</v>
      </c>
      <c r="H1280" t="s">
        <v>3214</v>
      </c>
    </row>
    <row r="1281" spans="1:9" x14ac:dyDescent="0.3">
      <c r="A1281" t="s">
        <v>3215</v>
      </c>
      <c r="B1281" t="s">
        <v>3216</v>
      </c>
      <c r="C1281">
        <v>0.75</v>
      </c>
      <c r="D1281" t="s">
        <v>23</v>
      </c>
      <c r="E1281" t="s">
        <v>38</v>
      </c>
      <c r="G1281" t="s">
        <v>68</v>
      </c>
    </row>
    <row r="1282" spans="1:9" x14ac:dyDescent="0.3">
      <c r="A1282" t="s">
        <v>3217</v>
      </c>
      <c r="B1282" t="s">
        <v>3218</v>
      </c>
      <c r="E1282" t="s">
        <v>3218</v>
      </c>
    </row>
    <row r="1283" spans="1:9" x14ac:dyDescent="0.3">
      <c r="A1283" t="s">
        <v>2666</v>
      </c>
      <c r="B1283" t="s">
        <v>36</v>
      </c>
      <c r="C1283">
        <v>0.75</v>
      </c>
      <c r="D1283" t="s">
        <v>37</v>
      </c>
      <c r="E1283" t="s">
        <v>38</v>
      </c>
    </row>
    <row r="1284" spans="1:9" x14ac:dyDescent="0.3">
      <c r="A1284" t="s">
        <v>3219</v>
      </c>
      <c r="B1284" t="s">
        <v>3220</v>
      </c>
      <c r="C1284">
        <v>8</v>
      </c>
      <c r="D1284" t="s">
        <v>23</v>
      </c>
      <c r="E1284" t="s">
        <v>3221</v>
      </c>
    </row>
    <row r="1285" spans="1:9" x14ac:dyDescent="0.3">
      <c r="A1285" t="s">
        <v>713</v>
      </c>
      <c r="B1285" t="s">
        <v>3222</v>
      </c>
      <c r="E1285" t="s">
        <v>1204</v>
      </c>
      <c r="I1285" t="s">
        <v>3223</v>
      </c>
    </row>
    <row r="1286" spans="1:9" x14ac:dyDescent="0.3">
      <c r="A1286" t="s">
        <v>3224</v>
      </c>
      <c r="B1286" t="s">
        <v>3225</v>
      </c>
      <c r="C1286">
        <v>2</v>
      </c>
      <c r="E1286" t="s">
        <v>3226</v>
      </c>
    </row>
    <row r="1287" spans="1:9" x14ac:dyDescent="0.3">
      <c r="A1287" t="s">
        <v>3227</v>
      </c>
      <c r="B1287" t="s">
        <v>1957</v>
      </c>
      <c r="C1287">
        <v>2</v>
      </c>
      <c r="D1287" t="s">
        <v>345</v>
      </c>
      <c r="E1287" t="s">
        <v>516</v>
      </c>
    </row>
    <row r="1288" spans="1:9" x14ac:dyDescent="0.3">
      <c r="A1288" t="s">
        <v>3228</v>
      </c>
      <c r="B1288" t="s">
        <v>333</v>
      </c>
      <c r="E1288" t="s">
        <v>333</v>
      </c>
    </row>
    <row r="1289" spans="1:9" x14ac:dyDescent="0.3">
      <c r="A1289" t="s">
        <v>3229</v>
      </c>
      <c r="B1289" t="s">
        <v>3230</v>
      </c>
      <c r="C1289">
        <v>10</v>
      </c>
      <c r="D1289" t="s">
        <v>29</v>
      </c>
      <c r="E1289" t="s">
        <v>1431</v>
      </c>
    </row>
    <row r="1290" spans="1:9" x14ac:dyDescent="0.3">
      <c r="A1290" t="s">
        <v>3231</v>
      </c>
      <c r="B1290" t="s">
        <v>3232</v>
      </c>
      <c r="C1290">
        <v>2.25</v>
      </c>
      <c r="D1290" t="s">
        <v>345</v>
      </c>
      <c r="E1290" t="s">
        <v>3233</v>
      </c>
    </row>
    <row r="1291" spans="1:9" x14ac:dyDescent="0.3">
      <c r="A1291" t="s">
        <v>3234</v>
      </c>
      <c r="B1291" t="s">
        <v>3235</v>
      </c>
      <c r="C1291">
        <v>1</v>
      </c>
      <c r="D1291" t="s">
        <v>426</v>
      </c>
      <c r="E1291" t="s">
        <v>3236</v>
      </c>
    </row>
    <row r="1292" spans="1:9" x14ac:dyDescent="0.3">
      <c r="A1292" t="s">
        <v>3237</v>
      </c>
      <c r="B1292" t="s">
        <v>3238</v>
      </c>
      <c r="C1292">
        <v>2</v>
      </c>
      <c r="D1292" t="s">
        <v>460</v>
      </c>
      <c r="E1292" t="s">
        <v>1431</v>
      </c>
    </row>
    <row r="1293" spans="1:9" x14ac:dyDescent="0.3">
      <c r="A1293" t="s">
        <v>3239</v>
      </c>
      <c r="B1293" t="s">
        <v>3240</v>
      </c>
      <c r="C1293">
        <v>4</v>
      </c>
      <c r="D1293" t="s">
        <v>23</v>
      </c>
      <c r="E1293" t="s">
        <v>940</v>
      </c>
    </row>
    <row r="1294" spans="1:9" x14ac:dyDescent="0.3">
      <c r="A1294" t="s">
        <v>3241</v>
      </c>
      <c r="B1294" t="s">
        <v>3242</v>
      </c>
      <c r="C1294">
        <v>2</v>
      </c>
      <c r="D1294" t="s">
        <v>71</v>
      </c>
      <c r="E1294" t="s">
        <v>30</v>
      </c>
    </row>
    <row r="1295" spans="1:9" x14ac:dyDescent="0.3">
      <c r="A1295" t="s">
        <v>3243</v>
      </c>
      <c r="B1295" t="s">
        <v>3244</v>
      </c>
      <c r="C1295">
        <v>10</v>
      </c>
      <c r="D1295" t="s">
        <v>29</v>
      </c>
      <c r="E1295" t="s">
        <v>947</v>
      </c>
    </row>
    <row r="1296" spans="1:9" x14ac:dyDescent="0.3">
      <c r="A1296" t="s">
        <v>3245</v>
      </c>
      <c r="B1296" t="s">
        <v>3246</v>
      </c>
      <c r="C1296">
        <v>75</v>
      </c>
      <c r="D1296" t="s">
        <v>29</v>
      </c>
      <c r="E1296" t="s">
        <v>241</v>
      </c>
    </row>
    <row r="1297" spans="1:9" x14ac:dyDescent="0.3">
      <c r="A1297" t="s">
        <v>279</v>
      </c>
      <c r="B1297" t="s">
        <v>3247</v>
      </c>
      <c r="C1297">
        <v>1</v>
      </c>
      <c r="D1297" t="s">
        <v>23</v>
      </c>
      <c r="E1297" t="s">
        <v>1506</v>
      </c>
    </row>
    <row r="1298" spans="1:9" x14ac:dyDescent="0.3">
      <c r="A1298" t="s">
        <v>3248</v>
      </c>
      <c r="B1298" t="s">
        <v>1714</v>
      </c>
      <c r="C1298">
        <v>1</v>
      </c>
      <c r="D1298" t="s">
        <v>23</v>
      </c>
      <c r="E1298" t="s">
        <v>1715</v>
      </c>
    </row>
    <row r="1299" spans="1:9" x14ac:dyDescent="0.3">
      <c r="A1299" t="s">
        <v>3249</v>
      </c>
      <c r="B1299" t="s">
        <v>3250</v>
      </c>
      <c r="C1299">
        <v>1</v>
      </c>
      <c r="D1299" t="s">
        <v>284</v>
      </c>
      <c r="E1299" t="s">
        <v>1644</v>
      </c>
    </row>
    <row r="1300" spans="1:9" x14ac:dyDescent="0.3">
      <c r="A1300" t="s">
        <v>3251</v>
      </c>
      <c r="B1300" t="s">
        <v>3252</v>
      </c>
      <c r="C1300">
        <v>1</v>
      </c>
      <c r="D1300" t="s">
        <v>284</v>
      </c>
      <c r="E1300" t="s">
        <v>3253</v>
      </c>
    </row>
    <row r="1301" spans="1:9" x14ac:dyDescent="0.3">
      <c r="A1301" t="s">
        <v>3254</v>
      </c>
      <c r="B1301" t="s">
        <v>3255</v>
      </c>
      <c r="C1301">
        <v>0.67</v>
      </c>
      <c r="D1301" t="s">
        <v>37</v>
      </c>
      <c r="E1301" t="s">
        <v>3140</v>
      </c>
    </row>
    <row r="1302" spans="1:9" x14ac:dyDescent="0.3">
      <c r="A1302" t="s">
        <v>3256</v>
      </c>
      <c r="B1302" t="s">
        <v>3257</v>
      </c>
      <c r="C1302">
        <v>0.5</v>
      </c>
      <c r="E1302" t="s">
        <v>491</v>
      </c>
    </row>
    <row r="1303" spans="1:9" x14ac:dyDescent="0.3">
      <c r="A1303" t="s">
        <v>3258</v>
      </c>
      <c r="B1303" t="s">
        <v>3259</v>
      </c>
      <c r="C1303">
        <v>2</v>
      </c>
      <c r="D1303" t="s">
        <v>23</v>
      </c>
      <c r="E1303" t="s">
        <v>383</v>
      </c>
    </row>
    <row r="1304" spans="1:9" x14ac:dyDescent="0.3">
      <c r="A1304" t="s">
        <v>3260</v>
      </c>
      <c r="B1304" t="s">
        <v>3261</v>
      </c>
      <c r="C1304">
        <v>2</v>
      </c>
      <c r="D1304" t="s">
        <v>206</v>
      </c>
      <c r="E1304" t="s">
        <v>877</v>
      </c>
    </row>
    <row r="1305" spans="1:9" x14ac:dyDescent="0.3">
      <c r="A1305" t="s">
        <v>3262</v>
      </c>
      <c r="B1305" t="s">
        <v>3263</v>
      </c>
      <c r="C1305">
        <v>0.5</v>
      </c>
      <c r="D1305" t="s">
        <v>23</v>
      </c>
      <c r="E1305" t="s">
        <v>1867</v>
      </c>
    </row>
    <row r="1306" spans="1:9" x14ac:dyDescent="0.3">
      <c r="A1306" t="s">
        <v>1893</v>
      </c>
      <c r="B1306" t="s">
        <v>3264</v>
      </c>
      <c r="C1306">
        <v>1</v>
      </c>
      <c r="D1306" t="s">
        <v>460</v>
      </c>
      <c r="E1306" t="s">
        <v>2078</v>
      </c>
      <c r="I1306" t="s">
        <v>289</v>
      </c>
    </row>
    <row r="1307" spans="1:9" x14ac:dyDescent="0.3">
      <c r="A1307" t="s">
        <v>3265</v>
      </c>
      <c r="B1307" t="s">
        <v>3266</v>
      </c>
      <c r="C1307">
        <v>1</v>
      </c>
      <c r="D1307" t="s">
        <v>23</v>
      </c>
      <c r="E1307" t="s">
        <v>3267</v>
      </c>
    </row>
    <row r="1308" spans="1:9" x14ac:dyDescent="0.3">
      <c r="A1308" t="s">
        <v>1326</v>
      </c>
      <c r="B1308" t="s">
        <v>3268</v>
      </c>
      <c r="C1308">
        <v>1</v>
      </c>
      <c r="D1308" t="s">
        <v>37</v>
      </c>
      <c r="E1308" t="s">
        <v>3269</v>
      </c>
      <c r="I1308" t="s">
        <v>3270</v>
      </c>
    </row>
    <row r="1309" spans="1:9" x14ac:dyDescent="0.3">
      <c r="A1309" t="s">
        <v>3271</v>
      </c>
      <c r="B1309" t="s">
        <v>953</v>
      </c>
      <c r="C1309">
        <v>2</v>
      </c>
      <c r="D1309" t="s">
        <v>23</v>
      </c>
      <c r="E1309" t="s">
        <v>738</v>
      </c>
    </row>
    <row r="1310" spans="1:9" x14ac:dyDescent="0.3">
      <c r="A1310" t="s">
        <v>3272</v>
      </c>
      <c r="B1310" t="s">
        <v>3273</v>
      </c>
      <c r="C1310">
        <v>1</v>
      </c>
      <c r="D1310" t="s">
        <v>206</v>
      </c>
      <c r="E1310" t="s">
        <v>3274</v>
      </c>
    </row>
    <row r="1311" spans="1:9" x14ac:dyDescent="0.3">
      <c r="A1311" t="s">
        <v>3275</v>
      </c>
      <c r="B1311" t="s">
        <v>3116</v>
      </c>
      <c r="C1311">
        <v>1</v>
      </c>
      <c r="E1311" t="s">
        <v>704</v>
      </c>
    </row>
    <row r="1312" spans="1:9" x14ac:dyDescent="0.3">
      <c r="A1312" t="s">
        <v>3276</v>
      </c>
      <c r="B1312" t="s">
        <v>2288</v>
      </c>
      <c r="C1312">
        <v>1</v>
      </c>
      <c r="D1312" t="s">
        <v>23</v>
      </c>
      <c r="E1312" t="s">
        <v>2289</v>
      </c>
    </row>
    <row r="1313" spans="1:9" x14ac:dyDescent="0.3">
      <c r="A1313" t="s">
        <v>3277</v>
      </c>
      <c r="B1313" t="s">
        <v>1055</v>
      </c>
      <c r="C1313">
        <v>1</v>
      </c>
      <c r="D1313" t="s">
        <v>585</v>
      </c>
      <c r="E1313" t="s">
        <v>1056</v>
      </c>
      <c r="I1313" t="s">
        <v>248</v>
      </c>
    </row>
    <row r="1314" spans="1:9" x14ac:dyDescent="0.3">
      <c r="A1314" t="s">
        <v>3278</v>
      </c>
      <c r="B1314" t="s">
        <v>3279</v>
      </c>
      <c r="C1314">
        <v>2</v>
      </c>
      <c r="D1314" t="s">
        <v>60</v>
      </c>
      <c r="E1314" t="s">
        <v>61</v>
      </c>
    </row>
    <row r="1315" spans="1:9" x14ac:dyDescent="0.3">
      <c r="A1315" t="s">
        <v>3280</v>
      </c>
      <c r="B1315" t="s">
        <v>1413</v>
      </c>
      <c r="C1315">
        <v>1</v>
      </c>
      <c r="D1315" t="s">
        <v>23</v>
      </c>
      <c r="E1315" t="s">
        <v>292</v>
      </c>
    </row>
    <row r="1316" spans="1:9" x14ac:dyDescent="0.3">
      <c r="A1316" t="s">
        <v>3281</v>
      </c>
      <c r="B1316" t="s">
        <v>3282</v>
      </c>
      <c r="C1316">
        <v>50</v>
      </c>
      <c r="D1316" t="s">
        <v>29</v>
      </c>
      <c r="E1316" t="s">
        <v>3283</v>
      </c>
      <c r="I1316" t="s">
        <v>342</v>
      </c>
    </row>
    <row r="1317" spans="1:9" x14ac:dyDescent="0.3">
      <c r="A1317" t="s">
        <v>3284</v>
      </c>
      <c r="B1317" t="s">
        <v>3285</v>
      </c>
      <c r="C1317">
        <v>1</v>
      </c>
      <c r="E1317" t="s">
        <v>3286</v>
      </c>
      <c r="I1317" t="s">
        <v>3287</v>
      </c>
    </row>
    <row r="1318" spans="1:9" x14ac:dyDescent="0.3">
      <c r="A1318" t="s">
        <v>3288</v>
      </c>
      <c r="B1318" t="s">
        <v>3289</v>
      </c>
      <c r="C1318">
        <v>0.5</v>
      </c>
      <c r="D1318" t="s">
        <v>23</v>
      </c>
      <c r="E1318" t="s">
        <v>233</v>
      </c>
      <c r="I1318" t="s">
        <v>289</v>
      </c>
    </row>
    <row r="1319" spans="1:9" x14ac:dyDescent="0.3">
      <c r="A1319" t="s">
        <v>3290</v>
      </c>
      <c r="B1319" t="s">
        <v>3291</v>
      </c>
      <c r="C1319">
        <v>2</v>
      </c>
      <c r="D1319" t="s">
        <v>151</v>
      </c>
      <c r="E1319" t="s">
        <v>518</v>
      </c>
    </row>
    <row r="1320" spans="1:9" x14ac:dyDescent="0.3">
      <c r="A1320" t="s">
        <v>3292</v>
      </c>
      <c r="B1320" t="s">
        <v>3293</v>
      </c>
      <c r="C1320">
        <v>2</v>
      </c>
      <c r="D1320" t="s">
        <v>1553</v>
      </c>
      <c r="E1320" t="s">
        <v>3294</v>
      </c>
    </row>
    <row r="1321" spans="1:9" x14ac:dyDescent="0.3">
      <c r="A1321" t="s">
        <v>3295</v>
      </c>
      <c r="B1321" t="s">
        <v>3296</v>
      </c>
      <c r="C1321">
        <v>1</v>
      </c>
      <c r="D1321" t="s">
        <v>11</v>
      </c>
      <c r="E1321" t="s">
        <v>3297</v>
      </c>
    </row>
    <row r="1322" spans="1:9" x14ac:dyDescent="0.3">
      <c r="A1322" t="s">
        <v>2234</v>
      </c>
      <c r="B1322" t="s">
        <v>3298</v>
      </c>
      <c r="D1322" t="s">
        <v>2689</v>
      </c>
      <c r="E1322" t="s">
        <v>3299</v>
      </c>
      <c r="I1322" t="s">
        <v>3075</v>
      </c>
    </row>
    <row r="1323" spans="1:9" x14ac:dyDescent="0.3">
      <c r="A1323" t="s">
        <v>3300</v>
      </c>
      <c r="B1323" t="s">
        <v>2370</v>
      </c>
      <c r="C1323">
        <v>1</v>
      </c>
      <c r="D1323" t="s">
        <v>284</v>
      </c>
      <c r="E1323" t="s">
        <v>413</v>
      </c>
      <c r="F1323" t="s">
        <v>1571</v>
      </c>
    </row>
    <row r="1324" spans="1:9" x14ac:dyDescent="0.3">
      <c r="A1324" t="s">
        <v>3301</v>
      </c>
      <c r="B1324" t="s">
        <v>163</v>
      </c>
      <c r="E1324" t="s">
        <v>163</v>
      </c>
    </row>
    <row r="1325" spans="1:9" x14ac:dyDescent="0.3">
      <c r="A1325" t="s">
        <v>3302</v>
      </c>
      <c r="B1325" t="s">
        <v>3303</v>
      </c>
      <c r="C1325">
        <v>1</v>
      </c>
      <c r="D1325" t="s">
        <v>23</v>
      </c>
      <c r="E1325" t="s">
        <v>3304</v>
      </c>
    </row>
    <row r="1326" spans="1:9" x14ac:dyDescent="0.3">
      <c r="A1326" t="s">
        <v>3305</v>
      </c>
      <c r="B1326" t="s">
        <v>3306</v>
      </c>
      <c r="C1326">
        <v>0.5</v>
      </c>
      <c r="D1326" t="s">
        <v>284</v>
      </c>
      <c r="E1326" t="s">
        <v>3123</v>
      </c>
    </row>
    <row r="1327" spans="1:9" x14ac:dyDescent="0.3">
      <c r="A1327" t="s">
        <v>2048</v>
      </c>
      <c r="B1327" t="s">
        <v>3079</v>
      </c>
      <c r="C1327">
        <v>1</v>
      </c>
      <c r="D1327" t="s">
        <v>460</v>
      </c>
      <c r="E1327" t="s">
        <v>51</v>
      </c>
    </row>
    <row r="1328" spans="1:9" x14ac:dyDescent="0.3">
      <c r="A1328" t="s">
        <v>3307</v>
      </c>
      <c r="B1328" t="s">
        <v>3308</v>
      </c>
      <c r="C1328">
        <v>2</v>
      </c>
      <c r="D1328" t="s">
        <v>23</v>
      </c>
      <c r="E1328" t="s">
        <v>3309</v>
      </c>
      <c r="I1328" t="s">
        <v>3310</v>
      </c>
    </row>
    <row r="1329" spans="1:9" x14ac:dyDescent="0.3">
      <c r="A1329" t="s">
        <v>3311</v>
      </c>
      <c r="B1329" t="s">
        <v>3312</v>
      </c>
      <c r="E1329" t="s">
        <v>3312</v>
      </c>
    </row>
    <row r="1330" spans="1:9" x14ac:dyDescent="0.3">
      <c r="A1330" t="s">
        <v>3313</v>
      </c>
      <c r="B1330" t="s">
        <v>261</v>
      </c>
      <c r="C1330">
        <v>1</v>
      </c>
      <c r="D1330" t="s">
        <v>111</v>
      </c>
      <c r="E1330" t="s">
        <v>262</v>
      </c>
    </row>
    <row r="1331" spans="1:9" x14ac:dyDescent="0.3">
      <c r="A1331" t="s">
        <v>3314</v>
      </c>
      <c r="B1331" t="s">
        <v>3315</v>
      </c>
      <c r="C1331">
        <v>60</v>
      </c>
      <c r="D1331" t="s">
        <v>2267</v>
      </c>
      <c r="E1331" t="s">
        <v>3316</v>
      </c>
    </row>
    <row r="1332" spans="1:9" x14ac:dyDescent="0.3">
      <c r="A1332" t="s">
        <v>3317</v>
      </c>
      <c r="B1332" t="s">
        <v>3318</v>
      </c>
      <c r="C1332">
        <v>0.75</v>
      </c>
      <c r="D1332" t="s">
        <v>11</v>
      </c>
      <c r="E1332" t="s">
        <v>1674</v>
      </c>
    </row>
    <row r="1333" spans="1:9" x14ac:dyDescent="0.3">
      <c r="A1333" t="s">
        <v>3319</v>
      </c>
      <c r="B1333" t="s">
        <v>3320</v>
      </c>
      <c r="C1333">
        <v>1</v>
      </c>
      <c r="D1333" t="s">
        <v>460</v>
      </c>
      <c r="E1333" t="s">
        <v>2348</v>
      </c>
      <c r="I1333" t="s">
        <v>20</v>
      </c>
    </row>
    <row r="1334" spans="1:9" x14ac:dyDescent="0.3">
      <c r="A1334" t="s">
        <v>3321</v>
      </c>
      <c r="B1334" t="s">
        <v>320</v>
      </c>
      <c r="E1334" t="s">
        <v>320</v>
      </c>
    </row>
    <row r="1335" spans="1:9" x14ac:dyDescent="0.3">
      <c r="A1335" t="s">
        <v>1001</v>
      </c>
      <c r="B1335" t="s">
        <v>3322</v>
      </c>
      <c r="C1335">
        <v>0.5</v>
      </c>
      <c r="D1335" t="s">
        <v>3323</v>
      </c>
      <c r="E1335" t="s">
        <v>3324</v>
      </c>
    </row>
    <row r="1336" spans="1:9" x14ac:dyDescent="0.3">
      <c r="A1336" t="s">
        <v>3180</v>
      </c>
      <c r="B1336" t="s">
        <v>3325</v>
      </c>
      <c r="C1336">
        <v>1</v>
      </c>
      <c r="D1336" t="s">
        <v>368</v>
      </c>
      <c r="E1336" t="s">
        <v>2166</v>
      </c>
      <c r="F1336" t="s">
        <v>3326</v>
      </c>
    </row>
    <row r="1337" spans="1:9" x14ac:dyDescent="0.3">
      <c r="A1337" t="s">
        <v>1648</v>
      </c>
      <c r="B1337" t="s">
        <v>3327</v>
      </c>
      <c r="C1337">
        <v>3</v>
      </c>
      <c r="D1337" t="s">
        <v>71</v>
      </c>
      <c r="E1337" t="s">
        <v>220</v>
      </c>
      <c r="I1337" t="e">
        <f>- I used Tanqueray</f>
        <v>#NAME?</v>
      </c>
    </row>
    <row r="1338" spans="1:9" x14ac:dyDescent="0.3">
      <c r="A1338" t="s">
        <v>3328</v>
      </c>
      <c r="B1338" t="s">
        <v>3329</v>
      </c>
      <c r="C1338">
        <v>1</v>
      </c>
      <c r="D1338" t="s">
        <v>361</v>
      </c>
      <c r="E1338" t="s">
        <v>3330</v>
      </c>
      <c r="I1338" t="s">
        <v>20</v>
      </c>
    </row>
    <row r="1339" spans="1:9" x14ac:dyDescent="0.3">
      <c r="A1339" t="s">
        <v>3331</v>
      </c>
      <c r="B1339" t="s">
        <v>3332</v>
      </c>
      <c r="C1339">
        <v>20</v>
      </c>
      <c r="D1339" t="s">
        <v>29</v>
      </c>
      <c r="E1339" t="s">
        <v>3333</v>
      </c>
    </row>
    <row r="1340" spans="1:9" x14ac:dyDescent="0.3">
      <c r="A1340" t="s">
        <v>3334</v>
      </c>
      <c r="B1340" t="s">
        <v>3335</v>
      </c>
      <c r="C1340">
        <v>1</v>
      </c>
      <c r="D1340" t="s">
        <v>284</v>
      </c>
      <c r="E1340" t="s">
        <v>3336</v>
      </c>
    </row>
    <row r="1341" spans="1:9" x14ac:dyDescent="0.3">
      <c r="A1341" t="s">
        <v>3337</v>
      </c>
      <c r="B1341" t="s">
        <v>3338</v>
      </c>
      <c r="D1341" t="s">
        <v>60</v>
      </c>
      <c r="E1341" t="s">
        <v>1097</v>
      </c>
      <c r="I1341" t="s">
        <v>289</v>
      </c>
    </row>
    <row r="1342" spans="1:9" x14ac:dyDescent="0.3">
      <c r="A1342" t="s">
        <v>3339</v>
      </c>
      <c r="B1342" t="s">
        <v>3340</v>
      </c>
      <c r="C1342">
        <v>1.5</v>
      </c>
      <c r="D1342" t="s">
        <v>71</v>
      </c>
      <c r="E1342" t="s">
        <v>3341</v>
      </c>
      <c r="I1342" t="s">
        <v>3342</v>
      </c>
    </row>
    <row r="1343" spans="1:9" x14ac:dyDescent="0.3">
      <c r="A1343" t="s">
        <v>3343</v>
      </c>
      <c r="B1343" t="s">
        <v>3344</v>
      </c>
      <c r="C1343">
        <v>1</v>
      </c>
      <c r="D1343" t="s">
        <v>37</v>
      </c>
      <c r="E1343" t="s">
        <v>3345</v>
      </c>
    </row>
    <row r="1344" spans="1:9" x14ac:dyDescent="0.3">
      <c r="A1344" t="s">
        <v>3346</v>
      </c>
      <c r="B1344" t="s">
        <v>3347</v>
      </c>
      <c r="C1344">
        <v>0.5</v>
      </c>
      <c r="D1344" t="s">
        <v>284</v>
      </c>
      <c r="E1344" t="s">
        <v>2376</v>
      </c>
      <c r="F1344" t="s">
        <v>3348</v>
      </c>
      <c r="I1344" t="s">
        <v>325</v>
      </c>
    </row>
    <row r="1345" spans="1:9" x14ac:dyDescent="0.3">
      <c r="A1345" t="s">
        <v>3349</v>
      </c>
      <c r="B1345" t="s">
        <v>3350</v>
      </c>
      <c r="E1345" t="s">
        <v>3350</v>
      </c>
    </row>
    <row r="1346" spans="1:9" x14ac:dyDescent="0.3">
      <c r="A1346" t="s">
        <v>3351</v>
      </c>
      <c r="B1346" t="s">
        <v>3352</v>
      </c>
      <c r="C1346">
        <v>2</v>
      </c>
      <c r="D1346" t="s">
        <v>60</v>
      </c>
      <c r="E1346" t="s">
        <v>3353</v>
      </c>
    </row>
    <row r="1347" spans="1:9" x14ac:dyDescent="0.3">
      <c r="A1347" t="s">
        <v>3354</v>
      </c>
      <c r="B1347" t="s">
        <v>3355</v>
      </c>
      <c r="C1347">
        <v>1</v>
      </c>
      <c r="D1347" t="s">
        <v>23</v>
      </c>
      <c r="E1347" t="s">
        <v>1431</v>
      </c>
    </row>
    <row r="1348" spans="1:9" x14ac:dyDescent="0.3">
      <c r="A1348" t="s">
        <v>2803</v>
      </c>
      <c r="B1348" t="s">
        <v>333</v>
      </c>
      <c r="E1348" t="s">
        <v>333</v>
      </c>
    </row>
    <row r="1349" spans="1:9" x14ac:dyDescent="0.3">
      <c r="A1349" t="s">
        <v>3356</v>
      </c>
      <c r="B1349" t="s">
        <v>1150</v>
      </c>
      <c r="C1349">
        <v>1</v>
      </c>
      <c r="D1349" t="s">
        <v>23</v>
      </c>
      <c r="E1349" t="s">
        <v>115</v>
      </c>
    </row>
    <row r="1350" spans="1:9" x14ac:dyDescent="0.3">
      <c r="A1350" t="s">
        <v>3357</v>
      </c>
      <c r="B1350" t="s">
        <v>3358</v>
      </c>
      <c r="C1350">
        <v>10</v>
      </c>
      <c r="D1350" t="s">
        <v>176</v>
      </c>
      <c r="E1350" t="s">
        <v>24</v>
      </c>
    </row>
    <row r="1351" spans="1:9" x14ac:dyDescent="0.3">
      <c r="A1351" t="s">
        <v>293</v>
      </c>
      <c r="B1351" t="s">
        <v>3359</v>
      </c>
      <c r="C1351">
        <v>1</v>
      </c>
      <c r="E1351" t="s">
        <v>3360</v>
      </c>
    </row>
    <row r="1352" spans="1:9" x14ac:dyDescent="0.3">
      <c r="A1352" t="s">
        <v>3361</v>
      </c>
      <c r="B1352" t="s">
        <v>3362</v>
      </c>
      <c r="C1352">
        <v>0.25</v>
      </c>
      <c r="D1352" t="s">
        <v>23</v>
      </c>
      <c r="E1352" t="s">
        <v>214</v>
      </c>
    </row>
    <row r="1353" spans="1:9" x14ac:dyDescent="0.3">
      <c r="A1353" t="s">
        <v>3363</v>
      </c>
      <c r="B1353" t="s">
        <v>1392</v>
      </c>
      <c r="C1353">
        <v>1</v>
      </c>
      <c r="D1353" t="s">
        <v>151</v>
      </c>
      <c r="E1353" t="s">
        <v>152</v>
      </c>
    </row>
    <row r="1354" spans="1:9" x14ac:dyDescent="0.3">
      <c r="A1354" t="s">
        <v>3364</v>
      </c>
      <c r="B1354" t="s">
        <v>3365</v>
      </c>
      <c r="C1354">
        <v>25</v>
      </c>
      <c r="D1354" t="s">
        <v>29</v>
      </c>
      <c r="E1354" t="s">
        <v>3366</v>
      </c>
    </row>
    <row r="1355" spans="1:9" x14ac:dyDescent="0.3">
      <c r="A1355" t="s">
        <v>3367</v>
      </c>
      <c r="B1355" t="s">
        <v>3368</v>
      </c>
      <c r="C1355">
        <v>0.25</v>
      </c>
      <c r="D1355" t="s">
        <v>460</v>
      </c>
      <c r="E1355" t="s">
        <v>907</v>
      </c>
    </row>
    <row r="1356" spans="1:9" x14ac:dyDescent="0.3">
      <c r="A1356" t="s">
        <v>3369</v>
      </c>
      <c r="B1356" t="s">
        <v>3370</v>
      </c>
      <c r="C1356">
        <v>8</v>
      </c>
      <c r="D1356" t="s">
        <v>23</v>
      </c>
      <c r="E1356" t="s">
        <v>262</v>
      </c>
    </row>
    <row r="1357" spans="1:9" x14ac:dyDescent="0.3">
      <c r="A1357" t="s">
        <v>3371</v>
      </c>
      <c r="B1357" t="s">
        <v>3372</v>
      </c>
      <c r="C1357">
        <v>0.33</v>
      </c>
      <c r="D1357" t="s">
        <v>23</v>
      </c>
      <c r="E1357" t="s">
        <v>2614</v>
      </c>
    </row>
    <row r="1358" spans="1:9" x14ac:dyDescent="0.3">
      <c r="A1358" t="s">
        <v>3373</v>
      </c>
      <c r="B1358" t="s">
        <v>3374</v>
      </c>
      <c r="C1358">
        <v>0.25</v>
      </c>
      <c r="D1358" t="s">
        <v>37</v>
      </c>
      <c r="E1358" t="s">
        <v>3375</v>
      </c>
    </row>
    <row r="1359" spans="1:9" x14ac:dyDescent="0.3">
      <c r="A1359" t="s">
        <v>3376</v>
      </c>
      <c r="B1359" t="s">
        <v>889</v>
      </c>
      <c r="C1359">
        <v>1</v>
      </c>
      <c r="D1359" t="s">
        <v>23</v>
      </c>
      <c r="E1359" t="s">
        <v>524</v>
      </c>
    </row>
    <row r="1360" spans="1:9" x14ac:dyDescent="0.3">
      <c r="A1360" t="s">
        <v>3377</v>
      </c>
      <c r="B1360" t="s">
        <v>3378</v>
      </c>
      <c r="C1360">
        <v>30</v>
      </c>
      <c r="D1360" t="s">
        <v>29</v>
      </c>
      <c r="E1360" t="s">
        <v>380</v>
      </c>
      <c r="I1360" t="s">
        <v>3379</v>
      </c>
    </row>
    <row r="1361" spans="1:9" x14ac:dyDescent="0.3">
      <c r="A1361" t="s">
        <v>3380</v>
      </c>
      <c r="B1361" t="s">
        <v>3381</v>
      </c>
      <c r="C1361">
        <v>40</v>
      </c>
      <c r="D1361" t="s">
        <v>29</v>
      </c>
      <c r="E1361" t="s">
        <v>3382</v>
      </c>
    </row>
    <row r="1362" spans="1:9" x14ac:dyDescent="0.3">
      <c r="A1362" t="s">
        <v>2051</v>
      </c>
      <c r="B1362" t="s">
        <v>3383</v>
      </c>
      <c r="C1362">
        <v>1</v>
      </c>
      <c r="E1362" t="s">
        <v>1984</v>
      </c>
      <c r="F1362" t="s">
        <v>3384</v>
      </c>
      <c r="I1362" t="s">
        <v>2840</v>
      </c>
    </row>
    <row r="1363" spans="1:9" x14ac:dyDescent="0.3">
      <c r="A1363" t="s">
        <v>3385</v>
      </c>
      <c r="B1363" t="s">
        <v>3386</v>
      </c>
      <c r="C1363">
        <v>15</v>
      </c>
      <c r="D1363" t="s">
        <v>29</v>
      </c>
      <c r="E1363" t="s">
        <v>3387</v>
      </c>
    </row>
    <row r="1364" spans="1:9" x14ac:dyDescent="0.3">
      <c r="A1364" t="s">
        <v>3388</v>
      </c>
      <c r="B1364" t="s">
        <v>3389</v>
      </c>
      <c r="C1364">
        <v>50</v>
      </c>
      <c r="D1364" t="s">
        <v>29</v>
      </c>
      <c r="E1364" t="s">
        <v>3390</v>
      </c>
      <c r="G1364" t="s">
        <v>3391</v>
      </c>
    </row>
    <row r="1365" spans="1:9" x14ac:dyDescent="0.3">
      <c r="A1365" t="s">
        <v>3392</v>
      </c>
      <c r="B1365" t="s">
        <v>879</v>
      </c>
      <c r="C1365">
        <v>1</v>
      </c>
      <c r="D1365" t="s">
        <v>23</v>
      </c>
      <c r="E1365" t="s">
        <v>880</v>
      </c>
    </row>
    <row r="1366" spans="1:9" x14ac:dyDescent="0.3">
      <c r="A1366" t="s">
        <v>3393</v>
      </c>
      <c r="B1366" t="s">
        <v>3394</v>
      </c>
      <c r="C1366">
        <v>150</v>
      </c>
      <c r="D1366" t="s">
        <v>29</v>
      </c>
      <c r="E1366" t="s">
        <v>3395</v>
      </c>
    </row>
    <row r="1367" spans="1:9" x14ac:dyDescent="0.3">
      <c r="A1367" t="s">
        <v>3396</v>
      </c>
      <c r="B1367" t="s">
        <v>159</v>
      </c>
      <c r="C1367">
        <v>0.75</v>
      </c>
      <c r="D1367" t="s">
        <v>23</v>
      </c>
      <c r="E1367" t="s">
        <v>160</v>
      </c>
      <c r="G1367" t="s">
        <v>68</v>
      </c>
    </row>
    <row r="1368" spans="1:9" x14ac:dyDescent="0.3">
      <c r="A1368" t="s">
        <v>3397</v>
      </c>
      <c r="B1368" t="s">
        <v>3398</v>
      </c>
      <c r="C1368">
        <v>1.5</v>
      </c>
      <c r="D1368" t="s">
        <v>345</v>
      </c>
      <c r="E1368" t="s">
        <v>3399</v>
      </c>
      <c r="I1368" t="s">
        <v>3400</v>
      </c>
    </row>
    <row r="1369" spans="1:9" x14ac:dyDescent="0.3">
      <c r="A1369" t="s">
        <v>3401</v>
      </c>
      <c r="B1369" t="s">
        <v>3402</v>
      </c>
      <c r="E1369" t="s">
        <v>3403</v>
      </c>
      <c r="I1369" t="s">
        <v>1146</v>
      </c>
    </row>
    <row r="1370" spans="1:9" x14ac:dyDescent="0.3">
      <c r="A1370" t="s">
        <v>3404</v>
      </c>
      <c r="B1370" t="s">
        <v>3405</v>
      </c>
      <c r="C1370">
        <v>1.25</v>
      </c>
      <c r="D1370" t="s">
        <v>345</v>
      </c>
      <c r="E1370" t="s">
        <v>3163</v>
      </c>
    </row>
    <row r="1371" spans="1:9" x14ac:dyDescent="0.3">
      <c r="A1371" t="s">
        <v>3406</v>
      </c>
      <c r="B1371" t="s">
        <v>3407</v>
      </c>
      <c r="C1371">
        <v>1</v>
      </c>
      <c r="D1371" t="s">
        <v>426</v>
      </c>
      <c r="E1371" t="s">
        <v>423</v>
      </c>
    </row>
    <row r="1372" spans="1:9" x14ac:dyDescent="0.3">
      <c r="A1372" t="s">
        <v>3408</v>
      </c>
      <c r="B1372" t="s">
        <v>3409</v>
      </c>
      <c r="C1372">
        <v>1.5</v>
      </c>
      <c r="D1372" t="s">
        <v>91</v>
      </c>
      <c r="E1372" t="s">
        <v>3410</v>
      </c>
    </row>
    <row r="1373" spans="1:9" x14ac:dyDescent="0.3">
      <c r="A1373" t="s">
        <v>3411</v>
      </c>
      <c r="B1373" t="s">
        <v>3412</v>
      </c>
      <c r="C1373">
        <v>50</v>
      </c>
      <c r="D1373" t="s">
        <v>29</v>
      </c>
      <c r="E1373" t="s">
        <v>1204</v>
      </c>
    </row>
    <row r="1374" spans="1:9" x14ac:dyDescent="0.3">
      <c r="A1374" t="s">
        <v>3413</v>
      </c>
      <c r="B1374" t="s">
        <v>3414</v>
      </c>
      <c r="C1374">
        <v>1.5</v>
      </c>
      <c r="D1374" t="s">
        <v>23</v>
      </c>
      <c r="E1374" t="s">
        <v>38</v>
      </c>
      <c r="F1374" t="s">
        <v>68</v>
      </c>
    </row>
    <row r="1375" spans="1:9" x14ac:dyDescent="0.3">
      <c r="A1375" t="s">
        <v>3415</v>
      </c>
      <c r="B1375" t="s">
        <v>3416</v>
      </c>
      <c r="C1375">
        <v>1</v>
      </c>
      <c r="D1375" t="s">
        <v>151</v>
      </c>
      <c r="E1375" t="s">
        <v>121</v>
      </c>
    </row>
    <row r="1376" spans="1:9" x14ac:dyDescent="0.3">
      <c r="A1376" t="s">
        <v>3417</v>
      </c>
      <c r="B1376" t="s">
        <v>988</v>
      </c>
      <c r="C1376">
        <v>0.5</v>
      </c>
      <c r="D1376" t="s">
        <v>23</v>
      </c>
      <c r="E1376" t="s">
        <v>81</v>
      </c>
    </row>
    <row r="1377" spans="1:9" x14ac:dyDescent="0.3">
      <c r="A1377" t="s">
        <v>3418</v>
      </c>
      <c r="B1377" t="s">
        <v>3419</v>
      </c>
      <c r="C1377">
        <v>0.25</v>
      </c>
      <c r="D1377" t="s">
        <v>361</v>
      </c>
      <c r="E1377" t="s">
        <v>3420</v>
      </c>
      <c r="I1377" t="s">
        <v>3421</v>
      </c>
    </row>
    <row r="1378" spans="1:9" x14ac:dyDescent="0.3">
      <c r="A1378" t="s">
        <v>3422</v>
      </c>
      <c r="B1378" t="s">
        <v>1588</v>
      </c>
      <c r="C1378">
        <v>3</v>
      </c>
      <c r="D1378" t="s">
        <v>23</v>
      </c>
      <c r="E1378" t="s">
        <v>1589</v>
      </c>
    </row>
    <row r="1379" spans="1:9" x14ac:dyDescent="0.3">
      <c r="A1379" t="s">
        <v>3423</v>
      </c>
      <c r="B1379" t="s">
        <v>3424</v>
      </c>
      <c r="C1379">
        <v>1</v>
      </c>
      <c r="D1379" t="s">
        <v>23</v>
      </c>
      <c r="E1379" t="s">
        <v>1209</v>
      </c>
    </row>
    <row r="1380" spans="1:9" x14ac:dyDescent="0.3">
      <c r="A1380" t="s">
        <v>898</v>
      </c>
      <c r="B1380" t="s">
        <v>3425</v>
      </c>
      <c r="C1380">
        <v>1</v>
      </c>
      <c r="D1380" t="s">
        <v>23</v>
      </c>
      <c r="E1380" t="s">
        <v>3426</v>
      </c>
    </row>
    <row r="1381" spans="1:9" x14ac:dyDescent="0.3">
      <c r="A1381" t="s">
        <v>1845</v>
      </c>
      <c r="B1381" t="s">
        <v>1900</v>
      </c>
      <c r="C1381">
        <v>0.5</v>
      </c>
      <c r="D1381" t="s">
        <v>23</v>
      </c>
      <c r="E1381" t="s">
        <v>183</v>
      </c>
    </row>
    <row r="1382" spans="1:9" x14ac:dyDescent="0.3">
      <c r="A1382" t="s">
        <v>3427</v>
      </c>
      <c r="B1382" t="s">
        <v>3428</v>
      </c>
      <c r="C1382">
        <v>1</v>
      </c>
      <c r="D1382" t="s">
        <v>23</v>
      </c>
      <c r="E1382" t="s">
        <v>3429</v>
      </c>
    </row>
    <row r="1383" spans="1:9" x14ac:dyDescent="0.3">
      <c r="A1383" t="s">
        <v>3430</v>
      </c>
      <c r="B1383" t="s">
        <v>3431</v>
      </c>
      <c r="C1383">
        <v>2</v>
      </c>
      <c r="D1383" t="s">
        <v>189</v>
      </c>
      <c r="E1383" t="s">
        <v>3432</v>
      </c>
      <c r="I1383" t="s">
        <v>2028</v>
      </c>
    </row>
    <row r="1384" spans="1:9" x14ac:dyDescent="0.3">
      <c r="A1384" t="s">
        <v>3433</v>
      </c>
      <c r="B1384" t="s">
        <v>3434</v>
      </c>
      <c r="C1384">
        <v>1.5</v>
      </c>
      <c r="D1384" t="s">
        <v>23</v>
      </c>
      <c r="E1384" t="s">
        <v>281</v>
      </c>
    </row>
    <row r="1385" spans="1:9" x14ac:dyDescent="0.3">
      <c r="A1385" t="s">
        <v>3435</v>
      </c>
      <c r="B1385" t="s">
        <v>3436</v>
      </c>
      <c r="C1385">
        <v>1</v>
      </c>
      <c r="D1385" t="s">
        <v>23</v>
      </c>
      <c r="E1385" t="s">
        <v>3437</v>
      </c>
    </row>
    <row r="1386" spans="1:9" x14ac:dyDescent="0.3">
      <c r="A1386" t="s">
        <v>3438</v>
      </c>
      <c r="B1386" t="s">
        <v>3439</v>
      </c>
      <c r="C1386">
        <v>4</v>
      </c>
      <c r="D1386" t="s">
        <v>23</v>
      </c>
      <c r="E1386" t="s">
        <v>1204</v>
      </c>
    </row>
    <row r="1387" spans="1:9" x14ac:dyDescent="0.3">
      <c r="A1387" t="s">
        <v>3440</v>
      </c>
      <c r="B1387" t="s">
        <v>3441</v>
      </c>
      <c r="C1387">
        <v>6</v>
      </c>
      <c r="D1387" t="s">
        <v>23</v>
      </c>
      <c r="E1387" t="s">
        <v>3442</v>
      </c>
      <c r="H1387" t="s">
        <v>3058</v>
      </c>
    </row>
    <row r="1388" spans="1:9" x14ac:dyDescent="0.3">
      <c r="A1388" t="s">
        <v>3443</v>
      </c>
      <c r="B1388" t="s">
        <v>1150</v>
      </c>
      <c r="C1388">
        <v>1</v>
      </c>
      <c r="D1388" t="s">
        <v>23</v>
      </c>
      <c r="E1388" t="s">
        <v>115</v>
      </c>
    </row>
    <row r="1389" spans="1:9" x14ac:dyDescent="0.3">
      <c r="A1389" t="s">
        <v>3444</v>
      </c>
      <c r="B1389" t="s">
        <v>337</v>
      </c>
      <c r="C1389">
        <v>1</v>
      </c>
      <c r="D1389" t="s">
        <v>23</v>
      </c>
      <c r="E1389" t="s">
        <v>338</v>
      </c>
    </row>
    <row r="1390" spans="1:9" x14ac:dyDescent="0.3">
      <c r="A1390" t="s">
        <v>3445</v>
      </c>
      <c r="B1390" t="s">
        <v>3446</v>
      </c>
      <c r="C1390">
        <v>2</v>
      </c>
      <c r="D1390" t="s">
        <v>23</v>
      </c>
      <c r="E1390" t="s">
        <v>3447</v>
      </c>
    </row>
    <row r="1391" spans="1:9" x14ac:dyDescent="0.3">
      <c r="A1391" t="s">
        <v>3411</v>
      </c>
      <c r="B1391" t="s">
        <v>3448</v>
      </c>
      <c r="C1391">
        <v>1</v>
      </c>
      <c r="D1391" t="s">
        <v>11</v>
      </c>
      <c r="E1391" t="s">
        <v>3449</v>
      </c>
    </row>
    <row r="1392" spans="1:9" x14ac:dyDescent="0.3">
      <c r="A1392" t="s">
        <v>3450</v>
      </c>
      <c r="B1392" t="s">
        <v>3451</v>
      </c>
      <c r="C1392">
        <v>12</v>
      </c>
      <c r="D1392" t="s">
        <v>23</v>
      </c>
      <c r="E1392" t="s">
        <v>262</v>
      </c>
    </row>
    <row r="1393" spans="1:9" x14ac:dyDescent="0.3">
      <c r="A1393" t="s">
        <v>3452</v>
      </c>
      <c r="B1393" t="s">
        <v>3453</v>
      </c>
      <c r="C1393">
        <v>0.5</v>
      </c>
      <c r="D1393" t="s">
        <v>37</v>
      </c>
      <c r="E1393" t="s">
        <v>3454</v>
      </c>
    </row>
    <row r="1394" spans="1:9" x14ac:dyDescent="0.3">
      <c r="A1394" t="s">
        <v>3455</v>
      </c>
      <c r="B1394" t="s">
        <v>3456</v>
      </c>
      <c r="C1394">
        <v>3</v>
      </c>
      <c r="D1394" t="s">
        <v>3457</v>
      </c>
      <c r="E1394" t="s">
        <v>956</v>
      </c>
    </row>
    <row r="1395" spans="1:9" x14ac:dyDescent="0.3">
      <c r="A1395" t="s">
        <v>3458</v>
      </c>
      <c r="B1395" t="s">
        <v>3459</v>
      </c>
      <c r="C1395">
        <v>0.5</v>
      </c>
      <c r="D1395" t="s">
        <v>23</v>
      </c>
      <c r="E1395" t="s">
        <v>3460</v>
      </c>
      <c r="I1395" t="s">
        <v>289</v>
      </c>
    </row>
    <row r="1396" spans="1:9" x14ac:dyDescent="0.3">
      <c r="A1396" t="s">
        <v>3461</v>
      </c>
      <c r="B1396" t="s">
        <v>3462</v>
      </c>
      <c r="C1396">
        <v>7.5</v>
      </c>
      <c r="D1396" t="s">
        <v>37</v>
      </c>
      <c r="E1396" t="s">
        <v>1053</v>
      </c>
    </row>
    <row r="1397" spans="1:9" x14ac:dyDescent="0.3">
      <c r="A1397" t="s">
        <v>3463</v>
      </c>
      <c r="B1397" t="s">
        <v>3464</v>
      </c>
      <c r="C1397">
        <v>4.5</v>
      </c>
      <c r="D1397" t="s">
        <v>23</v>
      </c>
      <c r="E1397" t="s">
        <v>253</v>
      </c>
    </row>
    <row r="1398" spans="1:9" x14ac:dyDescent="0.3">
      <c r="A1398" t="s">
        <v>3465</v>
      </c>
      <c r="B1398" t="s">
        <v>2697</v>
      </c>
      <c r="C1398">
        <v>1</v>
      </c>
      <c r="D1398" t="s">
        <v>60</v>
      </c>
      <c r="E1398" t="s">
        <v>331</v>
      </c>
    </row>
    <row r="1399" spans="1:9" x14ac:dyDescent="0.3">
      <c r="A1399" t="s">
        <v>3466</v>
      </c>
      <c r="B1399" t="s">
        <v>3467</v>
      </c>
      <c r="C1399">
        <v>5</v>
      </c>
      <c r="D1399" t="s">
        <v>29</v>
      </c>
      <c r="E1399" t="s">
        <v>3468</v>
      </c>
    </row>
    <row r="1400" spans="1:9" x14ac:dyDescent="0.3">
      <c r="A1400" t="s">
        <v>2664</v>
      </c>
      <c r="B1400" t="s">
        <v>3469</v>
      </c>
      <c r="C1400">
        <v>0.75</v>
      </c>
      <c r="D1400" t="s">
        <v>11</v>
      </c>
      <c r="E1400" t="s">
        <v>281</v>
      </c>
    </row>
    <row r="1401" spans="1:9" x14ac:dyDescent="0.3">
      <c r="A1401" t="s">
        <v>3470</v>
      </c>
      <c r="B1401" t="s">
        <v>3471</v>
      </c>
      <c r="E1401" t="s">
        <v>3471</v>
      </c>
    </row>
    <row r="1402" spans="1:9" x14ac:dyDescent="0.3">
      <c r="A1402" t="s">
        <v>3472</v>
      </c>
      <c r="B1402" t="s">
        <v>3473</v>
      </c>
      <c r="C1402">
        <v>0.5</v>
      </c>
      <c r="D1402" t="s">
        <v>23</v>
      </c>
      <c r="E1402" t="s">
        <v>3474</v>
      </c>
    </row>
    <row r="1403" spans="1:9" x14ac:dyDescent="0.3">
      <c r="A1403" t="s">
        <v>3475</v>
      </c>
      <c r="B1403" t="s">
        <v>3476</v>
      </c>
      <c r="C1403">
        <v>12.5</v>
      </c>
      <c r="D1403" t="s">
        <v>29</v>
      </c>
      <c r="E1403" t="s">
        <v>183</v>
      </c>
    </row>
    <row r="1404" spans="1:9" x14ac:dyDescent="0.3">
      <c r="A1404" t="s">
        <v>3477</v>
      </c>
      <c r="B1404" t="s">
        <v>3478</v>
      </c>
      <c r="C1404">
        <v>1</v>
      </c>
      <c r="D1404" t="s">
        <v>37</v>
      </c>
      <c r="E1404" t="s">
        <v>3479</v>
      </c>
      <c r="I1404" t="s">
        <v>20</v>
      </c>
    </row>
    <row r="1405" spans="1:9" x14ac:dyDescent="0.3">
      <c r="A1405" t="s">
        <v>3480</v>
      </c>
      <c r="B1405" t="s">
        <v>3481</v>
      </c>
      <c r="E1405" t="s">
        <v>2413</v>
      </c>
      <c r="I1405" t="s">
        <v>1124</v>
      </c>
    </row>
    <row r="1406" spans="1:9" x14ac:dyDescent="0.3">
      <c r="A1406" t="s">
        <v>3482</v>
      </c>
      <c r="B1406" t="s">
        <v>3483</v>
      </c>
      <c r="C1406">
        <v>1</v>
      </c>
      <c r="D1406" t="s">
        <v>11</v>
      </c>
      <c r="E1406" t="s">
        <v>3484</v>
      </c>
      <c r="I1406" t="s">
        <v>20</v>
      </c>
    </row>
    <row r="1407" spans="1:9" x14ac:dyDescent="0.3">
      <c r="A1407" t="s">
        <v>3485</v>
      </c>
      <c r="B1407" t="s">
        <v>711</v>
      </c>
      <c r="C1407">
        <v>1</v>
      </c>
      <c r="D1407" t="s">
        <v>23</v>
      </c>
      <c r="E1407" t="s">
        <v>712</v>
      </c>
    </row>
    <row r="1408" spans="1:9" x14ac:dyDescent="0.3">
      <c r="A1408" t="s">
        <v>3486</v>
      </c>
      <c r="B1408" t="s">
        <v>1118</v>
      </c>
      <c r="C1408">
        <v>1</v>
      </c>
      <c r="D1408" t="s">
        <v>23</v>
      </c>
      <c r="E1408" t="s">
        <v>281</v>
      </c>
    </row>
    <row r="1409" spans="1:9" x14ac:dyDescent="0.3">
      <c r="A1409" t="s">
        <v>3487</v>
      </c>
      <c r="B1409" t="s">
        <v>3488</v>
      </c>
      <c r="D1409" t="s">
        <v>33</v>
      </c>
      <c r="E1409" t="s">
        <v>1056</v>
      </c>
    </row>
    <row r="1410" spans="1:9" x14ac:dyDescent="0.3">
      <c r="A1410" t="s">
        <v>3489</v>
      </c>
      <c r="B1410" t="s">
        <v>2767</v>
      </c>
      <c r="E1410" t="s">
        <v>2767</v>
      </c>
    </row>
    <row r="1411" spans="1:9" x14ac:dyDescent="0.3">
      <c r="A1411" t="s">
        <v>3490</v>
      </c>
      <c r="B1411" t="s">
        <v>3491</v>
      </c>
      <c r="C1411">
        <v>1.5</v>
      </c>
      <c r="D1411" t="s">
        <v>227</v>
      </c>
      <c r="E1411" t="s">
        <v>413</v>
      </c>
      <c r="F1411" t="s">
        <v>1081</v>
      </c>
    </row>
    <row r="1412" spans="1:9" x14ac:dyDescent="0.3">
      <c r="A1412" t="s">
        <v>3492</v>
      </c>
      <c r="B1412" t="s">
        <v>3493</v>
      </c>
      <c r="E1412" t="s">
        <v>333</v>
      </c>
      <c r="F1412" t="s">
        <v>1512</v>
      </c>
    </row>
    <row r="1413" spans="1:9" x14ac:dyDescent="0.3">
      <c r="A1413" t="s">
        <v>3494</v>
      </c>
      <c r="B1413" t="s">
        <v>163</v>
      </c>
      <c r="E1413" t="s">
        <v>163</v>
      </c>
    </row>
    <row r="1414" spans="1:9" x14ac:dyDescent="0.3">
      <c r="A1414" t="s">
        <v>3485</v>
      </c>
      <c r="B1414" t="s">
        <v>879</v>
      </c>
      <c r="C1414">
        <v>1</v>
      </c>
      <c r="D1414" t="s">
        <v>23</v>
      </c>
      <c r="E1414" t="s">
        <v>880</v>
      </c>
    </row>
    <row r="1415" spans="1:9" x14ac:dyDescent="0.3">
      <c r="A1415" t="s">
        <v>3495</v>
      </c>
      <c r="B1415" t="s">
        <v>3496</v>
      </c>
      <c r="C1415">
        <v>2</v>
      </c>
      <c r="D1415" t="s">
        <v>23</v>
      </c>
      <c r="E1415" t="s">
        <v>281</v>
      </c>
    </row>
    <row r="1416" spans="1:9" x14ac:dyDescent="0.3">
      <c r="A1416" t="s">
        <v>3497</v>
      </c>
      <c r="B1416" t="s">
        <v>422</v>
      </c>
      <c r="C1416">
        <v>0.25</v>
      </c>
      <c r="D1416" t="s">
        <v>11</v>
      </c>
      <c r="E1416" t="s">
        <v>423</v>
      </c>
    </row>
    <row r="1417" spans="1:9" x14ac:dyDescent="0.3">
      <c r="A1417" t="s">
        <v>3498</v>
      </c>
      <c r="B1417" t="s">
        <v>3499</v>
      </c>
      <c r="C1417">
        <v>500</v>
      </c>
      <c r="D1417" t="s">
        <v>3500</v>
      </c>
      <c r="E1417" t="s">
        <v>3501</v>
      </c>
    </row>
    <row r="1418" spans="1:9" x14ac:dyDescent="0.3">
      <c r="A1418" t="s">
        <v>3502</v>
      </c>
      <c r="B1418" t="s">
        <v>3503</v>
      </c>
      <c r="C1418">
        <v>35</v>
      </c>
      <c r="D1418" t="s">
        <v>29</v>
      </c>
      <c r="E1418" t="s">
        <v>587</v>
      </c>
    </row>
    <row r="1419" spans="1:9" x14ac:dyDescent="0.3">
      <c r="A1419" t="s">
        <v>3504</v>
      </c>
      <c r="B1419" t="s">
        <v>3505</v>
      </c>
      <c r="C1419">
        <v>4</v>
      </c>
      <c r="D1419" t="s">
        <v>1212</v>
      </c>
      <c r="E1419" t="s">
        <v>3506</v>
      </c>
    </row>
    <row r="1420" spans="1:9" x14ac:dyDescent="0.3">
      <c r="A1420" t="s">
        <v>3507</v>
      </c>
      <c r="B1420" t="s">
        <v>3508</v>
      </c>
      <c r="C1420">
        <v>1</v>
      </c>
      <c r="D1420" t="s">
        <v>11</v>
      </c>
      <c r="E1420" t="s">
        <v>12</v>
      </c>
    </row>
    <row r="1421" spans="1:9" x14ac:dyDescent="0.3">
      <c r="A1421" t="s">
        <v>3509</v>
      </c>
      <c r="B1421" t="s">
        <v>3510</v>
      </c>
      <c r="C1421">
        <v>35</v>
      </c>
      <c r="D1421" t="s">
        <v>29</v>
      </c>
      <c r="E1421" t="s">
        <v>3511</v>
      </c>
    </row>
    <row r="1422" spans="1:9" x14ac:dyDescent="0.3">
      <c r="A1422" t="s">
        <v>3512</v>
      </c>
      <c r="B1422" t="s">
        <v>3513</v>
      </c>
      <c r="E1422" t="s">
        <v>3514</v>
      </c>
      <c r="I1422" t="s">
        <v>3515</v>
      </c>
    </row>
    <row r="1423" spans="1:9" x14ac:dyDescent="0.3">
      <c r="A1423" t="s">
        <v>3516</v>
      </c>
      <c r="B1423" t="s">
        <v>3517</v>
      </c>
      <c r="E1423" t="s">
        <v>3518</v>
      </c>
      <c r="F1423" t="s">
        <v>1983</v>
      </c>
      <c r="I1423" t="s">
        <v>3519</v>
      </c>
    </row>
    <row r="1424" spans="1:9" x14ac:dyDescent="0.3">
      <c r="A1424" t="s">
        <v>3520</v>
      </c>
      <c r="B1424" t="s">
        <v>1363</v>
      </c>
      <c r="C1424">
        <v>15</v>
      </c>
      <c r="D1424" t="s">
        <v>29</v>
      </c>
      <c r="E1424" t="s">
        <v>95</v>
      </c>
    </row>
    <row r="1425" spans="1:9" x14ac:dyDescent="0.3">
      <c r="A1425" t="s">
        <v>3521</v>
      </c>
      <c r="B1425" t="s">
        <v>3522</v>
      </c>
      <c r="C1425">
        <v>1</v>
      </c>
      <c r="D1425" t="s">
        <v>23</v>
      </c>
      <c r="E1425" t="s">
        <v>2984</v>
      </c>
    </row>
    <row r="1426" spans="1:9" x14ac:dyDescent="0.3">
      <c r="A1426" t="s">
        <v>3523</v>
      </c>
      <c r="B1426" t="s">
        <v>3524</v>
      </c>
      <c r="C1426">
        <v>1</v>
      </c>
      <c r="D1426" t="s">
        <v>1785</v>
      </c>
      <c r="E1426" t="s">
        <v>3525</v>
      </c>
    </row>
    <row r="1427" spans="1:9" x14ac:dyDescent="0.3">
      <c r="A1427" t="s">
        <v>3526</v>
      </c>
      <c r="B1427" t="s">
        <v>674</v>
      </c>
      <c r="C1427">
        <v>0.5</v>
      </c>
      <c r="D1427" t="s">
        <v>23</v>
      </c>
      <c r="E1427" t="s">
        <v>38</v>
      </c>
      <c r="G1427" t="s">
        <v>68</v>
      </c>
    </row>
    <row r="1428" spans="1:9" x14ac:dyDescent="0.3">
      <c r="A1428" t="s">
        <v>3527</v>
      </c>
      <c r="B1428" t="s">
        <v>3528</v>
      </c>
      <c r="C1428">
        <v>1</v>
      </c>
      <c r="D1428" t="s">
        <v>23</v>
      </c>
      <c r="E1428" t="s">
        <v>1407</v>
      </c>
    </row>
    <row r="1429" spans="1:9" x14ac:dyDescent="0.3">
      <c r="A1429" t="s">
        <v>3529</v>
      </c>
      <c r="B1429" t="s">
        <v>3530</v>
      </c>
      <c r="E1429" t="s">
        <v>3530</v>
      </c>
    </row>
    <row r="1430" spans="1:9" x14ac:dyDescent="0.3">
      <c r="A1430" t="s">
        <v>3531</v>
      </c>
      <c r="B1430" t="s">
        <v>3532</v>
      </c>
      <c r="D1430" t="s">
        <v>2689</v>
      </c>
      <c r="E1430" t="s">
        <v>997</v>
      </c>
      <c r="I1430" t="s">
        <v>1124</v>
      </c>
    </row>
    <row r="1431" spans="1:9" x14ac:dyDescent="0.3">
      <c r="A1431" t="s">
        <v>1275</v>
      </c>
      <c r="B1431" t="s">
        <v>3533</v>
      </c>
      <c r="C1431">
        <v>2</v>
      </c>
      <c r="D1431" t="s">
        <v>345</v>
      </c>
      <c r="E1431" t="s">
        <v>2552</v>
      </c>
    </row>
    <row r="1432" spans="1:9" x14ac:dyDescent="0.3">
      <c r="A1432" t="s">
        <v>3534</v>
      </c>
      <c r="B1432" t="s">
        <v>3535</v>
      </c>
      <c r="C1432">
        <v>1</v>
      </c>
      <c r="E1432" t="s">
        <v>984</v>
      </c>
      <c r="F1432" t="s">
        <v>908</v>
      </c>
    </row>
    <row r="1433" spans="1:9" x14ac:dyDescent="0.3">
      <c r="A1433" t="s">
        <v>3536</v>
      </c>
      <c r="B1433" t="s">
        <v>3537</v>
      </c>
      <c r="C1433">
        <v>2</v>
      </c>
      <c r="D1433" t="s">
        <v>176</v>
      </c>
      <c r="E1433" t="s">
        <v>3538</v>
      </c>
    </row>
    <row r="1434" spans="1:9" x14ac:dyDescent="0.3">
      <c r="A1434" t="s">
        <v>3539</v>
      </c>
      <c r="B1434" t="s">
        <v>3540</v>
      </c>
      <c r="C1434">
        <v>0.25</v>
      </c>
      <c r="D1434" t="s">
        <v>37</v>
      </c>
      <c r="E1434" t="s">
        <v>507</v>
      </c>
    </row>
    <row r="1435" spans="1:9" x14ac:dyDescent="0.3">
      <c r="A1435" t="s">
        <v>3541</v>
      </c>
      <c r="B1435" t="s">
        <v>2264</v>
      </c>
      <c r="D1435" t="s">
        <v>585</v>
      </c>
      <c r="E1435" t="s">
        <v>1056</v>
      </c>
    </row>
    <row r="1436" spans="1:9" x14ac:dyDescent="0.3">
      <c r="A1436" t="s">
        <v>3542</v>
      </c>
      <c r="B1436" t="s">
        <v>163</v>
      </c>
      <c r="E1436" t="s">
        <v>163</v>
      </c>
    </row>
    <row r="1437" spans="1:9" x14ac:dyDescent="0.3">
      <c r="A1437" t="s">
        <v>3543</v>
      </c>
      <c r="B1437" t="s">
        <v>3544</v>
      </c>
      <c r="C1437">
        <v>1</v>
      </c>
      <c r="D1437" t="s">
        <v>37</v>
      </c>
      <c r="E1437" t="s">
        <v>3545</v>
      </c>
    </row>
    <row r="1438" spans="1:9" x14ac:dyDescent="0.3">
      <c r="A1438" t="s">
        <v>3546</v>
      </c>
      <c r="B1438" t="s">
        <v>3547</v>
      </c>
      <c r="C1438">
        <v>15</v>
      </c>
      <c r="D1438" t="s">
        <v>29</v>
      </c>
      <c r="E1438" t="s">
        <v>3548</v>
      </c>
    </row>
    <row r="1439" spans="1:9" x14ac:dyDescent="0.3">
      <c r="A1439" t="s">
        <v>3549</v>
      </c>
      <c r="B1439" t="s">
        <v>792</v>
      </c>
      <c r="C1439">
        <v>0.5</v>
      </c>
      <c r="D1439" t="s">
        <v>11</v>
      </c>
      <c r="E1439" t="s">
        <v>793</v>
      </c>
    </row>
    <row r="1440" spans="1:9" x14ac:dyDescent="0.3">
      <c r="A1440" t="s">
        <v>3550</v>
      </c>
      <c r="B1440" t="s">
        <v>3551</v>
      </c>
      <c r="C1440">
        <v>90</v>
      </c>
      <c r="D1440" t="s">
        <v>29</v>
      </c>
      <c r="E1440" t="s">
        <v>3552</v>
      </c>
    </row>
    <row r="1441" spans="1:9" x14ac:dyDescent="0.3">
      <c r="A1441" t="s">
        <v>3553</v>
      </c>
      <c r="B1441" t="s">
        <v>3554</v>
      </c>
      <c r="C1441">
        <v>0.5</v>
      </c>
      <c r="D1441" t="s">
        <v>23</v>
      </c>
      <c r="E1441" t="s">
        <v>160</v>
      </c>
      <c r="G1441" t="s">
        <v>68</v>
      </c>
    </row>
    <row r="1442" spans="1:9" x14ac:dyDescent="0.3">
      <c r="A1442" t="s">
        <v>3363</v>
      </c>
      <c r="B1442" t="s">
        <v>3555</v>
      </c>
      <c r="C1442">
        <v>1</v>
      </c>
      <c r="D1442" t="s">
        <v>435</v>
      </c>
      <c r="E1442" t="s">
        <v>163</v>
      </c>
    </row>
    <row r="1443" spans="1:9" x14ac:dyDescent="0.3">
      <c r="A1443" t="s">
        <v>3556</v>
      </c>
      <c r="B1443" t="s">
        <v>3557</v>
      </c>
      <c r="C1443">
        <v>0.5</v>
      </c>
      <c r="D1443" t="s">
        <v>23</v>
      </c>
      <c r="E1443" t="s">
        <v>1416</v>
      </c>
    </row>
    <row r="1444" spans="1:9" x14ac:dyDescent="0.3">
      <c r="A1444" t="s">
        <v>3558</v>
      </c>
      <c r="B1444" t="s">
        <v>152</v>
      </c>
      <c r="E1444" t="s">
        <v>152</v>
      </c>
    </row>
    <row r="1445" spans="1:9" x14ac:dyDescent="0.3">
      <c r="A1445" t="s">
        <v>3559</v>
      </c>
      <c r="B1445" t="s">
        <v>3560</v>
      </c>
      <c r="C1445">
        <v>0.25</v>
      </c>
      <c r="D1445" t="s">
        <v>23</v>
      </c>
      <c r="E1445" t="s">
        <v>1328</v>
      </c>
    </row>
    <row r="1446" spans="1:9" x14ac:dyDescent="0.3">
      <c r="A1446" t="s">
        <v>3561</v>
      </c>
      <c r="B1446" t="s">
        <v>3562</v>
      </c>
      <c r="C1446">
        <v>0.5</v>
      </c>
      <c r="D1446" t="s">
        <v>23</v>
      </c>
      <c r="E1446" t="s">
        <v>233</v>
      </c>
    </row>
    <row r="1447" spans="1:9" x14ac:dyDescent="0.3">
      <c r="A1447" t="s">
        <v>3563</v>
      </c>
      <c r="B1447" t="s">
        <v>3564</v>
      </c>
      <c r="E1447" t="s">
        <v>3565</v>
      </c>
      <c r="I1447" t="s">
        <v>2932</v>
      </c>
    </row>
    <row r="1448" spans="1:9" x14ac:dyDescent="0.3">
      <c r="A1448" t="s">
        <v>3566</v>
      </c>
      <c r="B1448" t="s">
        <v>3567</v>
      </c>
      <c r="C1448">
        <v>1</v>
      </c>
      <c r="D1448" t="s">
        <v>37</v>
      </c>
      <c r="E1448" t="s">
        <v>3568</v>
      </c>
      <c r="I1448" t="s">
        <v>20</v>
      </c>
    </row>
    <row r="1449" spans="1:9" x14ac:dyDescent="0.3">
      <c r="A1449" t="s">
        <v>3569</v>
      </c>
      <c r="B1449" t="s">
        <v>3570</v>
      </c>
      <c r="C1449">
        <v>2.5</v>
      </c>
      <c r="D1449" t="s">
        <v>345</v>
      </c>
      <c r="E1449" t="s">
        <v>2218</v>
      </c>
    </row>
    <row r="1450" spans="1:9" x14ac:dyDescent="0.3">
      <c r="A1450" t="s">
        <v>3571</v>
      </c>
      <c r="B1450" t="s">
        <v>968</v>
      </c>
      <c r="C1450">
        <v>1</v>
      </c>
      <c r="D1450" t="s">
        <v>23</v>
      </c>
      <c r="E1450" t="s">
        <v>199</v>
      </c>
    </row>
    <row r="1451" spans="1:9" x14ac:dyDescent="0.3">
      <c r="A1451" t="s">
        <v>862</v>
      </c>
      <c r="B1451" t="s">
        <v>3572</v>
      </c>
      <c r="C1451">
        <v>0.5</v>
      </c>
      <c r="D1451" t="s">
        <v>37</v>
      </c>
      <c r="E1451" t="s">
        <v>3573</v>
      </c>
    </row>
    <row r="1452" spans="1:9" x14ac:dyDescent="0.3">
      <c r="A1452" t="s">
        <v>3574</v>
      </c>
      <c r="B1452" t="s">
        <v>3575</v>
      </c>
      <c r="C1452">
        <v>0.5</v>
      </c>
      <c r="D1452" t="s">
        <v>37</v>
      </c>
      <c r="E1452" t="s">
        <v>3576</v>
      </c>
    </row>
    <row r="1453" spans="1:9" x14ac:dyDescent="0.3">
      <c r="A1453" t="s">
        <v>3577</v>
      </c>
      <c r="B1453" t="s">
        <v>2792</v>
      </c>
      <c r="C1453">
        <v>1</v>
      </c>
      <c r="D1453" t="s">
        <v>361</v>
      </c>
      <c r="E1453" t="s">
        <v>2078</v>
      </c>
    </row>
    <row r="1454" spans="1:9" x14ac:dyDescent="0.3">
      <c r="A1454" t="s">
        <v>3578</v>
      </c>
      <c r="B1454" t="s">
        <v>3019</v>
      </c>
      <c r="C1454">
        <v>1.5</v>
      </c>
      <c r="D1454" t="s">
        <v>23</v>
      </c>
      <c r="E1454" t="s">
        <v>1209</v>
      </c>
    </row>
    <row r="1455" spans="1:9" x14ac:dyDescent="0.3">
      <c r="A1455" t="s">
        <v>3579</v>
      </c>
      <c r="B1455" t="s">
        <v>3580</v>
      </c>
      <c r="C1455">
        <v>0.5</v>
      </c>
      <c r="D1455" t="s">
        <v>23</v>
      </c>
      <c r="E1455" t="s">
        <v>380</v>
      </c>
    </row>
    <row r="1456" spans="1:9" x14ac:dyDescent="0.3">
      <c r="A1456" t="s">
        <v>3581</v>
      </c>
      <c r="B1456" t="s">
        <v>3582</v>
      </c>
      <c r="C1456">
        <v>6</v>
      </c>
      <c r="D1456" t="s">
        <v>23</v>
      </c>
      <c r="E1456" t="s">
        <v>738</v>
      </c>
    </row>
    <row r="1457" spans="1:9" x14ac:dyDescent="0.3">
      <c r="A1457" t="s">
        <v>3583</v>
      </c>
      <c r="B1457" t="s">
        <v>3584</v>
      </c>
      <c r="C1457">
        <v>15</v>
      </c>
      <c r="D1457" t="s">
        <v>29</v>
      </c>
      <c r="E1457" t="s">
        <v>183</v>
      </c>
    </row>
    <row r="1458" spans="1:9" x14ac:dyDescent="0.3">
      <c r="A1458" t="s">
        <v>3585</v>
      </c>
      <c r="B1458" t="s">
        <v>2045</v>
      </c>
      <c r="C1458">
        <v>2</v>
      </c>
      <c r="D1458" t="s">
        <v>1338</v>
      </c>
      <c r="E1458" t="s">
        <v>1043</v>
      </c>
      <c r="I1458" t="s">
        <v>289</v>
      </c>
    </row>
    <row r="1459" spans="1:9" x14ac:dyDescent="0.3">
      <c r="A1459" t="s">
        <v>3586</v>
      </c>
      <c r="B1459" t="s">
        <v>3587</v>
      </c>
      <c r="C1459">
        <v>1</v>
      </c>
      <c r="D1459" t="s">
        <v>23</v>
      </c>
      <c r="E1459" t="s">
        <v>2599</v>
      </c>
    </row>
    <row r="1460" spans="1:9" x14ac:dyDescent="0.3">
      <c r="A1460" t="s">
        <v>3588</v>
      </c>
      <c r="B1460" t="s">
        <v>3589</v>
      </c>
      <c r="C1460">
        <v>1.5</v>
      </c>
      <c r="D1460" t="s">
        <v>23</v>
      </c>
      <c r="E1460" t="s">
        <v>341</v>
      </c>
    </row>
    <row r="1461" spans="1:9" x14ac:dyDescent="0.3">
      <c r="A1461" t="s">
        <v>3590</v>
      </c>
      <c r="B1461" t="s">
        <v>3434</v>
      </c>
      <c r="C1461">
        <v>1.5</v>
      </c>
      <c r="D1461" t="s">
        <v>23</v>
      </c>
      <c r="E1461" t="s">
        <v>281</v>
      </c>
    </row>
    <row r="1462" spans="1:9" x14ac:dyDescent="0.3">
      <c r="A1462" t="s">
        <v>3164</v>
      </c>
      <c r="B1462" t="s">
        <v>3591</v>
      </c>
      <c r="C1462">
        <v>2.5</v>
      </c>
      <c r="D1462" t="s">
        <v>345</v>
      </c>
      <c r="E1462" t="s">
        <v>516</v>
      </c>
    </row>
    <row r="1463" spans="1:9" x14ac:dyDescent="0.3">
      <c r="A1463" t="s">
        <v>3592</v>
      </c>
      <c r="B1463" t="s">
        <v>3593</v>
      </c>
      <c r="C1463">
        <v>0.75</v>
      </c>
      <c r="D1463" t="s">
        <v>11</v>
      </c>
      <c r="E1463" t="s">
        <v>524</v>
      </c>
    </row>
    <row r="1464" spans="1:9" x14ac:dyDescent="0.3">
      <c r="A1464" t="s">
        <v>3594</v>
      </c>
      <c r="B1464" t="s">
        <v>291</v>
      </c>
      <c r="C1464">
        <v>0.5</v>
      </c>
      <c r="D1464" t="s">
        <v>11</v>
      </c>
      <c r="E1464" t="s">
        <v>292</v>
      </c>
    </row>
    <row r="1465" spans="1:9" x14ac:dyDescent="0.3">
      <c r="A1465" t="s">
        <v>3367</v>
      </c>
      <c r="B1465" t="s">
        <v>3595</v>
      </c>
      <c r="C1465">
        <v>2</v>
      </c>
      <c r="D1465" t="s">
        <v>23</v>
      </c>
      <c r="E1465" t="s">
        <v>365</v>
      </c>
    </row>
    <row r="1466" spans="1:9" x14ac:dyDescent="0.3">
      <c r="A1466" t="s">
        <v>3596</v>
      </c>
      <c r="B1466" t="s">
        <v>3597</v>
      </c>
      <c r="C1466">
        <v>15</v>
      </c>
      <c r="D1466" t="s">
        <v>29</v>
      </c>
      <c r="E1466" t="s">
        <v>3598</v>
      </c>
    </row>
    <row r="1467" spans="1:9" x14ac:dyDescent="0.3">
      <c r="A1467" t="s">
        <v>3599</v>
      </c>
      <c r="B1467" t="s">
        <v>3600</v>
      </c>
      <c r="C1467">
        <v>1</v>
      </c>
      <c r="D1467" t="s">
        <v>11</v>
      </c>
      <c r="E1467" t="s">
        <v>2211</v>
      </c>
    </row>
    <row r="1468" spans="1:9" x14ac:dyDescent="0.3">
      <c r="A1468" t="s">
        <v>3601</v>
      </c>
      <c r="B1468" t="s">
        <v>3562</v>
      </c>
      <c r="C1468">
        <v>0.5</v>
      </c>
      <c r="D1468" t="s">
        <v>23</v>
      </c>
      <c r="E1468" t="s">
        <v>233</v>
      </c>
    </row>
    <row r="1469" spans="1:9" x14ac:dyDescent="0.3">
      <c r="A1469" t="s">
        <v>3602</v>
      </c>
      <c r="B1469" t="s">
        <v>3134</v>
      </c>
      <c r="C1469">
        <v>2</v>
      </c>
      <c r="D1469" t="s">
        <v>23</v>
      </c>
      <c r="E1469" t="s">
        <v>1209</v>
      </c>
    </row>
    <row r="1470" spans="1:9" x14ac:dyDescent="0.3">
      <c r="A1470" t="s">
        <v>3603</v>
      </c>
      <c r="B1470" t="s">
        <v>3604</v>
      </c>
      <c r="D1470" t="s">
        <v>111</v>
      </c>
      <c r="E1470" t="s">
        <v>253</v>
      </c>
      <c r="I1470" t="s">
        <v>289</v>
      </c>
    </row>
    <row r="1471" spans="1:9" x14ac:dyDescent="0.3">
      <c r="A1471" t="s">
        <v>3605</v>
      </c>
      <c r="B1471" t="s">
        <v>3606</v>
      </c>
      <c r="C1471">
        <v>12.5</v>
      </c>
      <c r="D1471" t="s">
        <v>29</v>
      </c>
      <c r="E1471" t="s">
        <v>30</v>
      </c>
    </row>
    <row r="1472" spans="1:9" x14ac:dyDescent="0.3">
      <c r="A1472" t="s">
        <v>3607</v>
      </c>
      <c r="B1472" t="s">
        <v>416</v>
      </c>
      <c r="E1472" t="s">
        <v>416</v>
      </c>
    </row>
    <row r="1473" spans="1:9" x14ac:dyDescent="0.3">
      <c r="A1473" t="s">
        <v>3608</v>
      </c>
      <c r="B1473" t="s">
        <v>3609</v>
      </c>
      <c r="C1473">
        <v>15</v>
      </c>
      <c r="D1473" t="s">
        <v>29</v>
      </c>
      <c r="E1473" t="s">
        <v>1457</v>
      </c>
    </row>
    <row r="1474" spans="1:9" x14ac:dyDescent="0.3">
      <c r="A1474" t="s">
        <v>3610</v>
      </c>
      <c r="B1474" t="s">
        <v>3611</v>
      </c>
      <c r="E1474" t="s">
        <v>3612</v>
      </c>
      <c r="I1474" t="s">
        <v>3613</v>
      </c>
    </row>
    <row r="1475" spans="1:9" x14ac:dyDescent="0.3">
      <c r="A1475" t="s">
        <v>3614</v>
      </c>
      <c r="B1475" t="s">
        <v>3615</v>
      </c>
      <c r="C1475">
        <v>1</v>
      </c>
      <c r="D1475" t="s">
        <v>23</v>
      </c>
      <c r="E1475" t="s">
        <v>3177</v>
      </c>
    </row>
    <row r="1476" spans="1:9" x14ac:dyDescent="0.3">
      <c r="A1476" t="s">
        <v>3616</v>
      </c>
      <c r="B1476" t="s">
        <v>3617</v>
      </c>
      <c r="C1476">
        <v>25</v>
      </c>
      <c r="D1476" t="s">
        <v>29</v>
      </c>
      <c r="E1476" t="s">
        <v>338</v>
      </c>
    </row>
    <row r="1477" spans="1:9" x14ac:dyDescent="0.3">
      <c r="A1477" t="s">
        <v>517</v>
      </c>
      <c r="B1477" t="s">
        <v>152</v>
      </c>
      <c r="E1477" t="s">
        <v>152</v>
      </c>
    </row>
    <row r="1478" spans="1:9" x14ac:dyDescent="0.3">
      <c r="A1478" t="s">
        <v>3618</v>
      </c>
      <c r="B1478" t="s">
        <v>1179</v>
      </c>
      <c r="C1478">
        <v>1</v>
      </c>
      <c r="D1478" t="s">
        <v>23</v>
      </c>
      <c r="E1478" t="s">
        <v>233</v>
      </c>
    </row>
    <row r="1479" spans="1:9" x14ac:dyDescent="0.3">
      <c r="A1479" t="s">
        <v>3619</v>
      </c>
      <c r="B1479" t="s">
        <v>3620</v>
      </c>
      <c r="C1479">
        <v>0.75</v>
      </c>
      <c r="D1479" t="s">
        <v>37</v>
      </c>
      <c r="E1479" t="s">
        <v>3621</v>
      </c>
    </row>
    <row r="1480" spans="1:9" x14ac:dyDescent="0.3">
      <c r="A1480" t="s">
        <v>3622</v>
      </c>
      <c r="B1480" t="s">
        <v>3623</v>
      </c>
      <c r="C1480">
        <v>0.5</v>
      </c>
      <c r="D1480" t="s">
        <v>11</v>
      </c>
      <c r="E1480" t="s">
        <v>3624</v>
      </c>
    </row>
    <row r="1481" spans="1:9" x14ac:dyDescent="0.3">
      <c r="A1481" t="s">
        <v>3625</v>
      </c>
      <c r="B1481" t="s">
        <v>3626</v>
      </c>
      <c r="C1481">
        <v>2</v>
      </c>
      <c r="D1481" t="s">
        <v>23</v>
      </c>
      <c r="E1481" t="s">
        <v>1867</v>
      </c>
    </row>
    <row r="1482" spans="1:9" x14ac:dyDescent="0.3">
      <c r="A1482" t="s">
        <v>3627</v>
      </c>
      <c r="B1482" t="s">
        <v>3628</v>
      </c>
      <c r="C1482">
        <v>0.5</v>
      </c>
      <c r="D1482" t="s">
        <v>23</v>
      </c>
      <c r="E1482" t="s">
        <v>328</v>
      </c>
    </row>
    <row r="1483" spans="1:9" x14ac:dyDescent="0.3">
      <c r="A1483" t="s">
        <v>3629</v>
      </c>
      <c r="B1483" t="s">
        <v>1646</v>
      </c>
      <c r="C1483">
        <v>1.5</v>
      </c>
      <c r="D1483" t="s">
        <v>23</v>
      </c>
      <c r="E1483" t="s">
        <v>1647</v>
      </c>
    </row>
    <row r="1484" spans="1:9" x14ac:dyDescent="0.3">
      <c r="A1484" t="s">
        <v>1845</v>
      </c>
      <c r="B1484" t="s">
        <v>3630</v>
      </c>
      <c r="C1484">
        <v>12.5</v>
      </c>
      <c r="D1484" t="s">
        <v>29</v>
      </c>
      <c r="E1484" t="s">
        <v>1231</v>
      </c>
    </row>
    <row r="1485" spans="1:9" x14ac:dyDescent="0.3">
      <c r="A1485" t="s">
        <v>3631</v>
      </c>
      <c r="B1485" t="s">
        <v>3632</v>
      </c>
      <c r="C1485">
        <v>1</v>
      </c>
      <c r="D1485" t="s">
        <v>284</v>
      </c>
      <c r="E1485" t="s">
        <v>1816</v>
      </c>
    </row>
    <row r="1486" spans="1:9" x14ac:dyDescent="0.3">
      <c r="A1486" t="s">
        <v>3633</v>
      </c>
      <c r="B1486" t="s">
        <v>1190</v>
      </c>
      <c r="C1486">
        <v>0.5</v>
      </c>
      <c r="D1486" t="s">
        <v>23</v>
      </c>
      <c r="E1486" t="s">
        <v>199</v>
      </c>
    </row>
    <row r="1487" spans="1:9" x14ac:dyDescent="0.3">
      <c r="A1487" t="s">
        <v>3634</v>
      </c>
      <c r="B1487" t="s">
        <v>3595</v>
      </c>
      <c r="C1487">
        <v>2</v>
      </c>
      <c r="D1487" t="s">
        <v>23</v>
      </c>
      <c r="E1487" t="s">
        <v>365</v>
      </c>
    </row>
    <row r="1488" spans="1:9" x14ac:dyDescent="0.3">
      <c r="A1488" t="s">
        <v>3635</v>
      </c>
      <c r="B1488" t="s">
        <v>3636</v>
      </c>
      <c r="C1488">
        <v>0.5</v>
      </c>
      <c r="D1488" t="s">
        <v>37</v>
      </c>
      <c r="E1488" t="s">
        <v>160</v>
      </c>
      <c r="F1488" t="s">
        <v>167</v>
      </c>
      <c r="G1488" t="s">
        <v>168</v>
      </c>
      <c r="I1488" t="s">
        <v>325</v>
      </c>
    </row>
    <row r="1489" spans="1:9" x14ac:dyDescent="0.3">
      <c r="A1489" t="s">
        <v>3637</v>
      </c>
      <c r="B1489" t="s">
        <v>3638</v>
      </c>
      <c r="C1489">
        <v>3</v>
      </c>
      <c r="D1489" t="s">
        <v>345</v>
      </c>
      <c r="E1489" t="s">
        <v>1077</v>
      </c>
    </row>
    <row r="1490" spans="1:9" x14ac:dyDescent="0.3">
      <c r="A1490" t="s">
        <v>3639</v>
      </c>
      <c r="B1490" t="s">
        <v>3640</v>
      </c>
      <c r="C1490">
        <v>1.5</v>
      </c>
      <c r="D1490" t="s">
        <v>23</v>
      </c>
      <c r="E1490" t="s">
        <v>320</v>
      </c>
    </row>
    <row r="1491" spans="1:9" x14ac:dyDescent="0.3">
      <c r="A1491" t="s">
        <v>3641</v>
      </c>
      <c r="B1491" t="s">
        <v>3642</v>
      </c>
      <c r="C1491">
        <v>15</v>
      </c>
      <c r="D1491" t="s">
        <v>29</v>
      </c>
      <c r="E1491" t="s">
        <v>738</v>
      </c>
      <c r="F1491" t="s">
        <v>3643</v>
      </c>
      <c r="G1491" t="s">
        <v>3391</v>
      </c>
    </row>
    <row r="1492" spans="1:9" x14ac:dyDescent="0.3">
      <c r="A1492" t="s">
        <v>3644</v>
      </c>
      <c r="B1492" t="s">
        <v>3645</v>
      </c>
      <c r="C1492">
        <v>3</v>
      </c>
      <c r="D1492" t="s">
        <v>3457</v>
      </c>
      <c r="E1492" t="s">
        <v>956</v>
      </c>
      <c r="G1492" t="s">
        <v>68</v>
      </c>
    </row>
    <row r="1493" spans="1:9" x14ac:dyDescent="0.3">
      <c r="A1493" t="s">
        <v>3646</v>
      </c>
      <c r="B1493" t="s">
        <v>3647</v>
      </c>
      <c r="C1493">
        <v>1</v>
      </c>
      <c r="D1493" t="s">
        <v>3648</v>
      </c>
      <c r="E1493" t="s">
        <v>3366</v>
      </c>
    </row>
    <row r="1494" spans="1:9" x14ac:dyDescent="0.3">
      <c r="A1494" t="s">
        <v>3649</v>
      </c>
      <c r="B1494" t="s">
        <v>3650</v>
      </c>
      <c r="C1494">
        <v>12</v>
      </c>
      <c r="D1494" t="s">
        <v>23</v>
      </c>
      <c r="E1494" t="s">
        <v>524</v>
      </c>
    </row>
    <row r="1495" spans="1:9" x14ac:dyDescent="0.3">
      <c r="A1495" t="s">
        <v>3651</v>
      </c>
      <c r="B1495" t="s">
        <v>3652</v>
      </c>
      <c r="C1495">
        <v>3</v>
      </c>
      <c r="D1495" t="s">
        <v>91</v>
      </c>
      <c r="E1495" t="s">
        <v>399</v>
      </c>
    </row>
    <row r="1496" spans="1:9" x14ac:dyDescent="0.3">
      <c r="A1496" t="s">
        <v>3653</v>
      </c>
      <c r="B1496" t="s">
        <v>1977</v>
      </c>
      <c r="E1496" t="s">
        <v>1977</v>
      </c>
    </row>
    <row r="1497" spans="1:9" x14ac:dyDescent="0.3">
      <c r="A1497" t="s">
        <v>3654</v>
      </c>
      <c r="B1497" t="s">
        <v>3655</v>
      </c>
      <c r="C1497">
        <v>1.5</v>
      </c>
      <c r="D1497" t="s">
        <v>23</v>
      </c>
      <c r="E1497" t="s">
        <v>299</v>
      </c>
    </row>
    <row r="1498" spans="1:9" x14ac:dyDescent="0.3">
      <c r="A1498" t="s">
        <v>3656</v>
      </c>
      <c r="B1498" t="s">
        <v>3657</v>
      </c>
      <c r="C1498">
        <v>0.25</v>
      </c>
      <c r="D1498" t="s">
        <v>460</v>
      </c>
      <c r="E1498" t="s">
        <v>1097</v>
      </c>
    </row>
    <row r="1499" spans="1:9" x14ac:dyDescent="0.3">
      <c r="A1499" t="s">
        <v>3658</v>
      </c>
      <c r="B1499" t="s">
        <v>3659</v>
      </c>
      <c r="C1499">
        <v>0.25</v>
      </c>
      <c r="D1499" t="s">
        <v>23</v>
      </c>
      <c r="E1499" t="s">
        <v>3660</v>
      </c>
    </row>
    <row r="1500" spans="1:9" x14ac:dyDescent="0.3">
      <c r="A1500" t="s">
        <v>3661</v>
      </c>
      <c r="B1500" t="s">
        <v>3662</v>
      </c>
      <c r="C1500">
        <v>1</v>
      </c>
      <c r="D1500" t="s">
        <v>37</v>
      </c>
      <c r="E1500" t="s">
        <v>1927</v>
      </c>
      <c r="I1500" t="s">
        <v>2073</v>
      </c>
    </row>
    <row r="1501" spans="1:9" x14ac:dyDescent="0.3">
      <c r="A1501" t="s">
        <v>3663</v>
      </c>
      <c r="B1501" t="s">
        <v>3664</v>
      </c>
      <c r="C1501">
        <v>1</v>
      </c>
      <c r="E1501" t="s">
        <v>3665</v>
      </c>
    </row>
    <row r="1502" spans="1:9" x14ac:dyDescent="0.3">
      <c r="A1502" t="s">
        <v>3666</v>
      </c>
      <c r="B1502" t="s">
        <v>2881</v>
      </c>
      <c r="C1502">
        <v>1</v>
      </c>
      <c r="E1502" t="s">
        <v>2882</v>
      </c>
    </row>
    <row r="1503" spans="1:9" x14ac:dyDescent="0.3">
      <c r="A1503" t="s">
        <v>3667</v>
      </c>
      <c r="B1503" t="s">
        <v>3668</v>
      </c>
      <c r="C1503">
        <v>0.75</v>
      </c>
      <c r="D1503" t="s">
        <v>23</v>
      </c>
      <c r="E1503" t="s">
        <v>880</v>
      </c>
    </row>
    <row r="1504" spans="1:9" x14ac:dyDescent="0.3">
      <c r="A1504" t="s">
        <v>3669</v>
      </c>
      <c r="B1504" t="s">
        <v>486</v>
      </c>
      <c r="C1504">
        <v>1</v>
      </c>
      <c r="D1504" t="s">
        <v>23</v>
      </c>
      <c r="E1504" t="s">
        <v>487</v>
      </c>
    </row>
    <row r="1505" spans="1:9" x14ac:dyDescent="0.3">
      <c r="A1505" t="s">
        <v>3670</v>
      </c>
      <c r="B1505" t="s">
        <v>1413</v>
      </c>
      <c r="C1505">
        <v>1</v>
      </c>
      <c r="D1505" t="s">
        <v>23</v>
      </c>
      <c r="E1505" t="s">
        <v>292</v>
      </c>
    </row>
    <row r="1506" spans="1:9" x14ac:dyDescent="0.3">
      <c r="A1506" t="s">
        <v>3671</v>
      </c>
      <c r="B1506" t="s">
        <v>3672</v>
      </c>
      <c r="C1506">
        <v>0.5</v>
      </c>
      <c r="D1506" t="s">
        <v>37</v>
      </c>
      <c r="E1506" t="s">
        <v>3673</v>
      </c>
    </row>
    <row r="1507" spans="1:9" x14ac:dyDescent="0.3">
      <c r="A1507" t="s">
        <v>3674</v>
      </c>
      <c r="B1507" t="s">
        <v>3675</v>
      </c>
      <c r="C1507">
        <v>0.5</v>
      </c>
      <c r="D1507" t="s">
        <v>3676</v>
      </c>
      <c r="E1507" t="s">
        <v>738</v>
      </c>
    </row>
    <row r="1508" spans="1:9" x14ac:dyDescent="0.3">
      <c r="A1508" t="s">
        <v>3677</v>
      </c>
      <c r="B1508" t="s">
        <v>3678</v>
      </c>
      <c r="C1508">
        <v>0.5</v>
      </c>
      <c r="D1508" t="s">
        <v>23</v>
      </c>
      <c r="E1508" t="s">
        <v>3679</v>
      </c>
    </row>
    <row r="1509" spans="1:9" x14ac:dyDescent="0.3">
      <c r="A1509" t="s">
        <v>3680</v>
      </c>
      <c r="B1509" t="s">
        <v>3681</v>
      </c>
      <c r="C1509">
        <v>0.75</v>
      </c>
      <c r="D1509" t="s">
        <v>50</v>
      </c>
      <c r="E1509" t="s">
        <v>3682</v>
      </c>
    </row>
    <row r="1510" spans="1:9" x14ac:dyDescent="0.3">
      <c r="A1510" t="s">
        <v>3683</v>
      </c>
      <c r="B1510" t="s">
        <v>986</v>
      </c>
      <c r="C1510">
        <v>0.5</v>
      </c>
      <c r="D1510" t="s">
        <v>23</v>
      </c>
      <c r="E1510" t="s">
        <v>712</v>
      </c>
    </row>
    <row r="1511" spans="1:9" x14ac:dyDescent="0.3">
      <c r="A1511" t="s">
        <v>3472</v>
      </c>
      <c r="B1511" t="s">
        <v>607</v>
      </c>
      <c r="C1511">
        <v>0.5</v>
      </c>
      <c r="D1511" t="s">
        <v>23</v>
      </c>
      <c r="E1511" t="s">
        <v>292</v>
      </c>
    </row>
    <row r="1512" spans="1:9" x14ac:dyDescent="0.3">
      <c r="A1512" t="s">
        <v>3684</v>
      </c>
      <c r="B1512" t="s">
        <v>3562</v>
      </c>
      <c r="C1512">
        <v>0.5</v>
      </c>
      <c r="D1512" t="s">
        <v>23</v>
      </c>
      <c r="E1512" t="s">
        <v>233</v>
      </c>
    </row>
    <row r="1513" spans="1:9" x14ac:dyDescent="0.3">
      <c r="A1513" t="s">
        <v>181</v>
      </c>
      <c r="B1513" t="s">
        <v>3685</v>
      </c>
      <c r="C1513">
        <v>1</v>
      </c>
      <c r="D1513" t="s">
        <v>189</v>
      </c>
      <c r="E1513" t="s">
        <v>190</v>
      </c>
    </row>
    <row r="1514" spans="1:9" x14ac:dyDescent="0.3">
      <c r="A1514" t="s">
        <v>3686</v>
      </c>
      <c r="B1514" t="s">
        <v>3687</v>
      </c>
      <c r="C1514">
        <v>200</v>
      </c>
      <c r="D1514" t="s">
        <v>29</v>
      </c>
      <c r="E1514" t="s">
        <v>3132</v>
      </c>
    </row>
    <row r="1515" spans="1:9" x14ac:dyDescent="0.3">
      <c r="A1515" t="s">
        <v>3688</v>
      </c>
      <c r="B1515" t="s">
        <v>3689</v>
      </c>
      <c r="C1515">
        <v>1</v>
      </c>
      <c r="D1515" t="s">
        <v>460</v>
      </c>
      <c r="E1515" t="s">
        <v>616</v>
      </c>
      <c r="I1515" t="s">
        <v>460</v>
      </c>
    </row>
    <row r="1516" spans="1:9" x14ac:dyDescent="0.3">
      <c r="A1516" t="s">
        <v>3690</v>
      </c>
      <c r="B1516" t="s">
        <v>3691</v>
      </c>
      <c r="C1516">
        <v>1.5</v>
      </c>
      <c r="D1516" t="s">
        <v>23</v>
      </c>
      <c r="E1516" t="s">
        <v>3692</v>
      </c>
      <c r="I1516" t="s">
        <v>289</v>
      </c>
    </row>
    <row r="1517" spans="1:9" x14ac:dyDescent="0.3">
      <c r="A1517" t="s">
        <v>3693</v>
      </c>
      <c r="B1517" t="s">
        <v>3694</v>
      </c>
      <c r="C1517">
        <v>100</v>
      </c>
      <c r="D1517" t="s">
        <v>29</v>
      </c>
      <c r="E1517" t="s">
        <v>3695</v>
      </c>
    </row>
    <row r="1518" spans="1:9" x14ac:dyDescent="0.3">
      <c r="A1518" t="s">
        <v>3696</v>
      </c>
      <c r="B1518" t="s">
        <v>3697</v>
      </c>
      <c r="C1518">
        <v>1</v>
      </c>
      <c r="D1518" t="s">
        <v>11</v>
      </c>
      <c r="E1518" t="s">
        <v>605</v>
      </c>
      <c r="I1518" t="s">
        <v>20</v>
      </c>
    </row>
    <row r="1519" spans="1:9" x14ac:dyDescent="0.3">
      <c r="A1519" t="s">
        <v>3698</v>
      </c>
      <c r="B1519" t="s">
        <v>3699</v>
      </c>
      <c r="C1519">
        <v>0.25</v>
      </c>
      <c r="D1519" t="s">
        <v>23</v>
      </c>
      <c r="E1519" t="s">
        <v>3454</v>
      </c>
    </row>
    <row r="1520" spans="1:9" x14ac:dyDescent="0.3">
      <c r="A1520" t="s">
        <v>3700</v>
      </c>
      <c r="B1520" t="s">
        <v>3701</v>
      </c>
      <c r="C1520">
        <v>0.5</v>
      </c>
      <c r="D1520" t="s">
        <v>23</v>
      </c>
      <c r="E1520" t="s">
        <v>38</v>
      </c>
      <c r="I1520" t="s">
        <v>3702</v>
      </c>
    </row>
    <row r="1521" spans="1:9" x14ac:dyDescent="0.3">
      <c r="A1521" t="s">
        <v>2489</v>
      </c>
      <c r="B1521" t="s">
        <v>3703</v>
      </c>
      <c r="C1521">
        <v>0.5</v>
      </c>
      <c r="D1521" t="s">
        <v>23</v>
      </c>
      <c r="E1521" t="s">
        <v>3704</v>
      </c>
    </row>
    <row r="1522" spans="1:9" x14ac:dyDescent="0.3">
      <c r="A1522" t="s">
        <v>3705</v>
      </c>
      <c r="B1522" t="s">
        <v>3706</v>
      </c>
      <c r="C1522">
        <v>1</v>
      </c>
      <c r="D1522" t="s">
        <v>23</v>
      </c>
      <c r="E1522" t="s">
        <v>3707</v>
      </c>
    </row>
    <row r="1523" spans="1:9" x14ac:dyDescent="0.3">
      <c r="A1523" t="s">
        <v>3708</v>
      </c>
      <c r="B1523" t="s">
        <v>3709</v>
      </c>
      <c r="C1523">
        <v>1</v>
      </c>
      <c r="D1523" t="s">
        <v>270</v>
      </c>
      <c r="E1523" t="s">
        <v>3710</v>
      </c>
    </row>
    <row r="1524" spans="1:9" x14ac:dyDescent="0.3">
      <c r="A1524" t="s">
        <v>2813</v>
      </c>
      <c r="B1524" t="s">
        <v>3711</v>
      </c>
      <c r="C1524">
        <v>2</v>
      </c>
      <c r="D1524" t="s">
        <v>91</v>
      </c>
      <c r="E1524" t="s">
        <v>30</v>
      </c>
      <c r="G1524" t="s">
        <v>814</v>
      </c>
    </row>
    <row r="1525" spans="1:9" x14ac:dyDescent="0.3">
      <c r="A1525" t="s">
        <v>3712</v>
      </c>
      <c r="B1525" t="s">
        <v>484</v>
      </c>
      <c r="C1525">
        <v>5</v>
      </c>
      <c r="D1525" t="s">
        <v>29</v>
      </c>
      <c r="E1525" t="s">
        <v>115</v>
      </c>
    </row>
    <row r="1526" spans="1:9" x14ac:dyDescent="0.3">
      <c r="A1526" t="s">
        <v>3713</v>
      </c>
      <c r="B1526" t="s">
        <v>3714</v>
      </c>
      <c r="C1526">
        <v>1</v>
      </c>
      <c r="D1526" t="s">
        <v>284</v>
      </c>
      <c r="E1526" t="s">
        <v>413</v>
      </c>
      <c r="F1526" t="s">
        <v>3715</v>
      </c>
    </row>
    <row r="1527" spans="1:9" x14ac:dyDescent="0.3">
      <c r="A1527" t="s">
        <v>3716</v>
      </c>
      <c r="B1527" t="s">
        <v>3717</v>
      </c>
      <c r="C1527">
        <v>1</v>
      </c>
      <c r="D1527" t="s">
        <v>37</v>
      </c>
      <c r="E1527" t="s">
        <v>3718</v>
      </c>
      <c r="I1527" t="s">
        <v>3719</v>
      </c>
    </row>
    <row r="1528" spans="1:9" x14ac:dyDescent="0.3">
      <c r="A1528" t="s">
        <v>3720</v>
      </c>
      <c r="B1528" t="s">
        <v>3721</v>
      </c>
      <c r="C1528">
        <v>4</v>
      </c>
      <c r="D1528" t="s">
        <v>23</v>
      </c>
      <c r="E1528" t="s">
        <v>98</v>
      </c>
    </row>
    <row r="1529" spans="1:9" x14ac:dyDescent="0.3">
      <c r="A1529" t="s">
        <v>3722</v>
      </c>
      <c r="B1529" t="s">
        <v>3723</v>
      </c>
      <c r="C1529">
        <v>1</v>
      </c>
      <c r="E1529" t="s">
        <v>3724</v>
      </c>
    </row>
    <row r="1530" spans="1:9" x14ac:dyDescent="0.3">
      <c r="A1530" t="s">
        <v>967</v>
      </c>
      <c r="B1530" t="s">
        <v>3725</v>
      </c>
      <c r="C1530">
        <v>2</v>
      </c>
      <c r="D1530" t="s">
        <v>1571</v>
      </c>
      <c r="E1530" t="s">
        <v>121</v>
      </c>
    </row>
    <row r="1531" spans="1:9" x14ac:dyDescent="0.3">
      <c r="A1531" t="s">
        <v>3726</v>
      </c>
      <c r="B1531" t="s">
        <v>333</v>
      </c>
      <c r="E1531" t="s">
        <v>333</v>
      </c>
    </row>
    <row r="1532" spans="1:9" x14ac:dyDescent="0.3">
      <c r="A1532" t="s">
        <v>3727</v>
      </c>
      <c r="B1532" t="s">
        <v>3728</v>
      </c>
      <c r="C1532">
        <v>0.75</v>
      </c>
      <c r="D1532" t="s">
        <v>37</v>
      </c>
      <c r="E1532" t="s">
        <v>3729</v>
      </c>
      <c r="I1532" t="s">
        <v>3730</v>
      </c>
    </row>
    <row r="1533" spans="1:9" x14ac:dyDescent="0.3">
      <c r="A1533" t="s">
        <v>3731</v>
      </c>
      <c r="B1533" t="s">
        <v>3732</v>
      </c>
      <c r="C1533">
        <v>1</v>
      </c>
      <c r="D1533" t="s">
        <v>469</v>
      </c>
      <c r="E1533" t="s">
        <v>810</v>
      </c>
    </row>
    <row r="1534" spans="1:9" x14ac:dyDescent="0.3">
      <c r="A1534" t="s">
        <v>3733</v>
      </c>
      <c r="B1534" t="s">
        <v>3734</v>
      </c>
      <c r="C1534">
        <v>1</v>
      </c>
      <c r="D1534" t="s">
        <v>37</v>
      </c>
      <c r="E1534" t="s">
        <v>3735</v>
      </c>
    </row>
    <row r="1535" spans="1:9" x14ac:dyDescent="0.3">
      <c r="A1535" t="s">
        <v>3736</v>
      </c>
      <c r="B1535" t="s">
        <v>3737</v>
      </c>
      <c r="C1535">
        <v>1</v>
      </c>
      <c r="D1535" t="s">
        <v>111</v>
      </c>
      <c r="E1535" t="s">
        <v>716</v>
      </c>
    </row>
    <row r="1536" spans="1:9" x14ac:dyDescent="0.3">
      <c r="A1536" t="s">
        <v>3738</v>
      </c>
      <c r="B1536" t="s">
        <v>3532</v>
      </c>
      <c r="D1536" t="s">
        <v>2689</v>
      </c>
      <c r="E1536" t="s">
        <v>3739</v>
      </c>
      <c r="I1536" t="s">
        <v>1124</v>
      </c>
    </row>
    <row r="1537" spans="1:9" x14ac:dyDescent="0.3">
      <c r="A1537" t="s">
        <v>3740</v>
      </c>
      <c r="B1537" t="s">
        <v>3741</v>
      </c>
      <c r="C1537">
        <v>1</v>
      </c>
      <c r="D1537" t="s">
        <v>11</v>
      </c>
      <c r="E1537" t="s">
        <v>3742</v>
      </c>
    </row>
    <row r="1538" spans="1:9" x14ac:dyDescent="0.3">
      <c r="A1538" t="s">
        <v>3743</v>
      </c>
      <c r="B1538" t="s">
        <v>3744</v>
      </c>
      <c r="C1538">
        <v>2</v>
      </c>
      <c r="D1538" t="s">
        <v>176</v>
      </c>
      <c r="E1538" t="s">
        <v>3745</v>
      </c>
      <c r="I1538" t="s">
        <v>3746</v>
      </c>
    </row>
    <row r="1539" spans="1:9" x14ac:dyDescent="0.3">
      <c r="A1539" t="s">
        <v>3747</v>
      </c>
      <c r="B1539" t="s">
        <v>3748</v>
      </c>
      <c r="C1539">
        <v>0.25</v>
      </c>
      <c r="D1539" t="s">
        <v>11</v>
      </c>
      <c r="E1539" t="s">
        <v>3749</v>
      </c>
    </row>
    <row r="1540" spans="1:9" x14ac:dyDescent="0.3">
      <c r="A1540" t="s">
        <v>2310</v>
      </c>
      <c r="B1540" t="s">
        <v>3750</v>
      </c>
      <c r="D1540" t="s">
        <v>33</v>
      </c>
      <c r="E1540" t="s">
        <v>3751</v>
      </c>
      <c r="I1540" t="s">
        <v>3752</v>
      </c>
    </row>
    <row r="1541" spans="1:9" x14ac:dyDescent="0.3">
      <c r="A1541" t="s">
        <v>3753</v>
      </c>
      <c r="B1541" t="s">
        <v>3754</v>
      </c>
      <c r="C1541">
        <v>15</v>
      </c>
      <c r="D1541" t="s">
        <v>29</v>
      </c>
      <c r="E1541" t="s">
        <v>3755</v>
      </c>
    </row>
    <row r="1542" spans="1:9" x14ac:dyDescent="0.3">
      <c r="A1542" t="s">
        <v>3756</v>
      </c>
      <c r="B1542" t="s">
        <v>1222</v>
      </c>
      <c r="C1542">
        <v>2</v>
      </c>
      <c r="D1542" t="s">
        <v>189</v>
      </c>
      <c r="E1542" t="s">
        <v>1223</v>
      </c>
    </row>
    <row r="1543" spans="1:9" x14ac:dyDescent="0.3">
      <c r="A1543" t="s">
        <v>3757</v>
      </c>
      <c r="B1543" t="s">
        <v>340</v>
      </c>
      <c r="C1543">
        <v>50</v>
      </c>
      <c r="D1543" t="s">
        <v>29</v>
      </c>
      <c r="E1543" t="s">
        <v>341</v>
      </c>
      <c r="I1543" t="s">
        <v>342</v>
      </c>
    </row>
    <row r="1544" spans="1:9" x14ac:dyDescent="0.3">
      <c r="A1544" t="s">
        <v>2149</v>
      </c>
      <c r="B1544" t="s">
        <v>3758</v>
      </c>
      <c r="C1544">
        <v>1</v>
      </c>
      <c r="D1544" t="s">
        <v>23</v>
      </c>
      <c r="E1544" t="s">
        <v>1009</v>
      </c>
    </row>
    <row r="1545" spans="1:9" x14ac:dyDescent="0.3">
      <c r="A1545" t="s">
        <v>1474</v>
      </c>
      <c r="B1545" t="s">
        <v>3759</v>
      </c>
      <c r="C1545">
        <v>1</v>
      </c>
      <c r="D1545" t="s">
        <v>206</v>
      </c>
      <c r="E1545" t="s">
        <v>160</v>
      </c>
    </row>
    <row r="1546" spans="1:9" x14ac:dyDescent="0.3">
      <c r="A1546" t="s">
        <v>3760</v>
      </c>
      <c r="B1546" t="s">
        <v>3761</v>
      </c>
      <c r="C1546">
        <v>20</v>
      </c>
      <c r="D1546" t="s">
        <v>29</v>
      </c>
      <c r="E1546" t="s">
        <v>349</v>
      </c>
    </row>
    <row r="1547" spans="1:9" x14ac:dyDescent="0.3">
      <c r="A1547" t="s">
        <v>3762</v>
      </c>
      <c r="B1547" t="s">
        <v>3763</v>
      </c>
      <c r="C1547">
        <v>2</v>
      </c>
      <c r="D1547" t="s">
        <v>189</v>
      </c>
      <c r="E1547" t="s">
        <v>3764</v>
      </c>
      <c r="I1547" t="s">
        <v>20</v>
      </c>
    </row>
    <row r="1548" spans="1:9" x14ac:dyDescent="0.3">
      <c r="A1548" t="s">
        <v>3765</v>
      </c>
      <c r="B1548" t="s">
        <v>3766</v>
      </c>
      <c r="C1548">
        <v>0.5</v>
      </c>
      <c r="D1548" t="s">
        <v>227</v>
      </c>
      <c r="E1548" t="s">
        <v>3767</v>
      </c>
    </row>
    <row r="1549" spans="1:9" x14ac:dyDescent="0.3">
      <c r="A1549" t="s">
        <v>2468</v>
      </c>
      <c r="B1549" t="s">
        <v>3768</v>
      </c>
      <c r="C1549">
        <v>20</v>
      </c>
      <c r="D1549" t="s">
        <v>29</v>
      </c>
      <c r="E1549" t="s">
        <v>741</v>
      </c>
      <c r="G1549" t="s">
        <v>814</v>
      </c>
    </row>
    <row r="1550" spans="1:9" x14ac:dyDescent="0.3">
      <c r="A1550" t="s">
        <v>3769</v>
      </c>
      <c r="B1550" t="s">
        <v>3770</v>
      </c>
      <c r="C1550">
        <v>2</v>
      </c>
      <c r="D1550" t="s">
        <v>50</v>
      </c>
      <c r="E1550" t="s">
        <v>487</v>
      </c>
    </row>
    <row r="1551" spans="1:9" x14ac:dyDescent="0.3">
      <c r="A1551" t="s">
        <v>3771</v>
      </c>
      <c r="B1551" t="s">
        <v>3772</v>
      </c>
      <c r="C1551">
        <v>2</v>
      </c>
      <c r="D1551" t="s">
        <v>91</v>
      </c>
      <c r="E1551" t="s">
        <v>1003</v>
      </c>
    </row>
    <row r="1552" spans="1:9" x14ac:dyDescent="0.3">
      <c r="A1552" t="s">
        <v>3773</v>
      </c>
      <c r="B1552" t="s">
        <v>3774</v>
      </c>
      <c r="C1552">
        <v>0.5</v>
      </c>
      <c r="D1552" t="s">
        <v>23</v>
      </c>
      <c r="E1552" t="s">
        <v>3775</v>
      </c>
    </row>
    <row r="1553" spans="1:9" x14ac:dyDescent="0.3">
      <c r="A1553" t="s">
        <v>3776</v>
      </c>
      <c r="B1553" t="s">
        <v>3777</v>
      </c>
      <c r="C1553">
        <v>2</v>
      </c>
      <c r="D1553" t="s">
        <v>460</v>
      </c>
      <c r="E1553" t="s">
        <v>3778</v>
      </c>
    </row>
    <row r="1554" spans="1:9" x14ac:dyDescent="0.3">
      <c r="A1554" t="s">
        <v>3779</v>
      </c>
      <c r="B1554" t="s">
        <v>3780</v>
      </c>
      <c r="C1554">
        <v>0.5</v>
      </c>
      <c r="E1554" t="s">
        <v>183</v>
      </c>
      <c r="I1554" t="s">
        <v>289</v>
      </c>
    </row>
    <row r="1555" spans="1:9" x14ac:dyDescent="0.3">
      <c r="A1555" t="s">
        <v>3781</v>
      </c>
      <c r="B1555" t="s">
        <v>3782</v>
      </c>
      <c r="C1555">
        <v>10</v>
      </c>
      <c r="D1555" t="s">
        <v>29</v>
      </c>
      <c r="E1555" t="s">
        <v>30</v>
      </c>
    </row>
    <row r="1556" spans="1:9" x14ac:dyDescent="0.3">
      <c r="A1556" t="s">
        <v>3783</v>
      </c>
      <c r="B1556" t="s">
        <v>3784</v>
      </c>
      <c r="C1556">
        <v>1.5</v>
      </c>
      <c r="D1556" t="s">
        <v>23</v>
      </c>
      <c r="E1556" t="s">
        <v>1867</v>
      </c>
    </row>
    <row r="1557" spans="1:9" x14ac:dyDescent="0.3">
      <c r="A1557" t="s">
        <v>3785</v>
      </c>
      <c r="B1557" t="s">
        <v>3786</v>
      </c>
      <c r="C1557">
        <v>1</v>
      </c>
      <c r="E1557" t="s">
        <v>3787</v>
      </c>
      <c r="G1557" t="s">
        <v>814</v>
      </c>
      <c r="I1557" t="s">
        <v>248</v>
      </c>
    </row>
    <row r="1558" spans="1:9" x14ac:dyDescent="0.3">
      <c r="A1558" t="s">
        <v>3788</v>
      </c>
      <c r="B1558" t="s">
        <v>272</v>
      </c>
      <c r="C1558">
        <v>0.5</v>
      </c>
      <c r="D1558" t="s">
        <v>23</v>
      </c>
      <c r="E1558" t="s">
        <v>265</v>
      </c>
    </row>
    <row r="1559" spans="1:9" x14ac:dyDescent="0.3">
      <c r="A1559" t="s">
        <v>3789</v>
      </c>
      <c r="B1559" t="s">
        <v>3790</v>
      </c>
      <c r="C1559">
        <v>1.5</v>
      </c>
      <c r="D1559" t="s">
        <v>345</v>
      </c>
      <c r="E1559" t="s">
        <v>516</v>
      </c>
      <c r="I1559" t="s">
        <v>3791</v>
      </c>
    </row>
    <row r="1560" spans="1:9" x14ac:dyDescent="0.3">
      <c r="A1560" t="s">
        <v>3792</v>
      </c>
      <c r="B1560" t="s">
        <v>3793</v>
      </c>
      <c r="C1560">
        <v>0.5</v>
      </c>
      <c r="D1560" t="s">
        <v>850</v>
      </c>
      <c r="E1560" t="s">
        <v>3794</v>
      </c>
    </row>
    <row r="1561" spans="1:9" x14ac:dyDescent="0.3">
      <c r="A1561" t="s">
        <v>3795</v>
      </c>
      <c r="B1561" t="s">
        <v>3796</v>
      </c>
      <c r="C1561">
        <v>0.75</v>
      </c>
      <c r="D1561" t="s">
        <v>23</v>
      </c>
      <c r="E1561" t="s">
        <v>1238</v>
      </c>
    </row>
    <row r="1562" spans="1:9" x14ac:dyDescent="0.3">
      <c r="A1562" t="s">
        <v>3797</v>
      </c>
      <c r="B1562" t="s">
        <v>3798</v>
      </c>
      <c r="C1562">
        <v>0.75</v>
      </c>
      <c r="D1562" t="s">
        <v>37</v>
      </c>
      <c r="E1562" t="s">
        <v>3799</v>
      </c>
      <c r="I1562" t="s">
        <v>3800</v>
      </c>
    </row>
    <row r="1563" spans="1:9" x14ac:dyDescent="0.3">
      <c r="A1563" t="s">
        <v>3801</v>
      </c>
      <c r="B1563" t="s">
        <v>3802</v>
      </c>
      <c r="C1563">
        <v>1</v>
      </c>
      <c r="D1563" t="s">
        <v>1172</v>
      </c>
      <c r="E1563" t="s">
        <v>3803</v>
      </c>
      <c r="I1563" t="s">
        <v>248</v>
      </c>
    </row>
    <row r="1564" spans="1:9" x14ac:dyDescent="0.3">
      <c r="A1564" t="s">
        <v>3804</v>
      </c>
      <c r="B1564" t="s">
        <v>1049</v>
      </c>
      <c r="C1564">
        <v>1</v>
      </c>
      <c r="D1564" t="s">
        <v>23</v>
      </c>
      <c r="E1564" t="s">
        <v>1050</v>
      </c>
    </row>
    <row r="1565" spans="1:9" x14ac:dyDescent="0.3">
      <c r="A1565" t="s">
        <v>3805</v>
      </c>
      <c r="B1565" t="s">
        <v>3806</v>
      </c>
      <c r="C1565">
        <v>1</v>
      </c>
      <c r="D1565" t="s">
        <v>23</v>
      </c>
      <c r="E1565" t="s">
        <v>3807</v>
      </c>
    </row>
    <row r="1566" spans="1:9" x14ac:dyDescent="0.3">
      <c r="A1566" t="s">
        <v>3808</v>
      </c>
      <c r="B1566" t="s">
        <v>3809</v>
      </c>
      <c r="C1566">
        <v>1</v>
      </c>
      <c r="D1566" t="s">
        <v>23</v>
      </c>
      <c r="E1566" t="s">
        <v>331</v>
      </c>
    </row>
    <row r="1567" spans="1:9" x14ac:dyDescent="0.3">
      <c r="A1567" t="s">
        <v>3810</v>
      </c>
      <c r="B1567" t="s">
        <v>3811</v>
      </c>
      <c r="C1567">
        <v>15</v>
      </c>
      <c r="D1567" t="s">
        <v>29</v>
      </c>
      <c r="E1567" t="s">
        <v>3812</v>
      </c>
    </row>
    <row r="1568" spans="1:9" x14ac:dyDescent="0.3">
      <c r="A1568" t="s">
        <v>3813</v>
      </c>
      <c r="B1568" t="s">
        <v>3814</v>
      </c>
      <c r="C1568">
        <v>0.5</v>
      </c>
      <c r="D1568" t="s">
        <v>37</v>
      </c>
      <c r="E1568" t="s">
        <v>3815</v>
      </c>
    </row>
    <row r="1569" spans="1:9" x14ac:dyDescent="0.3">
      <c r="A1569" t="s">
        <v>3816</v>
      </c>
      <c r="B1569" t="s">
        <v>743</v>
      </c>
      <c r="E1569" t="s">
        <v>743</v>
      </c>
    </row>
    <row r="1570" spans="1:9" x14ac:dyDescent="0.3">
      <c r="A1570" t="s">
        <v>3817</v>
      </c>
      <c r="B1570" t="s">
        <v>337</v>
      </c>
      <c r="C1570">
        <v>1</v>
      </c>
      <c r="D1570" t="s">
        <v>23</v>
      </c>
      <c r="E1570" t="s">
        <v>338</v>
      </c>
    </row>
    <row r="1571" spans="1:9" x14ac:dyDescent="0.3">
      <c r="A1571" t="s">
        <v>742</v>
      </c>
      <c r="B1571" t="s">
        <v>3818</v>
      </c>
      <c r="C1571">
        <v>2</v>
      </c>
      <c r="D1571" t="s">
        <v>23</v>
      </c>
      <c r="E1571" t="s">
        <v>3679</v>
      </c>
    </row>
    <row r="1572" spans="1:9" x14ac:dyDescent="0.3">
      <c r="A1572" t="s">
        <v>3819</v>
      </c>
      <c r="B1572" t="s">
        <v>3820</v>
      </c>
      <c r="C1572">
        <v>70</v>
      </c>
      <c r="D1572" t="s">
        <v>29</v>
      </c>
      <c r="E1572" t="s">
        <v>3821</v>
      </c>
      <c r="I1572" t="s">
        <v>203</v>
      </c>
    </row>
    <row r="1573" spans="1:9" x14ac:dyDescent="0.3">
      <c r="A1573" t="s">
        <v>3215</v>
      </c>
      <c r="B1573" t="s">
        <v>3822</v>
      </c>
      <c r="C1573">
        <v>0.5</v>
      </c>
      <c r="D1573" t="s">
        <v>23</v>
      </c>
      <c r="E1573" t="s">
        <v>3823</v>
      </c>
    </row>
    <row r="1574" spans="1:9" x14ac:dyDescent="0.3">
      <c r="A1574" t="s">
        <v>3824</v>
      </c>
      <c r="B1574" t="s">
        <v>152</v>
      </c>
      <c r="E1574" t="s">
        <v>152</v>
      </c>
    </row>
    <row r="1575" spans="1:9" x14ac:dyDescent="0.3">
      <c r="A1575" t="s">
        <v>3825</v>
      </c>
      <c r="B1575" t="s">
        <v>3826</v>
      </c>
      <c r="C1575">
        <v>1</v>
      </c>
      <c r="D1575" t="s">
        <v>37</v>
      </c>
      <c r="E1575" t="s">
        <v>38</v>
      </c>
    </row>
    <row r="1576" spans="1:9" x14ac:dyDescent="0.3">
      <c r="A1576" t="s">
        <v>3827</v>
      </c>
      <c r="B1576" t="s">
        <v>1286</v>
      </c>
      <c r="C1576">
        <v>2</v>
      </c>
      <c r="D1576" t="s">
        <v>91</v>
      </c>
      <c r="E1576" t="s">
        <v>281</v>
      </c>
    </row>
    <row r="1577" spans="1:9" x14ac:dyDescent="0.3">
      <c r="A1577" t="s">
        <v>3828</v>
      </c>
      <c r="B1577" t="s">
        <v>3829</v>
      </c>
      <c r="C1577">
        <v>3</v>
      </c>
      <c r="D1577" t="s">
        <v>23</v>
      </c>
      <c r="E1577" t="s">
        <v>597</v>
      </c>
    </row>
    <row r="1578" spans="1:9" x14ac:dyDescent="0.3">
      <c r="A1578" t="s">
        <v>3830</v>
      </c>
      <c r="B1578" t="s">
        <v>3831</v>
      </c>
      <c r="C1578">
        <v>3</v>
      </c>
      <c r="D1578" t="s">
        <v>23</v>
      </c>
      <c r="E1578" t="s">
        <v>171</v>
      </c>
    </row>
    <row r="1579" spans="1:9" x14ac:dyDescent="0.3">
      <c r="A1579" t="s">
        <v>3832</v>
      </c>
      <c r="B1579" t="s">
        <v>3833</v>
      </c>
      <c r="E1579" t="s">
        <v>3833</v>
      </c>
    </row>
    <row r="1580" spans="1:9" x14ac:dyDescent="0.3">
      <c r="A1580" t="s">
        <v>3834</v>
      </c>
      <c r="B1580" t="s">
        <v>3835</v>
      </c>
      <c r="C1580">
        <v>0.75</v>
      </c>
      <c r="D1580" t="s">
        <v>23</v>
      </c>
      <c r="E1580" t="s">
        <v>524</v>
      </c>
    </row>
    <row r="1581" spans="1:9" x14ac:dyDescent="0.3">
      <c r="A1581" t="s">
        <v>3836</v>
      </c>
      <c r="B1581" t="s">
        <v>1179</v>
      </c>
      <c r="C1581">
        <v>1</v>
      </c>
      <c r="D1581" t="s">
        <v>23</v>
      </c>
      <c r="E1581" t="s">
        <v>233</v>
      </c>
    </row>
    <row r="1582" spans="1:9" x14ac:dyDescent="0.3">
      <c r="A1582" t="s">
        <v>3837</v>
      </c>
      <c r="B1582" t="s">
        <v>3838</v>
      </c>
      <c r="C1582">
        <v>1</v>
      </c>
      <c r="D1582" t="s">
        <v>3839</v>
      </c>
      <c r="E1582" t="s">
        <v>3840</v>
      </c>
      <c r="I1582" t="s">
        <v>2028</v>
      </c>
    </row>
    <row r="1583" spans="1:9" x14ac:dyDescent="0.3">
      <c r="A1583" t="s">
        <v>3841</v>
      </c>
      <c r="B1583" t="s">
        <v>3842</v>
      </c>
      <c r="C1583">
        <v>0.25</v>
      </c>
      <c r="D1583" t="s">
        <v>23</v>
      </c>
      <c r="E1583" t="s">
        <v>2614</v>
      </c>
    </row>
    <row r="1584" spans="1:9" x14ac:dyDescent="0.3">
      <c r="A1584" t="s">
        <v>3843</v>
      </c>
      <c r="B1584" t="s">
        <v>2077</v>
      </c>
      <c r="C1584">
        <v>1</v>
      </c>
      <c r="D1584" t="s">
        <v>284</v>
      </c>
      <c r="E1584" t="s">
        <v>1594</v>
      </c>
    </row>
    <row r="1585" spans="1:9" x14ac:dyDescent="0.3">
      <c r="A1585" t="s">
        <v>3844</v>
      </c>
      <c r="B1585" t="s">
        <v>3845</v>
      </c>
      <c r="C1585">
        <v>0.5</v>
      </c>
      <c r="D1585" t="s">
        <v>23</v>
      </c>
      <c r="E1585" t="s">
        <v>241</v>
      </c>
    </row>
    <row r="1586" spans="1:9" x14ac:dyDescent="0.3">
      <c r="A1586" t="s">
        <v>2164</v>
      </c>
      <c r="B1586" t="s">
        <v>3846</v>
      </c>
      <c r="C1586">
        <v>16</v>
      </c>
      <c r="D1586" t="s">
        <v>23</v>
      </c>
      <c r="E1586" t="s">
        <v>3847</v>
      </c>
      <c r="F1586" t="s">
        <v>167</v>
      </c>
      <c r="G1586" t="s">
        <v>168</v>
      </c>
    </row>
    <row r="1587" spans="1:9" x14ac:dyDescent="0.3">
      <c r="A1587" t="s">
        <v>3848</v>
      </c>
      <c r="B1587" t="s">
        <v>3849</v>
      </c>
      <c r="E1587" t="s">
        <v>776</v>
      </c>
      <c r="I1587" t="s">
        <v>164</v>
      </c>
    </row>
    <row r="1588" spans="1:9" x14ac:dyDescent="0.3">
      <c r="A1588" t="s">
        <v>3850</v>
      </c>
      <c r="B1588" t="s">
        <v>3851</v>
      </c>
      <c r="C1588">
        <v>2</v>
      </c>
      <c r="D1588" t="s">
        <v>91</v>
      </c>
      <c r="E1588" t="s">
        <v>157</v>
      </c>
    </row>
    <row r="1589" spans="1:9" x14ac:dyDescent="0.3">
      <c r="A1589" t="s">
        <v>3852</v>
      </c>
      <c r="B1589" t="s">
        <v>3853</v>
      </c>
      <c r="C1589">
        <v>5</v>
      </c>
      <c r="D1589" t="s">
        <v>23</v>
      </c>
      <c r="E1589" t="s">
        <v>738</v>
      </c>
    </row>
    <row r="1590" spans="1:9" x14ac:dyDescent="0.3">
      <c r="A1590" t="s">
        <v>3854</v>
      </c>
      <c r="B1590" t="s">
        <v>3855</v>
      </c>
      <c r="C1590">
        <v>1</v>
      </c>
      <c r="D1590" t="s">
        <v>2210</v>
      </c>
      <c r="E1590" t="s">
        <v>196</v>
      </c>
      <c r="I1590" t="s">
        <v>289</v>
      </c>
    </row>
    <row r="1591" spans="1:9" x14ac:dyDescent="0.3">
      <c r="A1591" t="s">
        <v>3856</v>
      </c>
      <c r="B1591" t="s">
        <v>3446</v>
      </c>
      <c r="C1591">
        <v>2</v>
      </c>
      <c r="D1591" t="s">
        <v>23</v>
      </c>
      <c r="E1591" t="s">
        <v>3447</v>
      </c>
    </row>
    <row r="1592" spans="1:9" x14ac:dyDescent="0.3">
      <c r="A1592" t="s">
        <v>3857</v>
      </c>
      <c r="B1592" t="s">
        <v>3858</v>
      </c>
      <c r="C1592">
        <v>2</v>
      </c>
      <c r="D1592" t="s">
        <v>835</v>
      </c>
      <c r="E1592" t="s">
        <v>3576</v>
      </c>
      <c r="I1592" t="s">
        <v>3025</v>
      </c>
    </row>
    <row r="1593" spans="1:9" x14ac:dyDescent="0.3">
      <c r="A1593" t="s">
        <v>3859</v>
      </c>
      <c r="B1593" t="s">
        <v>3860</v>
      </c>
      <c r="C1593">
        <v>2</v>
      </c>
      <c r="D1593" t="s">
        <v>189</v>
      </c>
      <c r="E1593" t="s">
        <v>3861</v>
      </c>
      <c r="I1593" t="s">
        <v>3862</v>
      </c>
    </row>
    <row r="1594" spans="1:9" x14ac:dyDescent="0.3">
      <c r="A1594" t="s">
        <v>1001</v>
      </c>
      <c r="B1594" t="s">
        <v>3863</v>
      </c>
      <c r="C1594">
        <v>45</v>
      </c>
      <c r="D1594" t="s">
        <v>29</v>
      </c>
      <c r="E1594" t="s">
        <v>1003</v>
      </c>
    </row>
    <row r="1595" spans="1:9" x14ac:dyDescent="0.3">
      <c r="A1595" t="s">
        <v>3864</v>
      </c>
      <c r="B1595" t="s">
        <v>3865</v>
      </c>
      <c r="C1595">
        <v>2</v>
      </c>
      <c r="D1595" t="s">
        <v>227</v>
      </c>
      <c r="E1595" t="s">
        <v>413</v>
      </c>
      <c r="F1595" t="s">
        <v>1571</v>
      </c>
    </row>
    <row r="1596" spans="1:9" x14ac:dyDescent="0.3">
      <c r="A1596" t="s">
        <v>3866</v>
      </c>
      <c r="B1596" t="s">
        <v>3867</v>
      </c>
      <c r="C1596">
        <v>1</v>
      </c>
      <c r="D1596" t="s">
        <v>23</v>
      </c>
      <c r="E1596" t="s">
        <v>30</v>
      </c>
    </row>
    <row r="1597" spans="1:9" x14ac:dyDescent="0.3">
      <c r="A1597" t="s">
        <v>3868</v>
      </c>
      <c r="B1597" t="s">
        <v>3869</v>
      </c>
      <c r="C1597">
        <v>0.25</v>
      </c>
      <c r="D1597" t="s">
        <v>23</v>
      </c>
      <c r="E1597" t="s">
        <v>3870</v>
      </c>
    </row>
    <row r="1598" spans="1:9" x14ac:dyDescent="0.3">
      <c r="A1598" t="s">
        <v>3871</v>
      </c>
      <c r="B1598" t="s">
        <v>3872</v>
      </c>
      <c r="C1598">
        <v>1</v>
      </c>
      <c r="E1598" t="s">
        <v>3873</v>
      </c>
    </row>
    <row r="1599" spans="1:9" x14ac:dyDescent="0.3">
      <c r="A1599" t="s">
        <v>3874</v>
      </c>
      <c r="B1599" t="s">
        <v>3875</v>
      </c>
      <c r="E1599" t="s">
        <v>1204</v>
      </c>
      <c r="H1599" t="s">
        <v>1078</v>
      </c>
    </row>
    <row r="1600" spans="1:9" x14ac:dyDescent="0.3">
      <c r="A1600" t="s">
        <v>3876</v>
      </c>
      <c r="B1600" t="s">
        <v>333</v>
      </c>
      <c r="E1600" t="s">
        <v>333</v>
      </c>
    </row>
    <row r="1601" spans="1:9" x14ac:dyDescent="0.3">
      <c r="A1601" t="s">
        <v>3877</v>
      </c>
      <c r="B1601" t="s">
        <v>3878</v>
      </c>
      <c r="C1601">
        <v>2</v>
      </c>
      <c r="D1601" t="s">
        <v>23</v>
      </c>
      <c r="E1601" t="s">
        <v>3879</v>
      </c>
    </row>
    <row r="1602" spans="1:9" x14ac:dyDescent="0.3">
      <c r="A1602" t="s">
        <v>3880</v>
      </c>
      <c r="B1602" t="s">
        <v>3881</v>
      </c>
      <c r="C1602">
        <v>6</v>
      </c>
      <c r="D1602" t="s">
        <v>23</v>
      </c>
      <c r="E1602" t="s">
        <v>98</v>
      </c>
    </row>
    <row r="1603" spans="1:9" x14ac:dyDescent="0.3">
      <c r="A1603" t="s">
        <v>1834</v>
      </c>
      <c r="B1603" t="s">
        <v>3882</v>
      </c>
      <c r="C1603">
        <v>3</v>
      </c>
      <c r="E1603" t="s">
        <v>3883</v>
      </c>
      <c r="F1603" t="s">
        <v>3884</v>
      </c>
      <c r="I1603" t="s">
        <v>432</v>
      </c>
    </row>
    <row r="1604" spans="1:9" x14ac:dyDescent="0.3">
      <c r="A1604" t="s">
        <v>3885</v>
      </c>
      <c r="B1604" t="s">
        <v>3886</v>
      </c>
      <c r="C1604">
        <v>20</v>
      </c>
      <c r="D1604" t="s">
        <v>29</v>
      </c>
      <c r="E1604" t="s">
        <v>183</v>
      </c>
    </row>
    <row r="1605" spans="1:9" x14ac:dyDescent="0.3">
      <c r="A1605" t="s">
        <v>3887</v>
      </c>
      <c r="B1605" t="s">
        <v>3888</v>
      </c>
      <c r="C1605">
        <v>100</v>
      </c>
      <c r="D1605" t="s">
        <v>29</v>
      </c>
      <c r="E1605" t="s">
        <v>2138</v>
      </c>
    </row>
    <row r="1606" spans="1:9" x14ac:dyDescent="0.3">
      <c r="A1606" t="s">
        <v>3889</v>
      </c>
      <c r="B1606" t="s">
        <v>3085</v>
      </c>
      <c r="C1606">
        <v>1</v>
      </c>
      <c r="D1606" t="s">
        <v>23</v>
      </c>
      <c r="E1606" t="s">
        <v>1059</v>
      </c>
    </row>
    <row r="1607" spans="1:9" x14ac:dyDescent="0.3">
      <c r="A1607" t="s">
        <v>829</v>
      </c>
      <c r="B1607" t="s">
        <v>3890</v>
      </c>
      <c r="C1607">
        <v>1</v>
      </c>
      <c r="D1607" t="s">
        <v>18</v>
      </c>
      <c r="E1607" t="s">
        <v>3891</v>
      </c>
    </row>
    <row r="1608" spans="1:9" x14ac:dyDescent="0.3">
      <c r="A1608" t="s">
        <v>3892</v>
      </c>
      <c r="B1608" t="s">
        <v>3893</v>
      </c>
      <c r="C1608">
        <v>4</v>
      </c>
      <c r="E1608" t="s">
        <v>950</v>
      </c>
    </row>
    <row r="1609" spans="1:9" x14ac:dyDescent="0.3">
      <c r="A1609" t="s">
        <v>2065</v>
      </c>
      <c r="B1609" t="s">
        <v>3894</v>
      </c>
      <c r="C1609">
        <v>1</v>
      </c>
      <c r="D1609" t="s">
        <v>11</v>
      </c>
      <c r="E1609" t="s">
        <v>338</v>
      </c>
    </row>
    <row r="1610" spans="1:9" x14ac:dyDescent="0.3">
      <c r="A1610" t="s">
        <v>3895</v>
      </c>
      <c r="B1610" t="s">
        <v>1193</v>
      </c>
      <c r="E1610" t="s">
        <v>1193</v>
      </c>
    </row>
    <row r="1611" spans="1:9" x14ac:dyDescent="0.3">
      <c r="A1611" t="s">
        <v>3896</v>
      </c>
      <c r="B1611" t="s">
        <v>674</v>
      </c>
      <c r="C1611">
        <v>0.5</v>
      </c>
      <c r="D1611" t="s">
        <v>23</v>
      </c>
      <c r="E1611" t="s">
        <v>38</v>
      </c>
      <c r="F1611" t="s">
        <v>68</v>
      </c>
    </row>
    <row r="1612" spans="1:9" x14ac:dyDescent="0.3">
      <c r="A1612" t="s">
        <v>3897</v>
      </c>
      <c r="B1612" t="s">
        <v>3898</v>
      </c>
      <c r="C1612">
        <v>150</v>
      </c>
      <c r="D1612" t="s">
        <v>29</v>
      </c>
      <c r="E1612" t="s">
        <v>253</v>
      </c>
    </row>
    <row r="1613" spans="1:9" x14ac:dyDescent="0.3">
      <c r="A1613" t="s">
        <v>3899</v>
      </c>
      <c r="B1613" t="s">
        <v>3900</v>
      </c>
      <c r="C1613">
        <v>1</v>
      </c>
      <c r="D1613" t="s">
        <v>11</v>
      </c>
      <c r="E1613" t="s">
        <v>3901</v>
      </c>
    </row>
    <row r="1614" spans="1:9" x14ac:dyDescent="0.3">
      <c r="A1614" t="s">
        <v>3902</v>
      </c>
      <c r="B1614" t="s">
        <v>3903</v>
      </c>
      <c r="C1614">
        <v>50</v>
      </c>
      <c r="D1614" t="s">
        <v>29</v>
      </c>
      <c r="E1614" t="s">
        <v>3904</v>
      </c>
    </row>
    <row r="1615" spans="1:9" x14ac:dyDescent="0.3">
      <c r="A1615" t="s">
        <v>2048</v>
      </c>
      <c r="B1615" t="s">
        <v>3905</v>
      </c>
      <c r="C1615">
        <v>1</v>
      </c>
      <c r="D1615" t="s">
        <v>23</v>
      </c>
      <c r="E1615" t="s">
        <v>3906</v>
      </c>
    </row>
    <row r="1616" spans="1:9" x14ac:dyDescent="0.3">
      <c r="A1616" t="s">
        <v>3907</v>
      </c>
      <c r="B1616" t="s">
        <v>3908</v>
      </c>
      <c r="C1616">
        <v>2</v>
      </c>
      <c r="E1616" t="s">
        <v>3530</v>
      </c>
    </row>
    <row r="1617" spans="1:9" x14ac:dyDescent="0.3">
      <c r="A1617" t="s">
        <v>3909</v>
      </c>
      <c r="B1617" t="s">
        <v>3557</v>
      </c>
      <c r="C1617">
        <v>0.5</v>
      </c>
      <c r="D1617" t="s">
        <v>23</v>
      </c>
      <c r="E1617" t="s">
        <v>1416</v>
      </c>
    </row>
    <row r="1618" spans="1:9" x14ac:dyDescent="0.3">
      <c r="A1618" t="s">
        <v>579</v>
      </c>
      <c r="B1618" t="s">
        <v>3910</v>
      </c>
      <c r="C1618">
        <v>3</v>
      </c>
      <c r="D1618" t="s">
        <v>23</v>
      </c>
      <c r="E1618" t="s">
        <v>3911</v>
      </c>
    </row>
    <row r="1619" spans="1:9" x14ac:dyDescent="0.3">
      <c r="A1619" t="s">
        <v>3912</v>
      </c>
      <c r="B1619" t="s">
        <v>3913</v>
      </c>
      <c r="C1619">
        <v>1</v>
      </c>
      <c r="E1619" t="s">
        <v>3914</v>
      </c>
    </row>
    <row r="1620" spans="1:9" x14ac:dyDescent="0.3">
      <c r="A1620" t="s">
        <v>3915</v>
      </c>
      <c r="B1620" t="s">
        <v>3916</v>
      </c>
      <c r="C1620">
        <v>25</v>
      </c>
      <c r="D1620" t="s">
        <v>29</v>
      </c>
      <c r="E1620" t="s">
        <v>3917</v>
      </c>
      <c r="I1620" t="s">
        <v>2464</v>
      </c>
    </row>
    <row r="1621" spans="1:9" x14ac:dyDescent="0.3">
      <c r="A1621" t="s">
        <v>3918</v>
      </c>
      <c r="B1621" t="s">
        <v>1606</v>
      </c>
      <c r="C1621">
        <v>1</v>
      </c>
      <c r="D1621" t="s">
        <v>23</v>
      </c>
      <c r="E1621" t="s">
        <v>1607</v>
      </c>
    </row>
    <row r="1622" spans="1:9" x14ac:dyDescent="0.3">
      <c r="A1622" t="s">
        <v>3919</v>
      </c>
      <c r="B1622" t="s">
        <v>3920</v>
      </c>
      <c r="C1622">
        <v>0.75</v>
      </c>
      <c r="D1622" t="s">
        <v>37</v>
      </c>
      <c r="E1622" t="s">
        <v>38</v>
      </c>
      <c r="F1622" t="s">
        <v>167</v>
      </c>
      <c r="G1622" t="s">
        <v>168</v>
      </c>
      <c r="I1622" t="s">
        <v>3921</v>
      </c>
    </row>
    <row r="1623" spans="1:9" x14ac:dyDescent="0.3">
      <c r="A1623" t="s">
        <v>3922</v>
      </c>
      <c r="B1623" t="s">
        <v>3923</v>
      </c>
      <c r="D1623" t="s">
        <v>469</v>
      </c>
      <c r="E1623" t="s">
        <v>3924</v>
      </c>
      <c r="I1623" t="s">
        <v>289</v>
      </c>
    </row>
    <row r="1624" spans="1:9" x14ac:dyDescent="0.3">
      <c r="A1624" t="s">
        <v>2701</v>
      </c>
      <c r="B1624" t="s">
        <v>3925</v>
      </c>
      <c r="C1624">
        <v>0.5</v>
      </c>
      <c r="D1624" t="s">
        <v>23</v>
      </c>
      <c r="E1624" t="s">
        <v>793</v>
      </c>
    </row>
    <row r="1625" spans="1:9" x14ac:dyDescent="0.3">
      <c r="A1625" t="s">
        <v>3926</v>
      </c>
      <c r="B1625" t="s">
        <v>3927</v>
      </c>
      <c r="C1625">
        <v>0.25</v>
      </c>
      <c r="D1625" t="s">
        <v>11</v>
      </c>
      <c r="E1625" t="s">
        <v>292</v>
      </c>
    </row>
    <row r="1626" spans="1:9" x14ac:dyDescent="0.3">
      <c r="A1626" t="s">
        <v>3928</v>
      </c>
      <c r="B1626" t="s">
        <v>104</v>
      </c>
      <c r="C1626">
        <v>1</v>
      </c>
      <c r="E1626" t="s">
        <v>105</v>
      </c>
    </row>
    <row r="1627" spans="1:9" x14ac:dyDescent="0.3">
      <c r="A1627" t="s">
        <v>3929</v>
      </c>
      <c r="B1627" t="s">
        <v>3930</v>
      </c>
      <c r="C1627">
        <v>0.75</v>
      </c>
      <c r="D1627" t="s">
        <v>23</v>
      </c>
      <c r="E1627" t="s">
        <v>88</v>
      </c>
    </row>
    <row r="1628" spans="1:9" x14ac:dyDescent="0.3">
      <c r="A1628" t="s">
        <v>3931</v>
      </c>
      <c r="B1628" t="s">
        <v>3932</v>
      </c>
      <c r="C1628">
        <v>0.5</v>
      </c>
      <c r="D1628" t="s">
        <v>91</v>
      </c>
      <c r="E1628" t="s">
        <v>3933</v>
      </c>
    </row>
    <row r="1629" spans="1:9" x14ac:dyDescent="0.3">
      <c r="A1629" t="s">
        <v>3934</v>
      </c>
      <c r="B1629" t="s">
        <v>3935</v>
      </c>
      <c r="C1629">
        <v>3</v>
      </c>
      <c r="D1629" t="s">
        <v>189</v>
      </c>
      <c r="E1629" t="s">
        <v>3891</v>
      </c>
    </row>
    <row r="1630" spans="1:9" x14ac:dyDescent="0.3">
      <c r="A1630" t="s">
        <v>1986</v>
      </c>
      <c r="B1630" t="s">
        <v>3936</v>
      </c>
      <c r="C1630">
        <v>3</v>
      </c>
      <c r="D1630" t="s">
        <v>176</v>
      </c>
      <c r="E1630" t="s">
        <v>3937</v>
      </c>
    </row>
    <row r="1631" spans="1:9" x14ac:dyDescent="0.3">
      <c r="A1631" t="s">
        <v>3938</v>
      </c>
      <c r="B1631" t="s">
        <v>3939</v>
      </c>
      <c r="C1631">
        <v>2</v>
      </c>
      <c r="D1631" t="s">
        <v>345</v>
      </c>
      <c r="E1631" t="s">
        <v>551</v>
      </c>
    </row>
    <row r="1632" spans="1:9" x14ac:dyDescent="0.3">
      <c r="A1632" t="s">
        <v>3940</v>
      </c>
      <c r="B1632" t="s">
        <v>3941</v>
      </c>
      <c r="C1632">
        <v>2</v>
      </c>
      <c r="D1632" t="s">
        <v>686</v>
      </c>
      <c r="E1632" t="s">
        <v>3942</v>
      </c>
    </row>
    <row r="1633" spans="1:9" x14ac:dyDescent="0.3">
      <c r="A1633" t="s">
        <v>3943</v>
      </c>
      <c r="B1633" t="s">
        <v>3944</v>
      </c>
      <c r="C1633">
        <v>4</v>
      </c>
      <c r="D1633" t="s">
        <v>91</v>
      </c>
      <c r="E1633" t="s">
        <v>3794</v>
      </c>
      <c r="H1633" t="s">
        <v>3945</v>
      </c>
    </row>
    <row r="1634" spans="1:9" x14ac:dyDescent="0.3">
      <c r="A1634" t="s">
        <v>3946</v>
      </c>
      <c r="B1634" t="s">
        <v>3947</v>
      </c>
      <c r="C1634">
        <v>1</v>
      </c>
      <c r="D1634" t="s">
        <v>23</v>
      </c>
      <c r="E1634" t="s">
        <v>877</v>
      </c>
    </row>
    <row r="1635" spans="1:9" x14ac:dyDescent="0.3">
      <c r="A1635" t="s">
        <v>1790</v>
      </c>
      <c r="B1635" t="s">
        <v>3948</v>
      </c>
      <c r="C1635">
        <v>0.5</v>
      </c>
      <c r="D1635" t="s">
        <v>37</v>
      </c>
      <c r="E1635" t="s">
        <v>3949</v>
      </c>
      <c r="I1635" t="s">
        <v>3950</v>
      </c>
    </row>
    <row r="1636" spans="1:9" x14ac:dyDescent="0.3">
      <c r="A1636" t="s">
        <v>3951</v>
      </c>
      <c r="B1636" t="s">
        <v>3952</v>
      </c>
      <c r="C1636">
        <v>3</v>
      </c>
      <c r="D1636" t="s">
        <v>189</v>
      </c>
      <c r="E1636" t="s">
        <v>3953</v>
      </c>
    </row>
    <row r="1637" spans="1:9" x14ac:dyDescent="0.3">
      <c r="A1637" t="s">
        <v>3954</v>
      </c>
      <c r="B1637" t="s">
        <v>1711</v>
      </c>
      <c r="C1637">
        <v>0.75</v>
      </c>
      <c r="D1637" t="s">
        <v>23</v>
      </c>
      <c r="E1637" t="s">
        <v>81</v>
      </c>
    </row>
    <row r="1638" spans="1:9" x14ac:dyDescent="0.3">
      <c r="A1638" t="s">
        <v>3955</v>
      </c>
      <c r="B1638" t="s">
        <v>3687</v>
      </c>
      <c r="C1638">
        <v>200</v>
      </c>
      <c r="D1638" t="s">
        <v>29</v>
      </c>
      <c r="E1638" t="s">
        <v>3132</v>
      </c>
    </row>
    <row r="1639" spans="1:9" x14ac:dyDescent="0.3">
      <c r="A1639" t="s">
        <v>3956</v>
      </c>
      <c r="B1639" t="s">
        <v>3957</v>
      </c>
      <c r="C1639">
        <v>6</v>
      </c>
      <c r="E1639" t="s">
        <v>173</v>
      </c>
    </row>
    <row r="1640" spans="1:9" x14ac:dyDescent="0.3">
      <c r="A1640" t="s">
        <v>3958</v>
      </c>
      <c r="B1640" t="s">
        <v>3959</v>
      </c>
      <c r="C1640">
        <v>0.5</v>
      </c>
      <c r="D1640" t="s">
        <v>23</v>
      </c>
      <c r="E1640" t="s">
        <v>1431</v>
      </c>
    </row>
    <row r="1641" spans="1:9" x14ac:dyDescent="0.3">
      <c r="A1641" t="s">
        <v>3960</v>
      </c>
      <c r="B1641" t="s">
        <v>3961</v>
      </c>
      <c r="C1641">
        <v>50</v>
      </c>
      <c r="D1641" t="s">
        <v>29</v>
      </c>
      <c r="E1641" t="s">
        <v>3962</v>
      </c>
    </row>
    <row r="1642" spans="1:9" x14ac:dyDescent="0.3">
      <c r="A1642" t="s">
        <v>3963</v>
      </c>
      <c r="B1642" t="s">
        <v>3964</v>
      </c>
      <c r="C1642">
        <v>1</v>
      </c>
      <c r="D1642" t="s">
        <v>60</v>
      </c>
      <c r="E1642" t="s">
        <v>796</v>
      </c>
    </row>
    <row r="1643" spans="1:9" x14ac:dyDescent="0.3">
      <c r="A1643" t="s">
        <v>3965</v>
      </c>
      <c r="B1643" t="s">
        <v>3966</v>
      </c>
      <c r="C1643">
        <v>0.75</v>
      </c>
      <c r="D1643" t="s">
        <v>11</v>
      </c>
      <c r="E1643" t="s">
        <v>3967</v>
      </c>
    </row>
    <row r="1644" spans="1:9" x14ac:dyDescent="0.3">
      <c r="A1644" t="s">
        <v>3968</v>
      </c>
      <c r="B1644" t="s">
        <v>3969</v>
      </c>
      <c r="C1644">
        <v>45</v>
      </c>
      <c r="D1644" t="s">
        <v>29</v>
      </c>
      <c r="E1644" t="s">
        <v>281</v>
      </c>
    </row>
    <row r="1645" spans="1:9" x14ac:dyDescent="0.3">
      <c r="A1645" t="s">
        <v>3970</v>
      </c>
      <c r="B1645" t="s">
        <v>2747</v>
      </c>
      <c r="C1645">
        <v>1</v>
      </c>
      <c r="D1645" t="s">
        <v>23</v>
      </c>
      <c r="E1645" t="s">
        <v>423</v>
      </c>
    </row>
    <row r="1646" spans="1:9" x14ac:dyDescent="0.3">
      <c r="A1646" t="s">
        <v>3971</v>
      </c>
      <c r="B1646" t="s">
        <v>3655</v>
      </c>
      <c r="C1646">
        <v>1.5</v>
      </c>
      <c r="D1646" t="s">
        <v>23</v>
      </c>
      <c r="E1646" t="s">
        <v>299</v>
      </c>
    </row>
    <row r="1647" spans="1:9" x14ac:dyDescent="0.3">
      <c r="A1647" t="s">
        <v>3972</v>
      </c>
      <c r="B1647" t="s">
        <v>968</v>
      </c>
      <c r="C1647">
        <v>1</v>
      </c>
      <c r="D1647" t="s">
        <v>23</v>
      </c>
      <c r="E1647" t="s">
        <v>199</v>
      </c>
    </row>
    <row r="1648" spans="1:9" x14ac:dyDescent="0.3">
      <c r="A1648" t="s">
        <v>3973</v>
      </c>
      <c r="B1648" t="s">
        <v>638</v>
      </c>
      <c r="E1648" t="s">
        <v>638</v>
      </c>
    </row>
    <row r="1649" spans="1:9" x14ac:dyDescent="0.3">
      <c r="A1649" t="s">
        <v>3974</v>
      </c>
      <c r="B1649" t="s">
        <v>3975</v>
      </c>
      <c r="E1649" t="s">
        <v>253</v>
      </c>
      <c r="I1649" t="s">
        <v>3223</v>
      </c>
    </row>
    <row r="1650" spans="1:9" x14ac:dyDescent="0.3">
      <c r="A1650" t="s">
        <v>3976</v>
      </c>
      <c r="B1650" t="s">
        <v>3977</v>
      </c>
      <c r="E1650" t="s">
        <v>3977</v>
      </c>
    </row>
    <row r="1651" spans="1:9" x14ac:dyDescent="0.3">
      <c r="A1651" t="s">
        <v>3978</v>
      </c>
      <c r="B1651" t="s">
        <v>1838</v>
      </c>
      <c r="C1651">
        <v>1.5</v>
      </c>
      <c r="D1651" t="s">
        <v>345</v>
      </c>
      <c r="E1651" t="s">
        <v>41</v>
      </c>
    </row>
    <row r="1652" spans="1:9" x14ac:dyDescent="0.3">
      <c r="A1652" t="s">
        <v>3979</v>
      </c>
      <c r="B1652" t="s">
        <v>3980</v>
      </c>
      <c r="C1652">
        <v>1</v>
      </c>
      <c r="D1652" t="s">
        <v>2210</v>
      </c>
      <c r="E1652" t="s">
        <v>3981</v>
      </c>
    </row>
    <row r="1653" spans="1:9" x14ac:dyDescent="0.3">
      <c r="A1653" t="s">
        <v>3982</v>
      </c>
      <c r="B1653" t="s">
        <v>3983</v>
      </c>
      <c r="C1653">
        <v>1</v>
      </c>
      <c r="D1653" t="s">
        <v>3984</v>
      </c>
      <c r="E1653" t="s">
        <v>3985</v>
      </c>
      <c r="I1653" t="s">
        <v>289</v>
      </c>
    </row>
    <row r="1654" spans="1:9" x14ac:dyDescent="0.3">
      <c r="A1654" t="s">
        <v>3986</v>
      </c>
      <c r="B1654" t="s">
        <v>3987</v>
      </c>
      <c r="C1654">
        <v>1</v>
      </c>
      <c r="E1654" t="s">
        <v>1436</v>
      </c>
    </row>
    <row r="1655" spans="1:9" x14ac:dyDescent="0.3">
      <c r="A1655" t="s">
        <v>3988</v>
      </c>
      <c r="B1655" t="s">
        <v>3989</v>
      </c>
      <c r="C1655">
        <v>35</v>
      </c>
      <c r="D1655" t="s">
        <v>29</v>
      </c>
      <c r="E1655" t="s">
        <v>3990</v>
      </c>
      <c r="I1655" t="s">
        <v>3962</v>
      </c>
    </row>
    <row r="1656" spans="1:9" x14ac:dyDescent="0.3">
      <c r="A1656" t="s">
        <v>3991</v>
      </c>
      <c r="B1656" t="s">
        <v>3992</v>
      </c>
      <c r="C1656">
        <v>25</v>
      </c>
      <c r="D1656" t="s">
        <v>29</v>
      </c>
      <c r="E1656" t="s">
        <v>3993</v>
      </c>
    </row>
    <row r="1657" spans="1:9" x14ac:dyDescent="0.3">
      <c r="A1657" t="s">
        <v>3994</v>
      </c>
      <c r="B1657" t="s">
        <v>3995</v>
      </c>
      <c r="C1657">
        <v>20</v>
      </c>
      <c r="D1657" t="s">
        <v>29</v>
      </c>
      <c r="E1657" t="s">
        <v>331</v>
      </c>
    </row>
    <row r="1658" spans="1:9" x14ac:dyDescent="0.3">
      <c r="A1658" t="s">
        <v>3996</v>
      </c>
      <c r="B1658" t="s">
        <v>3997</v>
      </c>
      <c r="C1658">
        <v>0.33</v>
      </c>
      <c r="D1658" t="s">
        <v>37</v>
      </c>
      <c r="E1658" t="s">
        <v>81</v>
      </c>
    </row>
    <row r="1659" spans="1:9" x14ac:dyDescent="0.3">
      <c r="A1659" t="s">
        <v>3998</v>
      </c>
      <c r="B1659" t="s">
        <v>1977</v>
      </c>
      <c r="E1659" t="s">
        <v>1977</v>
      </c>
    </row>
    <row r="1660" spans="1:9" x14ac:dyDescent="0.3">
      <c r="A1660" t="s">
        <v>3999</v>
      </c>
      <c r="B1660" t="s">
        <v>4000</v>
      </c>
      <c r="C1660">
        <v>1</v>
      </c>
      <c r="D1660" t="s">
        <v>1785</v>
      </c>
      <c r="E1660" t="s">
        <v>349</v>
      </c>
    </row>
    <row r="1661" spans="1:9" x14ac:dyDescent="0.3">
      <c r="A1661" t="s">
        <v>4001</v>
      </c>
      <c r="B1661" t="s">
        <v>4002</v>
      </c>
      <c r="C1661">
        <v>1</v>
      </c>
      <c r="D1661" t="s">
        <v>23</v>
      </c>
      <c r="E1661" t="s">
        <v>1003</v>
      </c>
    </row>
    <row r="1662" spans="1:9" x14ac:dyDescent="0.3">
      <c r="A1662" t="s">
        <v>4003</v>
      </c>
      <c r="B1662" t="s">
        <v>4004</v>
      </c>
      <c r="C1662">
        <v>0.33</v>
      </c>
      <c r="D1662" t="s">
        <v>23</v>
      </c>
      <c r="E1662" t="s">
        <v>30</v>
      </c>
      <c r="G1662" t="s">
        <v>814</v>
      </c>
    </row>
    <row r="1663" spans="1:9" x14ac:dyDescent="0.3">
      <c r="A1663" t="s">
        <v>4005</v>
      </c>
      <c r="B1663" t="s">
        <v>4006</v>
      </c>
      <c r="C1663">
        <v>1</v>
      </c>
      <c r="D1663" t="s">
        <v>23</v>
      </c>
      <c r="E1663" t="s">
        <v>4007</v>
      </c>
    </row>
    <row r="1664" spans="1:9" x14ac:dyDescent="0.3">
      <c r="A1664" t="s">
        <v>4008</v>
      </c>
      <c r="B1664" t="s">
        <v>333</v>
      </c>
      <c r="E1664" t="s">
        <v>333</v>
      </c>
    </row>
    <row r="1665" spans="1:9" x14ac:dyDescent="0.3">
      <c r="A1665" t="s">
        <v>739</v>
      </c>
      <c r="B1665" t="s">
        <v>4009</v>
      </c>
      <c r="C1665">
        <v>0.75</v>
      </c>
      <c r="D1665" t="s">
        <v>37</v>
      </c>
      <c r="E1665" t="s">
        <v>3576</v>
      </c>
    </row>
    <row r="1666" spans="1:9" x14ac:dyDescent="0.3">
      <c r="A1666" t="s">
        <v>4010</v>
      </c>
      <c r="B1666" t="s">
        <v>74</v>
      </c>
      <c r="C1666">
        <v>2</v>
      </c>
      <c r="D1666" t="s">
        <v>23</v>
      </c>
      <c r="E1666" t="s">
        <v>75</v>
      </c>
    </row>
    <row r="1667" spans="1:9" x14ac:dyDescent="0.3">
      <c r="A1667" t="s">
        <v>1742</v>
      </c>
      <c r="B1667" t="s">
        <v>4011</v>
      </c>
      <c r="C1667">
        <v>0.5</v>
      </c>
      <c r="D1667" t="s">
        <v>23</v>
      </c>
      <c r="E1667" t="s">
        <v>2913</v>
      </c>
    </row>
    <row r="1668" spans="1:9" x14ac:dyDescent="0.3">
      <c r="A1668" t="s">
        <v>1845</v>
      </c>
      <c r="B1668" t="s">
        <v>4012</v>
      </c>
      <c r="C1668">
        <v>0.5</v>
      </c>
      <c r="D1668" t="s">
        <v>460</v>
      </c>
      <c r="E1668" t="s">
        <v>857</v>
      </c>
    </row>
    <row r="1669" spans="1:9" x14ac:dyDescent="0.3">
      <c r="A1669" t="s">
        <v>4013</v>
      </c>
      <c r="B1669" t="s">
        <v>4014</v>
      </c>
      <c r="C1669">
        <v>0.5</v>
      </c>
      <c r="D1669" t="s">
        <v>37</v>
      </c>
      <c r="E1669" t="s">
        <v>2453</v>
      </c>
    </row>
    <row r="1670" spans="1:9" x14ac:dyDescent="0.3">
      <c r="A1670" t="s">
        <v>4015</v>
      </c>
      <c r="B1670" t="s">
        <v>4016</v>
      </c>
      <c r="C1670">
        <v>1</v>
      </c>
      <c r="E1670" t="s">
        <v>4017</v>
      </c>
      <c r="G1670" t="s">
        <v>238</v>
      </c>
    </row>
    <row r="1671" spans="1:9" x14ac:dyDescent="0.3">
      <c r="A1671" t="s">
        <v>2516</v>
      </c>
      <c r="B1671" t="s">
        <v>272</v>
      </c>
      <c r="C1671">
        <v>0.5</v>
      </c>
      <c r="D1671" t="s">
        <v>23</v>
      </c>
      <c r="E1671" t="s">
        <v>265</v>
      </c>
    </row>
    <row r="1672" spans="1:9" x14ac:dyDescent="0.3">
      <c r="A1672" t="s">
        <v>3074</v>
      </c>
      <c r="B1672" t="s">
        <v>988</v>
      </c>
      <c r="C1672">
        <v>0.5</v>
      </c>
      <c r="D1672" t="s">
        <v>23</v>
      </c>
      <c r="E1672" t="s">
        <v>81</v>
      </c>
    </row>
    <row r="1673" spans="1:9" x14ac:dyDescent="0.3">
      <c r="A1673" t="s">
        <v>4018</v>
      </c>
      <c r="B1673" t="s">
        <v>4019</v>
      </c>
      <c r="C1673">
        <v>0.25</v>
      </c>
      <c r="D1673" t="s">
        <v>37</v>
      </c>
      <c r="E1673" t="s">
        <v>2449</v>
      </c>
      <c r="I1673" t="s">
        <v>2028</v>
      </c>
    </row>
    <row r="1674" spans="1:9" x14ac:dyDescent="0.3">
      <c r="A1674" t="s">
        <v>4020</v>
      </c>
      <c r="B1674" t="s">
        <v>4021</v>
      </c>
      <c r="C1674">
        <v>1</v>
      </c>
      <c r="E1674" t="s">
        <v>4022</v>
      </c>
      <c r="I1674" t="s">
        <v>4023</v>
      </c>
    </row>
    <row r="1675" spans="1:9" x14ac:dyDescent="0.3">
      <c r="A1675" t="s">
        <v>4024</v>
      </c>
      <c r="B1675" t="s">
        <v>3077</v>
      </c>
      <c r="C1675">
        <v>0.5</v>
      </c>
      <c r="D1675" t="s">
        <v>23</v>
      </c>
      <c r="E1675" t="s">
        <v>374</v>
      </c>
    </row>
    <row r="1676" spans="1:9" x14ac:dyDescent="0.3">
      <c r="A1676" t="s">
        <v>4025</v>
      </c>
      <c r="B1676" t="s">
        <v>2879</v>
      </c>
      <c r="C1676">
        <v>10.5</v>
      </c>
      <c r="D1676" t="s">
        <v>91</v>
      </c>
      <c r="E1676" t="s">
        <v>524</v>
      </c>
    </row>
    <row r="1677" spans="1:9" x14ac:dyDescent="0.3">
      <c r="A1677" t="s">
        <v>2859</v>
      </c>
      <c r="B1677" t="s">
        <v>4026</v>
      </c>
      <c r="C1677">
        <v>1</v>
      </c>
      <c r="D1677" t="s">
        <v>2646</v>
      </c>
      <c r="E1677" t="s">
        <v>281</v>
      </c>
    </row>
    <row r="1678" spans="1:9" x14ac:dyDescent="0.3">
      <c r="A1678" t="s">
        <v>4027</v>
      </c>
      <c r="B1678" t="s">
        <v>1413</v>
      </c>
      <c r="C1678">
        <v>1</v>
      </c>
      <c r="D1678" t="s">
        <v>23</v>
      </c>
      <c r="E1678" t="s">
        <v>292</v>
      </c>
    </row>
    <row r="1679" spans="1:9" x14ac:dyDescent="0.3">
      <c r="A1679" t="s">
        <v>4028</v>
      </c>
      <c r="B1679" t="s">
        <v>4029</v>
      </c>
      <c r="C1679">
        <v>2</v>
      </c>
      <c r="D1679" t="s">
        <v>227</v>
      </c>
      <c r="E1679" t="s">
        <v>943</v>
      </c>
    </row>
    <row r="1680" spans="1:9" x14ac:dyDescent="0.3">
      <c r="A1680" t="s">
        <v>4030</v>
      </c>
      <c r="B1680" t="s">
        <v>4031</v>
      </c>
      <c r="C1680">
        <v>1</v>
      </c>
      <c r="D1680" t="s">
        <v>23</v>
      </c>
      <c r="E1680" t="s">
        <v>4032</v>
      </c>
    </row>
    <row r="1681" spans="1:9" x14ac:dyDescent="0.3">
      <c r="A1681" t="s">
        <v>4033</v>
      </c>
      <c r="B1681" t="s">
        <v>4034</v>
      </c>
      <c r="C1681">
        <v>1</v>
      </c>
      <c r="D1681" t="s">
        <v>460</v>
      </c>
      <c r="E1681" t="s">
        <v>4035</v>
      </c>
    </row>
    <row r="1682" spans="1:9" x14ac:dyDescent="0.3">
      <c r="A1682" t="s">
        <v>4036</v>
      </c>
      <c r="B1682" t="s">
        <v>4037</v>
      </c>
      <c r="C1682" t="s">
        <v>665</v>
      </c>
      <c r="D1682" t="s">
        <v>345</v>
      </c>
      <c r="E1682" t="s">
        <v>4038</v>
      </c>
      <c r="I1682" t="s">
        <v>4039</v>
      </c>
    </row>
    <row r="1683" spans="1:9" x14ac:dyDescent="0.3">
      <c r="A1683" t="s">
        <v>4040</v>
      </c>
      <c r="B1683" t="s">
        <v>1056</v>
      </c>
      <c r="E1683" t="s">
        <v>1056</v>
      </c>
    </row>
    <row r="1684" spans="1:9" x14ac:dyDescent="0.3">
      <c r="A1684" t="s">
        <v>4041</v>
      </c>
      <c r="B1684" t="s">
        <v>1726</v>
      </c>
      <c r="C1684">
        <v>0.5</v>
      </c>
      <c r="D1684" t="s">
        <v>23</v>
      </c>
      <c r="E1684" t="s">
        <v>95</v>
      </c>
    </row>
    <row r="1685" spans="1:9" x14ac:dyDescent="0.3">
      <c r="A1685" t="s">
        <v>4042</v>
      </c>
      <c r="B1685" t="s">
        <v>4043</v>
      </c>
      <c r="C1685">
        <v>1.5</v>
      </c>
      <c r="D1685" t="s">
        <v>345</v>
      </c>
      <c r="E1685" t="s">
        <v>4044</v>
      </c>
    </row>
    <row r="1686" spans="1:9" x14ac:dyDescent="0.3">
      <c r="A1686" t="s">
        <v>3369</v>
      </c>
      <c r="B1686" t="s">
        <v>4045</v>
      </c>
      <c r="C1686">
        <v>1</v>
      </c>
      <c r="D1686" t="s">
        <v>23</v>
      </c>
      <c r="E1686" t="s">
        <v>4046</v>
      </c>
    </row>
    <row r="1687" spans="1:9" x14ac:dyDescent="0.3">
      <c r="A1687" t="s">
        <v>4047</v>
      </c>
      <c r="B1687" t="s">
        <v>4048</v>
      </c>
      <c r="C1687">
        <v>25</v>
      </c>
      <c r="D1687" t="s">
        <v>29</v>
      </c>
      <c r="E1687" t="s">
        <v>4049</v>
      </c>
    </row>
    <row r="1688" spans="1:9" x14ac:dyDescent="0.3">
      <c r="A1688" t="s">
        <v>4050</v>
      </c>
      <c r="B1688" t="s">
        <v>4051</v>
      </c>
      <c r="E1688" t="s">
        <v>4051</v>
      </c>
    </row>
    <row r="1689" spans="1:9" x14ac:dyDescent="0.3">
      <c r="A1689" t="s">
        <v>4052</v>
      </c>
      <c r="B1689" t="s">
        <v>4053</v>
      </c>
      <c r="C1689">
        <v>1</v>
      </c>
      <c r="D1689" t="s">
        <v>11</v>
      </c>
      <c r="E1689" t="s">
        <v>2385</v>
      </c>
    </row>
    <row r="1690" spans="1:9" x14ac:dyDescent="0.3">
      <c r="A1690" t="s">
        <v>4054</v>
      </c>
      <c r="B1690" t="s">
        <v>4055</v>
      </c>
      <c r="E1690" t="s">
        <v>4056</v>
      </c>
      <c r="I1690" t="s">
        <v>1124</v>
      </c>
    </row>
    <row r="1691" spans="1:9" x14ac:dyDescent="0.3">
      <c r="A1691" t="s">
        <v>3288</v>
      </c>
      <c r="B1691" t="s">
        <v>4057</v>
      </c>
      <c r="C1691">
        <v>4</v>
      </c>
      <c r="D1691" t="s">
        <v>23</v>
      </c>
      <c r="E1691" t="s">
        <v>738</v>
      </c>
    </row>
    <row r="1692" spans="1:9" x14ac:dyDescent="0.3">
      <c r="A1692" t="s">
        <v>3946</v>
      </c>
      <c r="B1692" t="s">
        <v>159</v>
      </c>
      <c r="C1692">
        <v>0.75</v>
      </c>
      <c r="D1692" t="s">
        <v>23</v>
      </c>
      <c r="E1692" t="s">
        <v>160</v>
      </c>
      <c r="G1692" t="s">
        <v>68</v>
      </c>
    </row>
    <row r="1693" spans="1:9" x14ac:dyDescent="0.3">
      <c r="A1693" t="s">
        <v>4058</v>
      </c>
      <c r="B1693" t="s">
        <v>4059</v>
      </c>
      <c r="C1693">
        <v>2</v>
      </c>
      <c r="D1693" t="s">
        <v>23</v>
      </c>
      <c r="E1693" t="s">
        <v>4060</v>
      </c>
    </row>
    <row r="1694" spans="1:9" x14ac:dyDescent="0.3">
      <c r="A1694" t="s">
        <v>4061</v>
      </c>
      <c r="B1694" t="s">
        <v>4062</v>
      </c>
      <c r="C1694">
        <v>1</v>
      </c>
      <c r="D1694" t="s">
        <v>368</v>
      </c>
      <c r="E1694" t="s">
        <v>4063</v>
      </c>
      <c r="F1694" t="s">
        <v>3326</v>
      </c>
    </row>
    <row r="1695" spans="1:9" x14ac:dyDescent="0.3">
      <c r="A1695" t="s">
        <v>4064</v>
      </c>
      <c r="B1695" t="s">
        <v>4065</v>
      </c>
      <c r="C1695">
        <v>4</v>
      </c>
      <c r="D1695" t="s">
        <v>176</v>
      </c>
      <c r="E1695" t="s">
        <v>4066</v>
      </c>
      <c r="I1695" t="s">
        <v>4067</v>
      </c>
    </row>
    <row r="1696" spans="1:9" x14ac:dyDescent="0.3">
      <c r="A1696" t="s">
        <v>4068</v>
      </c>
      <c r="B1696" t="s">
        <v>4069</v>
      </c>
      <c r="C1696" t="s">
        <v>1577</v>
      </c>
      <c r="D1696" t="s">
        <v>23</v>
      </c>
      <c r="E1696" t="s">
        <v>102</v>
      </c>
      <c r="I1696" t="s">
        <v>1177</v>
      </c>
    </row>
    <row r="1697" spans="1:9" x14ac:dyDescent="0.3">
      <c r="A1697" t="s">
        <v>4070</v>
      </c>
      <c r="B1697" t="s">
        <v>4071</v>
      </c>
      <c r="D1697" t="s">
        <v>236</v>
      </c>
      <c r="E1697" t="s">
        <v>152</v>
      </c>
      <c r="I1697" t="s">
        <v>164</v>
      </c>
    </row>
    <row r="1698" spans="1:9" x14ac:dyDescent="0.3">
      <c r="A1698" t="s">
        <v>4072</v>
      </c>
      <c r="B1698" t="s">
        <v>4073</v>
      </c>
      <c r="C1698">
        <v>4</v>
      </c>
      <c r="D1698" t="s">
        <v>120</v>
      </c>
      <c r="E1698" t="s">
        <v>1739</v>
      </c>
    </row>
    <row r="1699" spans="1:9" x14ac:dyDescent="0.3">
      <c r="A1699" t="s">
        <v>4074</v>
      </c>
      <c r="B1699" t="s">
        <v>4075</v>
      </c>
      <c r="C1699">
        <v>1</v>
      </c>
      <c r="D1699" t="s">
        <v>23</v>
      </c>
      <c r="E1699" t="s">
        <v>4076</v>
      </c>
    </row>
    <row r="1700" spans="1:9" x14ac:dyDescent="0.3">
      <c r="A1700" t="s">
        <v>4077</v>
      </c>
      <c r="B1700" t="s">
        <v>4078</v>
      </c>
      <c r="C1700">
        <v>25</v>
      </c>
      <c r="D1700" t="s">
        <v>29</v>
      </c>
      <c r="E1700" t="s">
        <v>262</v>
      </c>
    </row>
    <row r="1701" spans="1:9" x14ac:dyDescent="0.3">
      <c r="A1701" t="s">
        <v>4079</v>
      </c>
      <c r="B1701" t="s">
        <v>4080</v>
      </c>
      <c r="C1701">
        <v>2</v>
      </c>
      <c r="D1701" t="s">
        <v>120</v>
      </c>
      <c r="E1701" t="s">
        <v>3177</v>
      </c>
    </row>
    <row r="1702" spans="1:9" x14ac:dyDescent="0.3">
      <c r="A1702" t="s">
        <v>4081</v>
      </c>
      <c r="B1702" t="s">
        <v>4082</v>
      </c>
      <c r="C1702">
        <v>25</v>
      </c>
      <c r="D1702" t="s">
        <v>29</v>
      </c>
      <c r="E1702" t="s">
        <v>4083</v>
      </c>
    </row>
    <row r="1703" spans="1:9" x14ac:dyDescent="0.3">
      <c r="A1703" t="s">
        <v>4084</v>
      </c>
      <c r="B1703" t="s">
        <v>4085</v>
      </c>
      <c r="C1703">
        <v>0.75</v>
      </c>
      <c r="D1703" t="s">
        <v>23</v>
      </c>
      <c r="E1703" t="s">
        <v>1718</v>
      </c>
    </row>
    <row r="1704" spans="1:9" x14ac:dyDescent="0.3">
      <c r="A1704" t="s">
        <v>4086</v>
      </c>
      <c r="B1704" t="s">
        <v>4087</v>
      </c>
      <c r="C1704">
        <v>2</v>
      </c>
      <c r="D1704" t="s">
        <v>23</v>
      </c>
      <c r="E1704" t="s">
        <v>349</v>
      </c>
    </row>
    <row r="1705" spans="1:9" x14ac:dyDescent="0.3">
      <c r="A1705" t="s">
        <v>4088</v>
      </c>
      <c r="B1705" t="s">
        <v>4089</v>
      </c>
      <c r="C1705">
        <v>15</v>
      </c>
      <c r="D1705" t="s">
        <v>29</v>
      </c>
      <c r="E1705" t="s">
        <v>2410</v>
      </c>
    </row>
    <row r="1706" spans="1:9" x14ac:dyDescent="0.3">
      <c r="A1706" t="s">
        <v>4090</v>
      </c>
      <c r="B1706" t="s">
        <v>4091</v>
      </c>
      <c r="C1706">
        <v>0.5</v>
      </c>
      <c r="D1706" t="s">
        <v>23</v>
      </c>
      <c r="E1706" t="s">
        <v>4092</v>
      </c>
    </row>
    <row r="1707" spans="1:9" x14ac:dyDescent="0.3">
      <c r="A1707" t="s">
        <v>4093</v>
      </c>
      <c r="B1707" t="s">
        <v>4094</v>
      </c>
      <c r="C1707">
        <v>0.5</v>
      </c>
      <c r="D1707" t="s">
        <v>23</v>
      </c>
      <c r="E1707" t="s">
        <v>281</v>
      </c>
    </row>
    <row r="1708" spans="1:9" x14ac:dyDescent="0.3">
      <c r="A1708" t="s">
        <v>1045</v>
      </c>
      <c r="B1708" t="s">
        <v>3216</v>
      </c>
      <c r="C1708">
        <v>0.75</v>
      </c>
      <c r="D1708" t="s">
        <v>23</v>
      </c>
      <c r="E1708" t="s">
        <v>38</v>
      </c>
      <c r="G1708" t="s">
        <v>68</v>
      </c>
    </row>
    <row r="1709" spans="1:9" x14ac:dyDescent="0.3">
      <c r="A1709" t="s">
        <v>4095</v>
      </c>
      <c r="B1709" t="s">
        <v>4096</v>
      </c>
      <c r="C1709">
        <v>1</v>
      </c>
      <c r="D1709" t="s">
        <v>37</v>
      </c>
      <c r="E1709" t="s">
        <v>160</v>
      </c>
      <c r="F1709" t="s">
        <v>167</v>
      </c>
      <c r="G1709" t="s">
        <v>168</v>
      </c>
    </row>
    <row r="1710" spans="1:9" x14ac:dyDescent="0.3">
      <c r="A1710" t="s">
        <v>4097</v>
      </c>
      <c r="B1710" t="s">
        <v>4098</v>
      </c>
      <c r="C1710">
        <v>2</v>
      </c>
      <c r="D1710" t="s">
        <v>345</v>
      </c>
      <c r="E1710" t="s">
        <v>38</v>
      </c>
      <c r="I1710" t="s">
        <v>4099</v>
      </c>
    </row>
    <row r="1711" spans="1:9" x14ac:dyDescent="0.3">
      <c r="A1711" t="s">
        <v>4100</v>
      </c>
      <c r="B1711" t="s">
        <v>4101</v>
      </c>
      <c r="C1711">
        <v>1</v>
      </c>
      <c r="D1711" t="s">
        <v>37</v>
      </c>
      <c r="E1711" t="s">
        <v>2599</v>
      </c>
      <c r="I1711" t="s">
        <v>4102</v>
      </c>
    </row>
    <row r="1712" spans="1:9" x14ac:dyDescent="0.3">
      <c r="A1712" t="s">
        <v>4103</v>
      </c>
      <c r="B1712" t="s">
        <v>4104</v>
      </c>
      <c r="C1712" t="s">
        <v>4105</v>
      </c>
      <c r="E1712" t="s">
        <v>183</v>
      </c>
      <c r="F1712" t="s">
        <v>908</v>
      </c>
      <c r="I1712" t="s">
        <v>289</v>
      </c>
    </row>
    <row r="1713" spans="1:9" x14ac:dyDescent="0.3">
      <c r="A1713" t="s">
        <v>4106</v>
      </c>
      <c r="B1713" t="s">
        <v>4107</v>
      </c>
      <c r="C1713">
        <v>1</v>
      </c>
      <c r="D1713" t="s">
        <v>2646</v>
      </c>
      <c r="E1713" t="s">
        <v>1077</v>
      </c>
      <c r="I1713" t="s">
        <v>1452</v>
      </c>
    </row>
    <row r="1714" spans="1:9" x14ac:dyDescent="0.3">
      <c r="A1714" t="s">
        <v>4108</v>
      </c>
      <c r="B1714" t="s">
        <v>4109</v>
      </c>
      <c r="C1714">
        <v>3</v>
      </c>
      <c r="D1714" t="s">
        <v>4110</v>
      </c>
      <c r="E1714" t="s">
        <v>4111</v>
      </c>
    </row>
    <row r="1715" spans="1:9" x14ac:dyDescent="0.3">
      <c r="A1715" t="s">
        <v>4112</v>
      </c>
      <c r="B1715" t="s">
        <v>4113</v>
      </c>
      <c r="C1715">
        <v>1</v>
      </c>
      <c r="D1715" t="s">
        <v>469</v>
      </c>
      <c r="E1715" t="s">
        <v>4114</v>
      </c>
    </row>
    <row r="1716" spans="1:9" x14ac:dyDescent="0.3">
      <c r="A1716" t="s">
        <v>4115</v>
      </c>
      <c r="B1716" t="s">
        <v>4116</v>
      </c>
      <c r="C1716">
        <v>1</v>
      </c>
      <c r="D1716" t="s">
        <v>23</v>
      </c>
      <c r="E1716" t="s">
        <v>160</v>
      </c>
    </row>
    <row r="1717" spans="1:9" x14ac:dyDescent="0.3">
      <c r="A1717" t="s">
        <v>3996</v>
      </c>
      <c r="B1717" t="s">
        <v>4117</v>
      </c>
      <c r="C1717">
        <v>1.25</v>
      </c>
      <c r="D1717" t="s">
        <v>345</v>
      </c>
      <c r="E1717" t="s">
        <v>2385</v>
      </c>
      <c r="I1717" t="s">
        <v>4118</v>
      </c>
    </row>
    <row r="1718" spans="1:9" x14ac:dyDescent="0.3">
      <c r="A1718" t="s">
        <v>4119</v>
      </c>
      <c r="B1718" t="s">
        <v>4120</v>
      </c>
      <c r="C1718">
        <v>1</v>
      </c>
      <c r="D1718" t="s">
        <v>37</v>
      </c>
      <c r="E1718" t="s">
        <v>1110</v>
      </c>
    </row>
    <row r="1719" spans="1:9" x14ac:dyDescent="0.3">
      <c r="A1719" t="s">
        <v>4121</v>
      </c>
      <c r="B1719" t="s">
        <v>4122</v>
      </c>
      <c r="C1719">
        <v>1</v>
      </c>
      <c r="D1719" t="s">
        <v>2397</v>
      </c>
      <c r="E1719" t="s">
        <v>163</v>
      </c>
    </row>
    <row r="1720" spans="1:9" x14ac:dyDescent="0.3">
      <c r="A1720" t="s">
        <v>4123</v>
      </c>
      <c r="B1720" t="s">
        <v>968</v>
      </c>
      <c r="C1720">
        <v>1</v>
      </c>
      <c r="D1720" t="s">
        <v>23</v>
      </c>
      <c r="E1720" t="s">
        <v>199</v>
      </c>
    </row>
    <row r="1721" spans="1:9" x14ac:dyDescent="0.3">
      <c r="A1721" t="s">
        <v>4124</v>
      </c>
      <c r="B1721" t="s">
        <v>4125</v>
      </c>
      <c r="C1721">
        <v>1</v>
      </c>
      <c r="E1721" t="s">
        <v>377</v>
      </c>
      <c r="F1721" t="s">
        <v>324</v>
      </c>
      <c r="I1721" t="s">
        <v>325</v>
      </c>
    </row>
    <row r="1722" spans="1:9" x14ac:dyDescent="0.3">
      <c r="A1722" t="s">
        <v>4126</v>
      </c>
      <c r="B1722" t="s">
        <v>4127</v>
      </c>
      <c r="C1722">
        <v>6</v>
      </c>
      <c r="D1722" t="s">
        <v>23</v>
      </c>
      <c r="E1722" t="s">
        <v>177</v>
      </c>
    </row>
    <row r="1723" spans="1:9" x14ac:dyDescent="0.3">
      <c r="A1723" t="s">
        <v>4128</v>
      </c>
      <c r="B1723" t="s">
        <v>4129</v>
      </c>
      <c r="C1723">
        <v>1.5</v>
      </c>
      <c r="D1723" t="s">
        <v>23</v>
      </c>
      <c r="E1723" t="s">
        <v>4130</v>
      </c>
    </row>
    <row r="1724" spans="1:9" x14ac:dyDescent="0.3">
      <c r="A1724" t="s">
        <v>4131</v>
      </c>
      <c r="B1724" t="s">
        <v>4132</v>
      </c>
      <c r="C1724">
        <v>0.5</v>
      </c>
      <c r="D1724" t="s">
        <v>37</v>
      </c>
      <c r="E1724" t="s">
        <v>2984</v>
      </c>
    </row>
    <row r="1725" spans="1:9" x14ac:dyDescent="0.3">
      <c r="A1725" t="s">
        <v>4133</v>
      </c>
      <c r="B1725" t="s">
        <v>4134</v>
      </c>
      <c r="C1725">
        <v>1</v>
      </c>
      <c r="D1725" t="s">
        <v>23</v>
      </c>
      <c r="E1725" t="s">
        <v>233</v>
      </c>
    </row>
    <row r="1726" spans="1:9" x14ac:dyDescent="0.3">
      <c r="A1726" t="s">
        <v>4135</v>
      </c>
      <c r="B1726" t="s">
        <v>4136</v>
      </c>
      <c r="C1726">
        <v>2</v>
      </c>
      <c r="D1726" t="s">
        <v>23</v>
      </c>
      <c r="E1726" t="s">
        <v>4137</v>
      </c>
    </row>
    <row r="1727" spans="1:9" x14ac:dyDescent="0.3">
      <c r="A1727" t="s">
        <v>4138</v>
      </c>
      <c r="B1727" t="s">
        <v>4139</v>
      </c>
      <c r="C1727">
        <v>2.5</v>
      </c>
      <c r="D1727" t="s">
        <v>23</v>
      </c>
      <c r="E1727" t="s">
        <v>233</v>
      </c>
    </row>
    <row r="1728" spans="1:9" x14ac:dyDescent="0.3">
      <c r="A1728" t="s">
        <v>4140</v>
      </c>
      <c r="B1728" t="s">
        <v>4141</v>
      </c>
      <c r="C1728">
        <v>0.5</v>
      </c>
      <c r="D1728" t="s">
        <v>284</v>
      </c>
      <c r="E1728" t="s">
        <v>4142</v>
      </c>
    </row>
    <row r="1729" spans="1:9" x14ac:dyDescent="0.3">
      <c r="A1729" t="s">
        <v>4143</v>
      </c>
      <c r="B1729" t="s">
        <v>4144</v>
      </c>
      <c r="C1729">
        <v>1</v>
      </c>
      <c r="D1729" t="s">
        <v>11</v>
      </c>
      <c r="E1729" t="s">
        <v>4145</v>
      </c>
      <c r="I1729" t="s">
        <v>20</v>
      </c>
    </row>
    <row r="1730" spans="1:9" x14ac:dyDescent="0.3">
      <c r="A1730" t="s">
        <v>4146</v>
      </c>
      <c r="B1730" t="s">
        <v>4147</v>
      </c>
      <c r="C1730">
        <v>3</v>
      </c>
      <c r="D1730" t="s">
        <v>23</v>
      </c>
      <c r="E1730" t="s">
        <v>57</v>
      </c>
    </row>
    <row r="1731" spans="1:9" x14ac:dyDescent="0.3">
      <c r="A1731" t="s">
        <v>4148</v>
      </c>
      <c r="B1731" t="s">
        <v>4149</v>
      </c>
      <c r="C1731">
        <v>0.5</v>
      </c>
      <c r="D1731" t="s">
        <v>23</v>
      </c>
      <c r="E1731" t="s">
        <v>183</v>
      </c>
    </row>
    <row r="1732" spans="1:9" x14ac:dyDescent="0.3">
      <c r="A1732" t="s">
        <v>4150</v>
      </c>
      <c r="B1732" t="s">
        <v>4151</v>
      </c>
      <c r="C1732">
        <v>2</v>
      </c>
      <c r="D1732" t="s">
        <v>189</v>
      </c>
      <c r="E1732" t="s">
        <v>1895</v>
      </c>
    </row>
    <row r="1733" spans="1:9" x14ac:dyDescent="0.3">
      <c r="A1733" t="s">
        <v>4152</v>
      </c>
      <c r="B1733" t="s">
        <v>4153</v>
      </c>
      <c r="E1733" t="s">
        <v>317</v>
      </c>
      <c r="I1733" t="s">
        <v>4154</v>
      </c>
    </row>
    <row r="1734" spans="1:9" x14ac:dyDescent="0.3">
      <c r="A1734" t="s">
        <v>4155</v>
      </c>
      <c r="B1734" t="s">
        <v>4156</v>
      </c>
      <c r="C1734">
        <v>1</v>
      </c>
      <c r="D1734" t="s">
        <v>50</v>
      </c>
      <c r="E1734" t="s">
        <v>51</v>
      </c>
    </row>
    <row r="1735" spans="1:9" x14ac:dyDescent="0.3">
      <c r="A1735" t="s">
        <v>2691</v>
      </c>
      <c r="B1735" t="s">
        <v>4157</v>
      </c>
      <c r="C1735">
        <v>2</v>
      </c>
      <c r="D1735" t="s">
        <v>23</v>
      </c>
      <c r="E1735" t="s">
        <v>265</v>
      </c>
    </row>
    <row r="1736" spans="1:9" x14ac:dyDescent="0.3">
      <c r="A1736" t="s">
        <v>2162</v>
      </c>
      <c r="B1736" t="s">
        <v>4158</v>
      </c>
      <c r="C1736">
        <v>0.75</v>
      </c>
      <c r="D1736" t="s">
        <v>284</v>
      </c>
      <c r="E1736" t="s">
        <v>4159</v>
      </c>
      <c r="H1736" t="s">
        <v>1078</v>
      </c>
      <c r="I1736" t="s">
        <v>4160</v>
      </c>
    </row>
    <row r="1737" spans="1:9" x14ac:dyDescent="0.3">
      <c r="A1737" t="s">
        <v>4161</v>
      </c>
      <c r="B1737" t="s">
        <v>4094</v>
      </c>
      <c r="C1737">
        <v>0.5</v>
      </c>
      <c r="D1737" t="s">
        <v>23</v>
      </c>
      <c r="E1737" t="s">
        <v>281</v>
      </c>
    </row>
    <row r="1738" spans="1:9" x14ac:dyDescent="0.3">
      <c r="A1738" t="s">
        <v>4162</v>
      </c>
      <c r="B1738" t="s">
        <v>4163</v>
      </c>
      <c r="C1738">
        <v>0.25</v>
      </c>
      <c r="D1738" t="s">
        <v>37</v>
      </c>
      <c r="E1738" t="s">
        <v>1006</v>
      </c>
      <c r="I1738" t="s">
        <v>4164</v>
      </c>
    </row>
    <row r="1739" spans="1:9" x14ac:dyDescent="0.3">
      <c r="A1739" t="s">
        <v>4165</v>
      </c>
      <c r="B1739" t="s">
        <v>4166</v>
      </c>
      <c r="C1739">
        <v>3</v>
      </c>
      <c r="D1739" t="s">
        <v>345</v>
      </c>
      <c r="E1739" t="s">
        <v>4167</v>
      </c>
    </row>
    <row r="1740" spans="1:9" x14ac:dyDescent="0.3">
      <c r="A1740" t="s">
        <v>4168</v>
      </c>
      <c r="B1740" t="s">
        <v>4169</v>
      </c>
      <c r="C1740">
        <v>8</v>
      </c>
      <c r="D1740" t="s">
        <v>23</v>
      </c>
      <c r="E1740" t="s">
        <v>233</v>
      </c>
    </row>
    <row r="1741" spans="1:9" x14ac:dyDescent="0.3">
      <c r="A1741" t="s">
        <v>4170</v>
      </c>
      <c r="B1741" t="s">
        <v>3496</v>
      </c>
      <c r="C1741">
        <v>2</v>
      </c>
      <c r="D1741" t="s">
        <v>23</v>
      </c>
      <c r="E1741" t="s">
        <v>281</v>
      </c>
    </row>
    <row r="1742" spans="1:9" x14ac:dyDescent="0.3">
      <c r="A1742" t="s">
        <v>4171</v>
      </c>
      <c r="B1742" t="s">
        <v>67</v>
      </c>
      <c r="C1742">
        <v>0.75</v>
      </c>
      <c r="D1742" t="s">
        <v>37</v>
      </c>
      <c r="E1742" t="s">
        <v>38</v>
      </c>
      <c r="G1742" t="s">
        <v>68</v>
      </c>
    </row>
    <row r="1743" spans="1:9" x14ac:dyDescent="0.3">
      <c r="A1743" t="s">
        <v>2556</v>
      </c>
      <c r="B1743" t="s">
        <v>4172</v>
      </c>
      <c r="C1743">
        <v>1.5</v>
      </c>
      <c r="D1743" t="s">
        <v>23</v>
      </c>
      <c r="E1743" t="s">
        <v>487</v>
      </c>
    </row>
    <row r="1744" spans="1:9" x14ac:dyDescent="0.3">
      <c r="A1744" t="s">
        <v>4173</v>
      </c>
      <c r="B1744" t="s">
        <v>4174</v>
      </c>
      <c r="C1744">
        <v>3</v>
      </c>
      <c r="D1744" t="s">
        <v>686</v>
      </c>
      <c r="E1744" t="s">
        <v>4175</v>
      </c>
    </row>
    <row r="1745" spans="1:9" x14ac:dyDescent="0.3">
      <c r="A1745" t="s">
        <v>4176</v>
      </c>
      <c r="B1745" t="s">
        <v>4177</v>
      </c>
      <c r="C1745">
        <v>1</v>
      </c>
      <c r="D1745" t="s">
        <v>1338</v>
      </c>
      <c r="E1745" t="s">
        <v>331</v>
      </c>
    </row>
    <row r="1746" spans="1:9" x14ac:dyDescent="0.3">
      <c r="A1746" t="s">
        <v>4178</v>
      </c>
      <c r="B1746" t="s">
        <v>4179</v>
      </c>
      <c r="C1746">
        <v>0.75</v>
      </c>
      <c r="D1746" t="s">
        <v>23</v>
      </c>
      <c r="E1746" t="s">
        <v>380</v>
      </c>
    </row>
    <row r="1747" spans="1:9" x14ac:dyDescent="0.3">
      <c r="A1747" t="s">
        <v>4180</v>
      </c>
      <c r="B1747" t="s">
        <v>198</v>
      </c>
      <c r="C1747">
        <v>2</v>
      </c>
      <c r="D1747" t="s">
        <v>23</v>
      </c>
      <c r="E1747" t="s">
        <v>199</v>
      </c>
    </row>
    <row r="1748" spans="1:9" x14ac:dyDescent="0.3">
      <c r="A1748" t="s">
        <v>4181</v>
      </c>
      <c r="B1748" t="s">
        <v>4182</v>
      </c>
      <c r="C1748">
        <v>2</v>
      </c>
      <c r="D1748" t="s">
        <v>23</v>
      </c>
      <c r="E1748" t="s">
        <v>3707</v>
      </c>
    </row>
    <row r="1749" spans="1:9" x14ac:dyDescent="0.3">
      <c r="A1749" t="s">
        <v>4183</v>
      </c>
      <c r="B1749" t="s">
        <v>660</v>
      </c>
      <c r="E1749" t="s">
        <v>660</v>
      </c>
    </row>
    <row r="1750" spans="1:9" x14ac:dyDescent="0.3">
      <c r="A1750" t="s">
        <v>954</v>
      </c>
      <c r="B1750" t="s">
        <v>4184</v>
      </c>
      <c r="C1750">
        <v>0.75</v>
      </c>
      <c r="D1750" t="s">
        <v>37</v>
      </c>
      <c r="E1750" t="s">
        <v>38</v>
      </c>
      <c r="F1750" t="s">
        <v>167</v>
      </c>
      <c r="G1750" t="s">
        <v>168</v>
      </c>
      <c r="I1750" t="s">
        <v>325</v>
      </c>
    </row>
    <row r="1751" spans="1:9" x14ac:dyDescent="0.3">
      <c r="A1751" t="s">
        <v>4185</v>
      </c>
      <c r="B1751" t="s">
        <v>4186</v>
      </c>
      <c r="C1751">
        <v>1</v>
      </c>
      <c r="D1751" t="s">
        <v>612</v>
      </c>
      <c r="E1751" t="s">
        <v>4187</v>
      </c>
      <c r="I1751" t="s">
        <v>4188</v>
      </c>
    </row>
    <row r="1752" spans="1:9" x14ac:dyDescent="0.3">
      <c r="A1752" t="s">
        <v>4189</v>
      </c>
      <c r="B1752" t="s">
        <v>4190</v>
      </c>
      <c r="C1752">
        <v>1</v>
      </c>
      <c r="E1752" t="s">
        <v>4191</v>
      </c>
      <c r="I1752" t="s">
        <v>248</v>
      </c>
    </row>
    <row r="1753" spans="1:9" x14ac:dyDescent="0.3">
      <c r="A1753" t="s">
        <v>4192</v>
      </c>
      <c r="B1753" t="s">
        <v>4193</v>
      </c>
      <c r="C1753">
        <v>2.5</v>
      </c>
      <c r="D1753" t="s">
        <v>23</v>
      </c>
      <c r="E1753" t="s">
        <v>487</v>
      </c>
    </row>
    <row r="1754" spans="1:9" x14ac:dyDescent="0.3">
      <c r="A1754" t="s">
        <v>4194</v>
      </c>
      <c r="B1754" t="s">
        <v>4195</v>
      </c>
      <c r="C1754">
        <v>100</v>
      </c>
      <c r="D1754" t="s">
        <v>29</v>
      </c>
      <c r="E1754" t="s">
        <v>1816</v>
      </c>
    </row>
    <row r="1755" spans="1:9" x14ac:dyDescent="0.3">
      <c r="A1755" t="s">
        <v>4196</v>
      </c>
      <c r="B1755" t="s">
        <v>4197</v>
      </c>
      <c r="C1755">
        <v>3</v>
      </c>
      <c r="D1755" t="s">
        <v>1338</v>
      </c>
      <c r="E1755" t="s">
        <v>1043</v>
      </c>
      <c r="I1755" t="s">
        <v>289</v>
      </c>
    </row>
    <row r="1756" spans="1:9" x14ac:dyDescent="0.3">
      <c r="A1756" t="s">
        <v>2071</v>
      </c>
      <c r="B1756" t="s">
        <v>4198</v>
      </c>
      <c r="C1756">
        <v>2</v>
      </c>
      <c r="D1756" t="s">
        <v>345</v>
      </c>
      <c r="E1756" t="s">
        <v>4199</v>
      </c>
      <c r="I1756" t="s">
        <v>2028</v>
      </c>
    </row>
    <row r="1757" spans="1:9" x14ac:dyDescent="0.3">
      <c r="A1757" t="s">
        <v>4200</v>
      </c>
      <c r="B1757" t="s">
        <v>4201</v>
      </c>
      <c r="C1757">
        <v>6</v>
      </c>
      <c r="E1757" t="s">
        <v>4202</v>
      </c>
      <c r="G1757" t="s">
        <v>68</v>
      </c>
    </row>
    <row r="1758" spans="1:9" x14ac:dyDescent="0.3">
      <c r="A1758" t="s">
        <v>4203</v>
      </c>
      <c r="B1758" t="s">
        <v>4204</v>
      </c>
      <c r="C1758">
        <v>1</v>
      </c>
      <c r="D1758" t="s">
        <v>11</v>
      </c>
      <c r="E1758" t="s">
        <v>281</v>
      </c>
    </row>
    <row r="1759" spans="1:9" x14ac:dyDescent="0.3">
      <c r="A1759" t="s">
        <v>4205</v>
      </c>
      <c r="B1759" t="s">
        <v>30</v>
      </c>
      <c r="E1759" t="s">
        <v>30</v>
      </c>
    </row>
    <row r="1760" spans="1:9" x14ac:dyDescent="0.3">
      <c r="A1760" t="s">
        <v>3258</v>
      </c>
      <c r="B1760" t="s">
        <v>4206</v>
      </c>
      <c r="E1760" t="s">
        <v>4207</v>
      </c>
      <c r="F1760" t="s">
        <v>1813</v>
      </c>
    </row>
    <row r="1761" spans="1:9" x14ac:dyDescent="0.3">
      <c r="A1761" t="s">
        <v>4208</v>
      </c>
      <c r="B1761" t="s">
        <v>2506</v>
      </c>
      <c r="C1761">
        <v>1</v>
      </c>
      <c r="D1761" t="s">
        <v>50</v>
      </c>
      <c r="E1761" t="s">
        <v>333</v>
      </c>
      <c r="F1761" t="s">
        <v>1512</v>
      </c>
    </row>
    <row r="1762" spans="1:9" x14ac:dyDescent="0.3">
      <c r="A1762" t="s">
        <v>4209</v>
      </c>
      <c r="B1762" t="s">
        <v>4210</v>
      </c>
      <c r="C1762">
        <v>125</v>
      </c>
      <c r="D1762" t="s">
        <v>4211</v>
      </c>
      <c r="E1762" t="s">
        <v>4212</v>
      </c>
    </row>
    <row r="1763" spans="1:9" x14ac:dyDescent="0.3">
      <c r="A1763" t="s">
        <v>4213</v>
      </c>
      <c r="B1763" t="s">
        <v>94</v>
      </c>
      <c r="C1763">
        <v>1</v>
      </c>
      <c r="D1763" t="s">
        <v>23</v>
      </c>
      <c r="E1763" t="s">
        <v>95</v>
      </c>
    </row>
    <row r="1764" spans="1:9" x14ac:dyDescent="0.3">
      <c r="A1764" t="s">
        <v>4214</v>
      </c>
      <c r="B1764" t="s">
        <v>4215</v>
      </c>
      <c r="C1764">
        <v>1</v>
      </c>
      <c r="D1764" t="s">
        <v>120</v>
      </c>
      <c r="E1764" t="s">
        <v>4216</v>
      </c>
    </row>
    <row r="1765" spans="1:9" x14ac:dyDescent="0.3">
      <c r="A1765" t="s">
        <v>4217</v>
      </c>
      <c r="B1765" t="s">
        <v>4218</v>
      </c>
      <c r="C1765">
        <v>0.5</v>
      </c>
      <c r="D1765" t="s">
        <v>23</v>
      </c>
      <c r="E1765" t="s">
        <v>57</v>
      </c>
    </row>
    <row r="1766" spans="1:9" x14ac:dyDescent="0.3">
      <c r="A1766" t="s">
        <v>4219</v>
      </c>
      <c r="B1766" t="s">
        <v>4220</v>
      </c>
      <c r="C1766">
        <v>2</v>
      </c>
      <c r="D1766" t="s">
        <v>23</v>
      </c>
      <c r="E1766" t="s">
        <v>487</v>
      </c>
    </row>
    <row r="1767" spans="1:9" x14ac:dyDescent="0.3">
      <c r="A1767" t="s">
        <v>3152</v>
      </c>
      <c r="B1767" t="s">
        <v>4221</v>
      </c>
      <c r="E1767" t="s">
        <v>4222</v>
      </c>
      <c r="I1767" t="s">
        <v>998</v>
      </c>
    </row>
    <row r="1768" spans="1:9" x14ac:dyDescent="0.3">
      <c r="A1768" t="s">
        <v>4223</v>
      </c>
      <c r="B1768" t="s">
        <v>4224</v>
      </c>
      <c r="C1768">
        <v>1</v>
      </c>
      <c r="D1768" t="s">
        <v>23</v>
      </c>
      <c r="E1768" t="s">
        <v>716</v>
      </c>
    </row>
    <row r="1769" spans="1:9" x14ac:dyDescent="0.3">
      <c r="A1769" t="s">
        <v>4225</v>
      </c>
      <c r="B1769" t="s">
        <v>4226</v>
      </c>
      <c r="C1769">
        <v>1</v>
      </c>
      <c r="D1769" t="s">
        <v>71</v>
      </c>
      <c r="E1769" t="s">
        <v>331</v>
      </c>
    </row>
    <row r="1770" spans="1:9" x14ac:dyDescent="0.3">
      <c r="A1770" t="s">
        <v>4227</v>
      </c>
      <c r="B1770" t="s">
        <v>4228</v>
      </c>
      <c r="E1770" t="s">
        <v>4229</v>
      </c>
      <c r="I1770" t="s">
        <v>4230</v>
      </c>
    </row>
    <row r="1771" spans="1:9" x14ac:dyDescent="0.3">
      <c r="A1771" t="s">
        <v>4231</v>
      </c>
      <c r="B1771" t="s">
        <v>262</v>
      </c>
      <c r="E1771" t="s">
        <v>262</v>
      </c>
    </row>
    <row r="1772" spans="1:9" x14ac:dyDescent="0.3">
      <c r="A1772" t="s">
        <v>4232</v>
      </c>
      <c r="B1772" t="s">
        <v>4233</v>
      </c>
      <c r="C1772">
        <v>0.5</v>
      </c>
      <c r="D1772" t="s">
        <v>11</v>
      </c>
      <c r="E1772" t="s">
        <v>4234</v>
      </c>
    </row>
    <row r="1773" spans="1:9" x14ac:dyDescent="0.3">
      <c r="A1773" t="s">
        <v>4235</v>
      </c>
      <c r="B1773" t="s">
        <v>4236</v>
      </c>
      <c r="C1773">
        <v>1</v>
      </c>
      <c r="D1773" t="s">
        <v>23</v>
      </c>
      <c r="E1773" t="s">
        <v>253</v>
      </c>
    </row>
    <row r="1774" spans="1:9" x14ac:dyDescent="0.3">
      <c r="A1774" t="s">
        <v>4237</v>
      </c>
      <c r="B1774" t="s">
        <v>4238</v>
      </c>
      <c r="C1774">
        <v>4</v>
      </c>
      <c r="D1774" t="s">
        <v>1338</v>
      </c>
      <c r="E1774" t="s">
        <v>4239</v>
      </c>
      <c r="I1774" t="s">
        <v>289</v>
      </c>
    </row>
    <row r="1775" spans="1:9" x14ac:dyDescent="0.3">
      <c r="A1775" t="s">
        <v>58</v>
      </c>
      <c r="B1775" t="s">
        <v>4240</v>
      </c>
      <c r="C1775">
        <v>1</v>
      </c>
      <c r="D1775" t="s">
        <v>904</v>
      </c>
      <c r="E1775" t="s">
        <v>1431</v>
      </c>
    </row>
    <row r="1776" spans="1:9" x14ac:dyDescent="0.3">
      <c r="A1776" t="s">
        <v>4241</v>
      </c>
      <c r="B1776" t="s">
        <v>931</v>
      </c>
      <c r="E1776" t="s">
        <v>932</v>
      </c>
      <c r="I1776" t="s">
        <v>933</v>
      </c>
    </row>
    <row r="1777" spans="1:9" x14ac:dyDescent="0.3">
      <c r="A1777" t="s">
        <v>4242</v>
      </c>
      <c r="B1777" t="s">
        <v>4243</v>
      </c>
      <c r="C1777">
        <v>2.5</v>
      </c>
      <c r="D1777" t="s">
        <v>23</v>
      </c>
      <c r="E1777" t="s">
        <v>847</v>
      </c>
    </row>
    <row r="1778" spans="1:9" x14ac:dyDescent="0.3">
      <c r="A1778" t="s">
        <v>187</v>
      </c>
      <c r="B1778" t="s">
        <v>4244</v>
      </c>
      <c r="C1778">
        <v>0.25</v>
      </c>
      <c r="D1778" t="s">
        <v>37</v>
      </c>
      <c r="E1778" t="s">
        <v>81</v>
      </c>
    </row>
    <row r="1779" spans="1:9" x14ac:dyDescent="0.3">
      <c r="A1779" t="s">
        <v>4245</v>
      </c>
      <c r="B1779" t="s">
        <v>4246</v>
      </c>
      <c r="C1779">
        <v>1</v>
      </c>
      <c r="D1779" t="s">
        <v>1785</v>
      </c>
      <c r="E1779" t="s">
        <v>331</v>
      </c>
    </row>
    <row r="1780" spans="1:9" x14ac:dyDescent="0.3">
      <c r="A1780" t="s">
        <v>4247</v>
      </c>
      <c r="B1780" t="s">
        <v>4248</v>
      </c>
      <c r="C1780">
        <v>30</v>
      </c>
      <c r="D1780" t="s">
        <v>29</v>
      </c>
      <c r="E1780" t="s">
        <v>380</v>
      </c>
    </row>
    <row r="1781" spans="1:9" x14ac:dyDescent="0.3">
      <c r="A1781" t="s">
        <v>4249</v>
      </c>
      <c r="B1781" t="s">
        <v>4250</v>
      </c>
      <c r="C1781">
        <v>2</v>
      </c>
      <c r="D1781" t="s">
        <v>345</v>
      </c>
      <c r="E1781" t="s">
        <v>220</v>
      </c>
      <c r="I1781" t="s">
        <v>4251</v>
      </c>
    </row>
    <row r="1782" spans="1:9" x14ac:dyDescent="0.3">
      <c r="A1782" t="s">
        <v>4018</v>
      </c>
      <c r="B1782" t="s">
        <v>4252</v>
      </c>
      <c r="C1782">
        <v>2</v>
      </c>
      <c r="E1782" t="s">
        <v>4253</v>
      </c>
    </row>
    <row r="1783" spans="1:9" x14ac:dyDescent="0.3">
      <c r="A1783" t="s">
        <v>4254</v>
      </c>
      <c r="B1783" t="s">
        <v>3153</v>
      </c>
      <c r="C1783">
        <v>2</v>
      </c>
      <c r="D1783" t="s">
        <v>345</v>
      </c>
      <c r="E1783" t="s">
        <v>220</v>
      </c>
    </row>
    <row r="1784" spans="1:9" x14ac:dyDescent="0.3">
      <c r="A1784" t="s">
        <v>4255</v>
      </c>
      <c r="B1784" t="s">
        <v>3079</v>
      </c>
      <c r="C1784">
        <v>1</v>
      </c>
      <c r="D1784" t="s">
        <v>460</v>
      </c>
      <c r="E1784" t="s">
        <v>51</v>
      </c>
    </row>
    <row r="1785" spans="1:9" x14ac:dyDescent="0.3">
      <c r="A1785" t="s">
        <v>4256</v>
      </c>
      <c r="B1785" t="s">
        <v>4257</v>
      </c>
      <c r="C1785">
        <v>1</v>
      </c>
      <c r="D1785" t="s">
        <v>23</v>
      </c>
      <c r="E1785" t="s">
        <v>4258</v>
      </c>
    </row>
    <row r="1786" spans="1:9" x14ac:dyDescent="0.3">
      <c r="A1786" t="s">
        <v>4259</v>
      </c>
      <c r="B1786" t="s">
        <v>4260</v>
      </c>
      <c r="C1786">
        <v>1</v>
      </c>
      <c r="D1786" t="s">
        <v>11</v>
      </c>
      <c r="E1786" t="s">
        <v>57</v>
      </c>
    </row>
    <row r="1787" spans="1:9" x14ac:dyDescent="0.3">
      <c r="A1787" t="s">
        <v>4261</v>
      </c>
      <c r="B1787" t="s">
        <v>4262</v>
      </c>
      <c r="C1787">
        <v>1</v>
      </c>
      <c r="E1787" t="s">
        <v>1440</v>
      </c>
      <c r="F1787" t="s">
        <v>908</v>
      </c>
    </row>
    <row r="1788" spans="1:9" x14ac:dyDescent="0.3">
      <c r="A1788" t="s">
        <v>4263</v>
      </c>
      <c r="B1788" t="s">
        <v>4264</v>
      </c>
      <c r="C1788">
        <v>50</v>
      </c>
      <c r="D1788" t="s">
        <v>29</v>
      </c>
      <c r="E1788" t="s">
        <v>281</v>
      </c>
    </row>
    <row r="1789" spans="1:9" x14ac:dyDescent="0.3">
      <c r="A1789" t="s">
        <v>4265</v>
      </c>
      <c r="B1789" t="s">
        <v>3782</v>
      </c>
      <c r="C1789">
        <v>10</v>
      </c>
      <c r="D1789" t="s">
        <v>29</v>
      </c>
      <c r="E1789" t="s">
        <v>30</v>
      </c>
    </row>
    <row r="1790" spans="1:9" x14ac:dyDescent="0.3">
      <c r="A1790" t="s">
        <v>4266</v>
      </c>
      <c r="B1790" t="s">
        <v>4267</v>
      </c>
      <c r="C1790">
        <v>1</v>
      </c>
      <c r="E1790" t="s">
        <v>1984</v>
      </c>
    </row>
    <row r="1791" spans="1:9" x14ac:dyDescent="0.3">
      <c r="A1791" t="s">
        <v>4268</v>
      </c>
      <c r="B1791" t="s">
        <v>4269</v>
      </c>
      <c r="C1791">
        <v>0.5</v>
      </c>
      <c r="D1791" t="s">
        <v>23</v>
      </c>
      <c r="E1791" t="s">
        <v>4270</v>
      </c>
    </row>
    <row r="1792" spans="1:9" x14ac:dyDescent="0.3">
      <c r="A1792" t="s">
        <v>4271</v>
      </c>
      <c r="B1792" t="s">
        <v>4272</v>
      </c>
      <c r="C1792">
        <v>1</v>
      </c>
      <c r="D1792" t="s">
        <v>2646</v>
      </c>
      <c r="E1792" t="s">
        <v>1204</v>
      </c>
    </row>
    <row r="1793" spans="1:9" x14ac:dyDescent="0.3">
      <c r="A1793" t="s">
        <v>3915</v>
      </c>
      <c r="B1793" t="s">
        <v>4273</v>
      </c>
      <c r="C1793">
        <v>10</v>
      </c>
      <c r="D1793" t="s">
        <v>29</v>
      </c>
      <c r="E1793" t="s">
        <v>399</v>
      </c>
    </row>
    <row r="1794" spans="1:9" x14ac:dyDescent="0.3">
      <c r="A1794" t="s">
        <v>4274</v>
      </c>
      <c r="B1794" t="s">
        <v>4275</v>
      </c>
      <c r="C1794">
        <v>0.5</v>
      </c>
      <c r="D1794" t="s">
        <v>23</v>
      </c>
      <c r="E1794" t="s">
        <v>4276</v>
      </c>
    </row>
    <row r="1795" spans="1:9" x14ac:dyDescent="0.3">
      <c r="A1795" t="s">
        <v>4277</v>
      </c>
      <c r="B1795" t="s">
        <v>4278</v>
      </c>
      <c r="C1795">
        <v>0.25</v>
      </c>
      <c r="D1795" t="s">
        <v>11</v>
      </c>
      <c r="E1795" t="s">
        <v>4279</v>
      </c>
      <c r="I1795" t="s">
        <v>654</v>
      </c>
    </row>
    <row r="1796" spans="1:9" x14ac:dyDescent="0.3">
      <c r="A1796" t="s">
        <v>4280</v>
      </c>
      <c r="B1796" t="s">
        <v>4281</v>
      </c>
      <c r="C1796">
        <v>60</v>
      </c>
      <c r="D1796" t="s">
        <v>29</v>
      </c>
      <c r="E1796" t="s">
        <v>281</v>
      </c>
      <c r="I1796" t="s">
        <v>4282</v>
      </c>
    </row>
    <row r="1797" spans="1:9" x14ac:dyDescent="0.3">
      <c r="A1797" t="s">
        <v>4283</v>
      </c>
      <c r="B1797" t="s">
        <v>4284</v>
      </c>
      <c r="C1797">
        <v>25</v>
      </c>
      <c r="E1797" t="s">
        <v>4285</v>
      </c>
    </row>
    <row r="1798" spans="1:9" x14ac:dyDescent="0.3">
      <c r="A1798" t="s">
        <v>4286</v>
      </c>
      <c r="B1798" t="s">
        <v>4287</v>
      </c>
      <c r="C1798">
        <v>50</v>
      </c>
      <c r="E1798" t="s">
        <v>4288</v>
      </c>
      <c r="I1798" t="s">
        <v>4289</v>
      </c>
    </row>
    <row r="1799" spans="1:9" x14ac:dyDescent="0.3">
      <c r="A1799" t="s">
        <v>4290</v>
      </c>
      <c r="B1799" t="s">
        <v>4291</v>
      </c>
      <c r="C1799">
        <v>1</v>
      </c>
      <c r="E1799" t="s">
        <v>4292</v>
      </c>
      <c r="G1799" t="s">
        <v>814</v>
      </c>
      <c r="I1799" t="s">
        <v>20</v>
      </c>
    </row>
    <row r="1800" spans="1:9" x14ac:dyDescent="0.3">
      <c r="A1800" t="s">
        <v>4293</v>
      </c>
      <c r="B1800" t="s">
        <v>4294</v>
      </c>
      <c r="C1800">
        <v>1</v>
      </c>
      <c r="D1800" t="s">
        <v>37</v>
      </c>
      <c r="E1800" t="s">
        <v>38</v>
      </c>
      <c r="F1800" t="s">
        <v>167</v>
      </c>
      <c r="G1800" t="s">
        <v>168</v>
      </c>
    </row>
    <row r="1801" spans="1:9" x14ac:dyDescent="0.3">
      <c r="A1801" t="s">
        <v>4295</v>
      </c>
      <c r="B1801" t="s">
        <v>4296</v>
      </c>
      <c r="C1801">
        <v>0.5</v>
      </c>
      <c r="D1801" t="s">
        <v>37</v>
      </c>
      <c r="E1801" t="s">
        <v>160</v>
      </c>
    </row>
    <row r="1802" spans="1:9" x14ac:dyDescent="0.3">
      <c r="A1802" t="s">
        <v>2603</v>
      </c>
      <c r="B1802" t="s">
        <v>1371</v>
      </c>
      <c r="C1802">
        <v>0.5</v>
      </c>
      <c r="D1802" t="s">
        <v>23</v>
      </c>
      <c r="E1802" t="s">
        <v>199</v>
      </c>
    </row>
    <row r="1803" spans="1:9" x14ac:dyDescent="0.3">
      <c r="A1803" t="s">
        <v>4297</v>
      </c>
      <c r="B1803" t="s">
        <v>660</v>
      </c>
      <c r="E1803" t="s">
        <v>660</v>
      </c>
    </row>
    <row r="1804" spans="1:9" x14ac:dyDescent="0.3">
      <c r="A1804" t="s">
        <v>1051</v>
      </c>
      <c r="B1804" t="s">
        <v>2264</v>
      </c>
      <c r="D1804" t="s">
        <v>585</v>
      </c>
      <c r="E1804" t="s">
        <v>1056</v>
      </c>
    </row>
    <row r="1805" spans="1:9" x14ac:dyDescent="0.3">
      <c r="A1805" t="s">
        <v>4298</v>
      </c>
      <c r="B1805" t="s">
        <v>4299</v>
      </c>
      <c r="C1805">
        <v>2</v>
      </c>
      <c r="D1805" t="s">
        <v>23</v>
      </c>
      <c r="E1805" t="s">
        <v>98</v>
      </c>
    </row>
    <row r="1806" spans="1:9" x14ac:dyDescent="0.3">
      <c r="A1806" t="s">
        <v>4300</v>
      </c>
      <c r="B1806" t="s">
        <v>4301</v>
      </c>
      <c r="C1806">
        <v>0.5</v>
      </c>
      <c r="D1806" t="s">
        <v>11</v>
      </c>
      <c r="E1806" t="s">
        <v>4302</v>
      </c>
    </row>
    <row r="1807" spans="1:9" x14ac:dyDescent="0.3">
      <c r="A1807" t="s">
        <v>4303</v>
      </c>
      <c r="B1807" t="s">
        <v>4304</v>
      </c>
      <c r="D1807" t="s">
        <v>1281</v>
      </c>
      <c r="E1807" t="s">
        <v>163</v>
      </c>
    </row>
    <row r="1808" spans="1:9" x14ac:dyDescent="0.3">
      <c r="A1808" t="s">
        <v>3191</v>
      </c>
      <c r="B1808" t="s">
        <v>4305</v>
      </c>
      <c r="C1808">
        <v>10</v>
      </c>
      <c r="E1808" t="s">
        <v>4306</v>
      </c>
    </row>
    <row r="1809" spans="1:9" x14ac:dyDescent="0.3">
      <c r="A1809" t="s">
        <v>4307</v>
      </c>
      <c r="B1809" t="s">
        <v>1418</v>
      </c>
      <c r="C1809">
        <v>1</v>
      </c>
      <c r="D1809" t="s">
        <v>426</v>
      </c>
      <c r="E1809" t="s">
        <v>317</v>
      </c>
    </row>
    <row r="1810" spans="1:9" x14ac:dyDescent="0.3">
      <c r="A1810" t="s">
        <v>4308</v>
      </c>
      <c r="B1810" t="s">
        <v>2138</v>
      </c>
      <c r="E1810" t="s">
        <v>2138</v>
      </c>
    </row>
    <row r="1811" spans="1:9" x14ac:dyDescent="0.3">
      <c r="A1811" t="s">
        <v>4309</v>
      </c>
      <c r="B1811" t="s">
        <v>4310</v>
      </c>
      <c r="C1811">
        <v>0.5</v>
      </c>
      <c r="D1811" t="s">
        <v>4311</v>
      </c>
      <c r="E1811" t="s">
        <v>4312</v>
      </c>
      <c r="I1811" t="s">
        <v>4313</v>
      </c>
    </row>
    <row r="1812" spans="1:9" x14ac:dyDescent="0.3">
      <c r="A1812" t="s">
        <v>4314</v>
      </c>
      <c r="B1812" t="s">
        <v>4134</v>
      </c>
      <c r="C1812">
        <v>1</v>
      </c>
      <c r="D1812" t="s">
        <v>23</v>
      </c>
      <c r="E1812" t="s">
        <v>233</v>
      </c>
      <c r="I1812" t="s">
        <v>289</v>
      </c>
    </row>
    <row r="1813" spans="1:9" x14ac:dyDescent="0.3">
      <c r="A1813" t="s">
        <v>4315</v>
      </c>
      <c r="B1813" t="s">
        <v>3910</v>
      </c>
      <c r="C1813">
        <v>3</v>
      </c>
      <c r="D1813" t="s">
        <v>23</v>
      </c>
      <c r="E1813" t="s">
        <v>3911</v>
      </c>
    </row>
    <row r="1814" spans="1:9" x14ac:dyDescent="0.3">
      <c r="A1814" t="s">
        <v>3339</v>
      </c>
      <c r="B1814" t="s">
        <v>4316</v>
      </c>
      <c r="C1814">
        <v>3</v>
      </c>
      <c r="D1814" t="s">
        <v>71</v>
      </c>
      <c r="E1814" t="s">
        <v>4317</v>
      </c>
    </row>
    <row r="1815" spans="1:9" x14ac:dyDescent="0.3">
      <c r="A1815" t="s">
        <v>2545</v>
      </c>
      <c r="B1815" t="s">
        <v>4318</v>
      </c>
      <c r="C1815">
        <v>2</v>
      </c>
      <c r="D1815" t="s">
        <v>23</v>
      </c>
      <c r="E1815" t="s">
        <v>4319</v>
      </c>
    </row>
    <row r="1816" spans="1:9" x14ac:dyDescent="0.3">
      <c r="A1816" t="s">
        <v>4320</v>
      </c>
      <c r="B1816" t="s">
        <v>4321</v>
      </c>
      <c r="C1816">
        <v>1</v>
      </c>
      <c r="D1816" t="s">
        <v>361</v>
      </c>
      <c r="E1816" t="s">
        <v>4322</v>
      </c>
      <c r="F1816" t="s">
        <v>4323</v>
      </c>
      <c r="I1816" t="s">
        <v>4324</v>
      </c>
    </row>
    <row r="1817" spans="1:9" x14ac:dyDescent="0.3">
      <c r="A1817" t="s">
        <v>4325</v>
      </c>
      <c r="B1817" t="s">
        <v>4326</v>
      </c>
      <c r="C1817">
        <v>0.75</v>
      </c>
      <c r="D1817" t="s">
        <v>23</v>
      </c>
      <c r="E1817" t="s">
        <v>112</v>
      </c>
    </row>
    <row r="1818" spans="1:9" x14ac:dyDescent="0.3">
      <c r="A1818" t="s">
        <v>4327</v>
      </c>
      <c r="B1818" t="s">
        <v>4328</v>
      </c>
      <c r="C1818">
        <v>2</v>
      </c>
      <c r="D1818" t="s">
        <v>23</v>
      </c>
      <c r="E1818" t="s">
        <v>338</v>
      </c>
    </row>
    <row r="1819" spans="1:9" x14ac:dyDescent="0.3">
      <c r="A1819" t="s">
        <v>4329</v>
      </c>
      <c r="B1819" t="s">
        <v>4330</v>
      </c>
      <c r="C1819">
        <v>1</v>
      </c>
      <c r="E1819" t="s">
        <v>4331</v>
      </c>
    </row>
    <row r="1820" spans="1:9" x14ac:dyDescent="0.3">
      <c r="A1820" t="s">
        <v>4332</v>
      </c>
      <c r="B1820" t="s">
        <v>4333</v>
      </c>
      <c r="C1820">
        <v>1</v>
      </c>
      <c r="D1820" t="s">
        <v>23</v>
      </c>
      <c r="E1820" t="s">
        <v>4334</v>
      </c>
      <c r="I1820" t="s">
        <v>289</v>
      </c>
    </row>
    <row r="1821" spans="1:9" x14ac:dyDescent="0.3">
      <c r="A1821" t="s">
        <v>4335</v>
      </c>
      <c r="B1821" t="s">
        <v>4336</v>
      </c>
      <c r="C1821">
        <v>0.25</v>
      </c>
      <c r="D1821" t="s">
        <v>23</v>
      </c>
      <c r="E1821" t="s">
        <v>4337</v>
      </c>
    </row>
    <row r="1822" spans="1:9" x14ac:dyDescent="0.3">
      <c r="A1822" t="s">
        <v>4338</v>
      </c>
      <c r="B1822" t="s">
        <v>4339</v>
      </c>
      <c r="C1822">
        <v>0.5</v>
      </c>
      <c r="D1822" t="s">
        <v>37</v>
      </c>
      <c r="E1822" t="s">
        <v>4340</v>
      </c>
    </row>
    <row r="1823" spans="1:9" x14ac:dyDescent="0.3">
      <c r="A1823" t="s">
        <v>1803</v>
      </c>
      <c r="B1823" t="s">
        <v>1269</v>
      </c>
      <c r="C1823">
        <v>1</v>
      </c>
      <c r="D1823" t="s">
        <v>23</v>
      </c>
      <c r="E1823" t="s">
        <v>380</v>
      </c>
    </row>
    <row r="1824" spans="1:9" x14ac:dyDescent="0.3">
      <c r="A1824" t="s">
        <v>4341</v>
      </c>
      <c r="B1824" t="s">
        <v>319</v>
      </c>
      <c r="C1824">
        <v>3</v>
      </c>
      <c r="D1824" t="s">
        <v>23</v>
      </c>
      <c r="E1824" t="s">
        <v>320</v>
      </c>
    </row>
    <row r="1825" spans="1:9" x14ac:dyDescent="0.3">
      <c r="A1825" t="s">
        <v>2176</v>
      </c>
      <c r="B1825" t="s">
        <v>4342</v>
      </c>
      <c r="E1825" t="s">
        <v>190</v>
      </c>
      <c r="I1825" t="s">
        <v>4343</v>
      </c>
    </row>
    <row r="1826" spans="1:9" x14ac:dyDescent="0.3">
      <c r="A1826" t="s">
        <v>4344</v>
      </c>
      <c r="B1826" t="s">
        <v>4345</v>
      </c>
      <c r="C1826">
        <v>15</v>
      </c>
      <c r="D1826" t="s">
        <v>4211</v>
      </c>
      <c r="E1826" t="s">
        <v>30</v>
      </c>
    </row>
    <row r="1827" spans="1:9" x14ac:dyDescent="0.3">
      <c r="A1827" t="s">
        <v>3466</v>
      </c>
      <c r="B1827" t="s">
        <v>4346</v>
      </c>
      <c r="C1827">
        <v>10</v>
      </c>
      <c r="D1827" t="s">
        <v>29</v>
      </c>
      <c r="E1827" t="s">
        <v>423</v>
      </c>
    </row>
    <row r="1828" spans="1:9" x14ac:dyDescent="0.3">
      <c r="A1828" t="s">
        <v>4347</v>
      </c>
      <c r="B1828" t="s">
        <v>2809</v>
      </c>
      <c r="C1828">
        <v>1</v>
      </c>
      <c r="D1828" t="s">
        <v>1671</v>
      </c>
      <c r="E1828" t="s">
        <v>152</v>
      </c>
      <c r="I1828" t="s">
        <v>248</v>
      </c>
    </row>
    <row r="1829" spans="1:9" x14ac:dyDescent="0.3">
      <c r="A1829" t="s">
        <v>4348</v>
      </c>
      <c r="B1829" t="s">
        <v>4349</v>
      </c>
      <c r="C1829">
        <v>50</v>
      </c>
      <c r="D1829" t="s">
        <v>29</v>
      </c>
      <c r="E1829" t="s">
        <v>4350</v>
      </c>
    </row>
    <row r="1830" spans="1:9" x14ac:dyDescent="0.3">
      <c r="A1830" t="s">
        <v>4351</v>
      </c>
      <c r="B1830" t="s">
        <v>4352</v>
      </c>
      <c r="C1830">
        <v>150</v>
      </c>
      <c r="D1830" t="s">
        <v>29</v>
      </c>
      <c r="E1830" t="s">
        <v>3366</v>
      </c>
    </row>
    <row r="1831" spans="1:9" x14ac:dyDescent="0.3">
      <c r="A1831" t="s">
        <v>4353</v>
      </c>
      <c r="B1831" t="s">
        <v>333</v>
      </c>
      <c r="E1831" t="s">
        <v>333</v>
      </c>
    </row>
    <row r="1832" spans="1:9" x14ac:dyDescent="0.3">
      <c r="A1832" t="s">
        <v>4354</v>
      </c>
      <c r="B1832" t="s">
        <v>988</v>
      </c>
      <c r="C1832">
        <v>0.5</v>
      </c>
      <c r="D1832" t="s">
        <v>23</v>
      </c>
      <c r="E1832" t="s">
        <v>81</v>
      </c>
    </row>
    <row r="1833" spans="1:9" x14ac:dyDescent="0.3">
      <c r="A1833" t="s">
        <v>4355</v>
      </c>
      <c r="B1833" t="s">
        <v>4356</v>
      </c>
      <c r="C1833">
        <v>2</v>
      </c>
      <c r="D1833" t="s">
        <v>4357</v>
      </c>
      <c r="E1833" t="s">
        <v>638</v>
      </c>
    </row>
    <row r="1834" spans="1:9" x14ac:dyDescent="0.3">
      <c r="A1834" t="s">
        <v>1603</v>
      </c>
      <c r="B1834" t="s">
        <v>4358</v>
      </c>
      <c r="C1834">
        <v>1</v>
      </c>
      <c r="D1834" t="s">
        <v>37</v>
      </c>
      <c r="E1834" t="s">
        <v>979</v>
      </c>
    </row>
    <row r="1835" spans="1:9" x14ac:dyDescent="0.3">
      <c r="A1835" t="s">
        <v>2430</v>
      </c>
      <c r="B1835" t="s">
        <v>4359</v>
      </c>
      <c r="E1835" t="s">
        <v>4359</v>
      </c>
    </row>
    <row r="1836" spans="1:9" x14ac:dyDescent="0.3">
      <c r="A1836" t="s">
        <v>4360</v>
      </c>
      <c r="B1836" t="s">
        <v>4361</v>
      </c>
      <c r="C1836">
        <v>1</v>
      </c>
      <c r="D1836" t="s">
        <v>11</v>
      </c>
      <c r="E1836" t="s">
        <v>587</v>
      </c>
    </row>
    <row r="1837" spans="1:9" x14ac:dyDescent="0.3">
      <c r="A1837" t="s">
        <v>4362</v>
      </c>
      <c r="B1837" t="s">
        <v>4363</v>
      </c>
      <c r="C1837">
        <v>6</v>
      </c>
      <c r="D1837" t="s">
        <v>473</v>
      </c>
      <c r="E1837" t="s">
        <v>4364</v>
      </c>
    </row>
    <row r="1838" spans="1:9" x14ac:dyDescent="0.3">
      <c r="A1838" t="s">
        <v>4365</v>
      </c>
      <c r="B1838" t="s">
        <v>4366</v>
      </c>
      <c r="C1838">
        <v>37.5</v>
      </c>
      <c r="D1838" t="s">
        <v>29</v>
      </c>
      <c r="E1838" t="s">
        <v>233</v>
      </c>
    </row>
    <row r="1839" spans="1:9" x14ac:dyDescent="0.3">
      <c r="A1839" t="s">
        <v>4367</v>
      </c>
      <c r="B1839" t="s">
        <v>1179</v>
      </c>
      <c r="C1839">
        <v>1</v>
      </c>
      <c r="D1839" t="s">
        <v>23</v>
      </c>
      <c r="E1839" t="s">
        <v>233</v>
      </c>
    </row>
    <row r="1840" spans="1:9" x14ac:dyDescent="0.3">
      <c r="A1840" t="s">
        <v>4368</v>
      </c>
      <c r="B1840" t="s">
        <v>4369</v>
      </c>
      <c r="C1840">
        <v>1</v>
      </c>
      <c r="D1840" t="s">
        <v>2210</v>
      </c>
      <c r="E1840" t="s">
        <v>233</v>
      </c>
    </row>
    <row r="1841" spans="1:9" x14ac:dyDescent="0.3">
      <c r="A1841" t="s">
        <v>1623</v>
      </c>
      <c r="B1841" t="s">
        <v>3772</v>
      </c>
      <c r="C1841">
        <v>2</v>
      </c>
      <c r="D1841" t="s">
        <v>91</v>
      </c>
      <c r="E1841" t="s">
        <v>1003</v>
      </c>
    </row>
    <row r="1842" spans="1:9" x14ac:dyDescent="0.3">
      <c r="A1842" t="s">
        <v>4370</v>
      </c>
      <c r="B1842" t="s">
        <v>4371</v>
      </c>
      <c r="C1842">
        <v>2</v>
      </c>
      <c r="D1842" t="s">
        <v>345</v>
      </c>
      <c r="E1842" t="s">
        <v>160</v>
      </c>
    </row>
    <row r="1843" spans="1:9" x14ac:dyDescent="0.3">
      <c r="A1843" t="s">
        <v>4372</v>
      </c>
      <c r="B1843" t="s">
        <v>4373</v>
      </c>
      <c r="C1843">
        <v>2</v>
      </c>
      <c r="D1843" t="s">
        <v>91</v>
      </c>
      <c r="E1843" t="s">
        <v>4374</v>
      </c>
      <c r="I1843" t="s">
        <v>4375</v>
      </c>
    </row>
    <row r="1844" spans="1:9" x14ac:dyDescent="0.3">
      <c r="A1844" t="s">
        <v>4376</v>
      </c>
      <c r="B1844" t="s">
        <v>1274</v>
      </c>
      <c r="C1844">
        <v>0.75</v>
      </c>
      <c r="D1844" t="s">
        <v>11</v>
      </c>
      <c r="E1844" t="s">
        <v>88</v>
      </c>
    </row>
    <row r="1845" spans="1:9" x14ac:dyDescent="0.3">
      <c r="A1845" t="s">
        <v>3970</v>
      </c>
      <c r="B1845" t="s">
        <v>4377</v>
      </c>
      <c r="C1845">
        <v>5</v>
      </c>
      <c r="E1845" t="s">
        <v>950</v>
      </c>
      <c r="I1845" t="s">
        <v>951</v>
      </c>
    </row>
    <row r="1846" spans="1:9" x14ac:dyDescent="0.3">
      <c r="A1846" t="s">
        <v>4378</v>
      </c>
      <c r="B1846" t="s">
        <v>333</v>
      </c>
      <c r="E1846" t="s">
        <v>333</v>
      </c>
    </row>
    <row r="1847" spans="1:9" x14ac:dyDescent="0.3">
      <c r="A1847" t="s">
        <v>4379</v>
      </c>
      <c r="B1847" t="s">
        <v>4380</v>
      </c>
      <c r="C1847">
        <v>3</v>
      </c>
      <c r="D1847" t="s">
        <v>23</v>
      </c>
      <c r="E1847" t="s">
        <v>64</v>
      </c>
    </row>
    <row r="1848" spans="1:9" x14ac:dyDescent="0.3">
      <c r="A1848" t="s">
        <v>4381</v>
      </c>
      <c r="B1848" t="s">
        <v>4382</v>
      </c>
      <c r="E1848" t="s">
        <v>2166</v>
      </c>
      <c r="F1848" t="s">
        <v>4383</v>
      </c>
      <c r="G1848" t="s">
        <v>168</v>
      </c>
      <c r="I1848" t="s">
        <v>432</v>
      </c>
    </row>
    <row r="1849" spans="1:9" x14ac:dyDescent="0.3">
      <c r="A1849" t="s">
        <v>4384</v>
      </c>
      <c r="B1849" t="s">
        <v>1002</v>
      </c>
      <c r="C1849">
        <v>2</v>
      </c>
      <c r="D1849" t="s">
        <v>23</v>
      </c>
      <c r="E1849" t="s">
        <v>1003</v>
      </c>
    </row>
    <row r="1850" spans="1:9" x14ac:dyDescent="0.3">
      <c r="A1850" t="s">
        <v>4385</v>
      </c>
      <c r="B1850" t="s">
        <v>4386</v>
      </c>
      <c r="C1850">
        <v>50</v>
      </c>
      <c r="E1850" t="s">
        <v>4387</v>
      </c>
    </row>
    <row r="1851" spans="1:9" x14ac:dyDescent="0.3">
      <c r="A1851" t="s">
        <v>4388</v>
      </c>
      <c r="B1851" t="s">
        <v>4389</v>
      </c>
      <c r="D1851" t="s">
        <v>33</v>
      </c>
      <c r="E1851" t="s">
        <v>1056</v>
      </c>
      <c r="I1851" t="s">
        <v>4390</v>
      </c>
    </row>
    <row r="1852" spans="1:9" x14ac:dyDescent="0.3">
      <c r="A1852" t="s">
        <v>2968</v>
      </c>
      <c r="B1852" t="s">
        <v>4391</v>
      </c>
      <c r="C1852">
        <v>1</v>
      </c>
      <c r="D1852" t="s">
        <v>18</v>
      </c>
      <c r="E1852" t="s">
        <v>672</v>
      </c>
      <c r="I1852" t="s">
        <v>4392</v>
      </c>
    </row>
    <row r="1853" spans="1:9" x14ac:dyDescent="0.3">
      <c r="A1853" t="s">
        <v>4393</v>
      </c>
      <c r="B1853" t="s">
        <v>4394</v>
      </c>
      <c r="C1853">
        <v>1</v>
      </c>
      <c r="D1853" t="s">
        <v>23</v>
      </c>
      <c r="E1853" t="s">
        <v>355</v>
      </c>
    </row>
    <row r="1854" spans="1:9" x14ac:dyDescent="0.3">
      <c r="A1854" t="s">
        <v>2435</v>
      </c>
      <c r="B1854" t="s">
        <v>4395</v>
      </c>
      <c r="C1854">
        <v>1</v>
      </c>
      <c r="D1854" t="s">
        <v>23</v>
      </c>
      <c r="E1854" t="s">
        <v>102</v>
      </c>
    </row>
    <row r="1855" spans="1:9" x14ac:dyDescent="0.3">
      <c r="A1855" t="s">
        <v>961</v>
      </c>
      <c r="B1855" t="s">
        <v>4396</v>
      </c>
      <c r="C1855">
        <v>3</v>
      </c>
      <c r="D1855" t="s">
        <v>91</v>
      </c>
      <c r="E1855" t="s">
        <v>4397</v>
      </c>
      <c r="I1855" t="s">
        <v>20</v>
      </c>
    </row>
    <row r="1856" spans="1:9" x14ac:dyDescent="0.3">
      <c r="A1856" t="s">
        <v>4398</v>
      </c>
      <c r="B1856" t="s">
        <v>4399</v>
      </c>
      <c r="C1856">
        <v>3</v>
      </c>
      <c r="D1856" t="s">
        <v>176</v>
      </c>
      <c r="E1856" t="s">
        <v>4400</v>
      </c>
    </row>
    <row r="1857" spans="1:9" x14ac:dyDescent="0.3">
      <c r="A1857" t="s">
        <v>4401</v>
      </c>
      <c r="B1857" t="s">
        <v>4402</v>
      </c>
      <c r="C1857">
        <v>1</v>
      </c>
      <c r="D1857" t="s">
        <v>270</v>
      </c>
      <c r="E1857" t="s">
        <v>4403</v>
      </c>
      <c r="I1857" t="s">
        <v>3746</v>
      </c>
    </row>
    <row r="1858" spans="1:9" x14ac:dyDescent="0.3">
      <c r="A1858" t="s">
        <v>4404</v>
      </c>
      <c r="B1858" t="s">
        <v>1463</v>
      </c>
      <c r="E1858" t="s">
        <v>1463</v>
      </c>
    </row>
    <row r="1859" spans="1:9" x14ac:dyDescent="0.3">
      <c r="A1859" t="s">
        <v>4405</v>
      </c>
      <c r="B1859" t="s">
        <v>4406</v>
      </c>
      <c r="C1859">
        <v>1</v>
      </c>
      <c r="D1859" t="s">
        <v>752</v>
      </c>
      <c r="E1859" t="s">
        <v>4407</v>
      </c>
    </row>
    <row r="1860" spans="1:9" x14ac:dyDescent="0.3">
      <c r="A1860" t="s">
        <v>4408</v>
      </c>
      <c r="B1860" t="s">
        <v>4409</v>
      </c>
      <c r="C1860">
        <v>0.25</v>
      </c>
      <c r="D1860" t="s">
        <v>23</v>
      </c>
      <c r="E1860" t="s">
        <v>4410</v>
      </c>
    </row>
    <row r="1861" spans="1:9" x14ac:dyDescent="0.3">
      <c r="A1861" t="s">
        <v>2748</v>
      </c>
      <c r="B1861" t="s">
        <v>80</v>
      </c>
      <c r="C1861">
        <v>0.5</v>
      </c>
      <c r="D1861" t="s">
        <v>37</v>
      </c>
      <c r="E1861" t="s">
        <v>81</v>
      </c>
    </row>
    <row r="1862" spans="1:9" x14ac:dyDescent="0.3">
      <c r="A1862" t="s">
        <v>4411</v>
      </c>
      <c r="B1862" t="s">
        <v>4412</v>
      </c>
      <c r="C1862">
        <v>0.75</v>
      </c>
      <c r="D1862" t="s">
        <v>23</v>
      </c>
      <c r="E1862" t="s">
        <v>233</v>
      </c>
    </row>
    <row r="1863" spans="1:9" x14ac:dyDescent="0.3">
      <c r="A1863" t="s">
        <v>4413</v>
      </c>
      <c r="B1863" t="s">
        <v>4414</v>
      </c>
      <c r="C1863">
        <v>1</v>
      </c>
      <c r="D1863" t="s">
        <v>18</v>
      </c>
      <c r="E1863" t="s">
        <v>4415</v>
      </c>
      <c r="I1863" t="s">
        <v>4416</v>
      </c>
    </row>
    <row r="1864" spans="1:9" x14ac:dyDescent="0.3">
      <c r="A1864" t="s">
        <v>4417</v>
      </c>
      <c r="B1864" t="s">
        <v>4418</v>
      </c>
      <c r="C1864">
        <v>0.75</v>
      </c>
      <c r="D1864" t="s">
        <v>37</v>
      </c>
      <c r="E1864" t="s">
        <v>1047</v>
      </c>
    </row>
    <row r="1865" spans="1:9" x14ac:dyDescent="0.3">
      <c r="A1865" t="s">
        <v>161</v>
      </c>
      <c r="B1865" t="s">
        <v>4419</v>
      </c>
      <c r="E1865" t="s">
        <v>4420</v>
      </c>
      <c r="I1865" t="s">
        <v>4421</v>
      </c>
    </row>
    <row r="1866" spans="1:9" x14ac:dyDescent="0.3">
      <c r="A1866" t="s">
        <v>4422</v>
      </c>
      <c r="B1866" t="s">
        <v>379</v>
      </c>
      <c r="C1866">
        <v>2</v>
      </c>
      <c r="D1866" t="s">
        <v>23</v>
      </c>
      <c r="E1866" t="s">
        <v>380</v>
      </c>
    </row>
    <row r="1867" spans="1:9" x14ac:dyDescent="0.3">
      <c r="A1867" t="s">
        <v>4423</v>
      </c>
      <c r="B1867" t="s">
        <v>4134</v>
      </c>
      <c r="C1867">
        <v>1</v>
      </c>
      <c r="D1867" t="s">
        <v>23</v>
      </c>
      <c r="E1867" t="s">
        <v>233</v>
      </c>
      <c r="I1867" t="s">
        <v>289</v>
      </c>
    </row>
    <row r="1868" spans="1:9" x14ac:dyDescent="0.3">
      <c r="A1868" t="s">
        <v>4424</v>
      </c>
      <c r="B1868" t="s">
        <v>4425</v>
      </c>
      <c r="C1868">
        <v>0.5</v>
      </c>
      <c r="D1868" t="s">
        <v>23</v>
      </c>
      <c r="E1868" t="s">
        <v>3981</v>
      </c>
    </row>
    <row r="1869" spans="1:9" x14ac:dyDescent="0.3">
      <c r="A1869" t="s">
        <v>4426</v>
      </c>
      <c r="B1869" t="s">
        <v>4427</v>
      </c>
      <c r="C1869">
        <v>1</v>
      </c>
      <c r="D1869" t="s">
        <v>151</v>
      </c>
      <c r="E1869" t="s">
        <v>518</v>
      </c>
      <c r="I1869" t="s">
        <v>248</v>
      </c>
    </row>
    <row r="1870" spans="1:9" x14ac:dyDescent="0.3">
      <c r="A1870" t="s">
        <v>4428</v>
      </c>
      <c r="B1870" t="s">
        <v>2677</v>
      </c>
      <c r="C1870">
        <v>1.5</v>
      </c>
      <c r="D1870" t="s">
        <v>23</v>
      </c>
      <c r="E1870" t="s">
        <v>2678</v>
      </c>
    </row>
    <row r="1871" spans="1:9" x14ac:dyDescent="0.3">
      <c r="A1871" t="s">
        <v>3172</v>
      </c>
      <c r="B1871" t="s">
        <v>4429</v>
      </c>
      <c r="C1871">
        <v>10</v>
      </c>
      <c r="D1871" t="s">
        <v>4430</v>
      </c>
      <c r="E1871" t="s">
        <v>262</v>
      </c>
    </row>
    <row r="1872" spans="1:9" x14ac:dyDescent="0.3">
      <c r="A1872" t="s">
        <v>4431</v>
      </c>
      <c r="B1872" t="s">
        <v>4432</v>
      </c>
      <c r="C1872">
        <v>70</v>
      </c>
      <c r="D1872" t="s">
        <v>29</v>
      </c>
      <c r="E1872" t="s">
        <v>4433</v>
      </c>
    </row>
    <row r="1873" spans="1:9" x14ac:dyDescent="0.3">
      <c r="A1873" t="s">
        <v>1012</v>
      </c>
      <c r="B1873" t="s">
        <v>4434</v>
      </c>
      <c r="C1873">
        <v>3</v>
      </c>
      <c r="D1873" t="s">
        <v>345</v>
      </c>
      <c r="E1873" t="s">
        <v>516</v>
      </c>
    </row>
    <row r="1874" spans="1:9" x14ac:dyDescent="0.3">
      <c r="A1874" t="s">
        <v>4435</v>
      </c>
      <c r="B1874" t="s">
        <v>1187</v>
      </c>
      <c r="C1874">
        <v>1</v>
      </c>
      <c r="D1874" t="s">
        <v>23</v>
      </c>
      <c r="E1874" t="s">
        <v>1188</v>
      </c>
    </row>
    <row r="1875" spans="1:9" x14ac:dyDescent="0.3">
      <c r="A1875" t="s">
        <v>4436</v>
      </c>
      <c r="B1875" t="s">
        <v>4437</v>
      </c>
      <c r="C1875">
        <v>1</v>
      </c>
      <c r="D1875" t="s">
        <v>37</v>
      </c>
      <c r="E1875" t="s">
        <v>2218</v>
      </c>
      <c r="I1875" t="s">
        <v>4438</v>
      </c>
    </row>
    <row r="1876" spans="1:9" x14ac:dyDescent="0.3">
      <c r="A1876" t="s">
        <v>4439</v>
      </c>
      <c r="B1876" t="s">
        <v>4440</v>
      </c>
      <c r="C1876">
        <v>100</v>
      </c>
      <c r="D1876" t="s">
        <v>1998</v>
      </c>
      <c r="E1876" t="s">
        <v>38</v>
      </c>
    </row>
    <row r="1877" spans="1:9" x14ac:dyDescent="0.3">
      <c r="A1877" t="s">
        <v>4441</v>
      </c>
      <c r="B1877" t="s">
        <v>4442</v>
      </c>
      <c r="C1877">
        <v>1</v>
      </c>
      <c r="D1877" t="s">
        <v>23</v>
      </c>
      <c r="E1877" t="s">
        <v>30</v>
      </c>
    </row>
    <row r="1878" spans="1:9" x14ac:dyDescent="0.3">
      <c r="A1878" t="s">
        <v>4443</v>
      </c>
      <c r="B1878" t="s">
        <v>4444</v>
      </c>
      <c r="C1878">
        <v>2</v>
      </c>
      <c r="D1878" t="s">
        <v>91</v>
      </c>
      <c r="E1878" t="s">
        <v>4445</v>
      </c>
      <c r="I1878" t="s">
        <v>20</v>
      </c>
    </row>
    <row r="1879" spans="1:9" x14ac:dyDescent="0.3">
      <c r="A1879" t="s">
        <v>4446</v>
      </c>
      <c r="B1879" t="s">
        <v>4447</v>
      </c>
      <c r="C1879">
        <v>4</v>
      </c>
      <c r="D1879" t="s">
        <v>23</v>
      </c>
      <c r="E1879" t="s">
        <v>1003</v>
      </c>
    </row>
    <row r="1880" spans="1:9" x14ac:dyDescent="0.3">
      <c r="A1880" t="s">
        <v>3442</v>
      </c>
      <c r="B1880" t="s">
        <v>4448</v>
      </c>
      <c r="C1880">
        <v>1</v>
      </c>
      <c r="D1880" t="s">
        <v>23</v>
      </c>
      <c r="E1880" t="s">
        <v>587</v>
      </c>
      <c r="I1880" t="s">
        <v>289</v>
      </c>
    </row>
    <row r="1881" spans="1:9" x14ac:dyDescent="0.3">
      <c r="A1881" t="s">
        <v>4449</v>
      </c>
      <c r="B1881" t="s">
        <v>4450</v>
      </c>
      <c r="C1881">
        <v>1</v>
      </c>
      <c r="D1881" t="s">
        <v>11</v>
      </c>
      <c r="E1881" t="s">
        <v>4451</v>
      </c>
    </row>
    <row r="1882" spans="1:9" x14ac:dyDescent="0.3">
      <c r="A1882" t="s">
        <v>4452</v>
      </c>
      <c r="B1882" t="s">
        <v>4453</v>
      </c>
      <c r="C1882">
        <v>6</v>
      </c>
      <c r="D1882" t="s">
        <v>23</v>
      </c>
      <c r="E1882" t="s">
        <v>253</v>
      </c>
    </row>
    <row r="1883" spans="1:9" x14ac:dyDescent="0.3">
      <c r="A1883" t="s">
        <v>4454</v>
      </c>
      <c r="B1883" t="s">
        <v>4455</v>
      </c>
      <c r="C1883">
        <v>50</v>
      </c>
      <c r="E1883" t="s">
        <v>3990</v>
      </c>
      <c r="I1883" t="s">
        <v>4456</v>
      </c>
    </row>
    <row r="1884" spans="1:9" x14ac:dyDescent="0.3">
      <c r="A1884" t="s">
        <v>4457</v>
      </c>
      <c r="B1884" t="s">
        <v>4458</v>
      </c>
      <c r="C1884">
        <v>0.5</v>
      </c>
      <c r="D1884" t="s">
        <v>37</v>
      </c>
      <c r="E1884" t="s">
        <v>38</v>
      </c>
    </row>
    <row r="1885" spans="1:9" x14ac:dyDescent="0.3">
      <c r="A1885" t="s">
        <v>4459</v>
      </c>
      <c r="B1885" t="s">
        <v>4460</v>
      </c>
      <c r="C1885">
        <v>8</v>
      </c>
      <c r="D1885" t="s">
        <v>23</v>
      </c>
      <c r="E1885" t="s">
        <v>2138</v>
      </c>
    </row>
    <row r="1886" spans="1:9" x14ac:dyDescent="0.3">
      <c r="A1886" t="s">
        <v>4461</v>
      </c>
      <c r="B1886" t="s">
        <v>272</v>
      </c>
      <c r="C1886">
        <v>0.5</v>
      </c>
      <c r="D1886" t="s">
        <v>23</v>
      </c>
      <c r="E1886" t="s">
        <v>265</v>
      </c>
    </row>
    <row r="1887" spans="1:9" x14ac:dyDescent="0.3">
      <c r="A1887" t="s">
        <v>4462</v>
      </c>
      <c r="B1887" t="s">
        <v>4463</v>
      </c>
      <c r="C1887">
        <v>1</v>
      </c>
      <c r="D1887" t="s">
        <v>23</v>
      </c>
      <c r="E1887" t="s">
        <v>4464</v>
      </c>
      <c r="I1887" t="s">
        <v>4465</v>
      </c>
    </row>
    <row r="1888" spans="1:9" x14ac:dyDescent="0.3">
      <c r="A1888" t="s">
        <v>4466</v>
      </c>
      <c r="B1888" t="s">
        <v>4467</v>
      </c>
      <c r="C1888">
        <v>0.5</v>
      </c>
      <c r="D1888" t="s">
        <v>23</v>
      </c>
      <c r="E1888" t="s">
        <v>936</v>
      </c>
    </row>
    <row r="1889" spans="1:9" x14ac:dyDescent="0.3">
      <c r="A1889" t="s">
        <v>4468</v>
      </c>
      <c r="B1889" t="s">
        <v>4469</v>
      </c>
      <c r="C1889">
        <v>15</v>
      </c>
      <c r="D1889" t="s">
        <v>29</v>
      </c>
      <c r="E1889" t="s">
        <v>4470</v>
      </c>
    </row>
    <row r="1890" spans="1:9" x14ac:dyDescent="0.3">
      <c r="A1890" t="s">
        <v>4471</v>
      </c>
      <c r="B1890" t="s">
        <v>4472</v>
      </c>
      <c r="C1890">
        <v>0.25</v>
      </c>
      <c r="D1890" t="s">
        <v>284</v>
      </c>
      <c r="E1890" t="s">
        <v>2599</v>
      </c>
      <c r="I1890" t="s">
        <v>4473</v>
      </c>
    </row>
    <row r="1891" spans="1:9" x14ac:dyDescent="0.3">
      <c r="A1891" t="s">
        <v>4474</v>
      </c>
      <c r="B1891" t="s">
        <v>879</v>
      </c>
      <c r="C1891">
        <v>1</v>
      </c>
      <c r="D1891" t="s">
        <v>23</v>
      </c>
      <c r="E1891" t="s">
        <v>880</v>
      </c>
    </row>
    <row r="1892" spans="1:9" x14ac:dyDescent="0.3">
      <c r="A1892" t="s">
        <v>4475</v>
      </c>
      <c r="B1892" t="s">
        <v>2946</v>
      </c>
      <c r="C1892">
        <v>0.5</v>
      </c>
      <c r="D1892" t="s">
        <v>23</v>
      </c>
      <c r="E1892" t="s">
        <v>1084</v>
      </c>
    </row>
    <row r="1893" spans="1:9" x14ac:dyDescent="0.3">
      <c r="A1893" t="s">
        <v>4476</v>
      </c>
      <c r="B1893" t="s">
        <v>4477</v>
      </c>
      <c r="C1893">
        <v>1</v>
      </c>
      <c r="D1893" t="s">
        <v>1338</v>
      </c>
      <c r="E1893" t="s">
        <v>4478</v>
      </c>
    </row>
    <row r="1894" spans="1:9" x14ac:dyDescent="0.3">
      <c r="A1894" t="s">
        <v>4479</v>
      </c>
      <c r="B1894" t="s">
        <v>4480</v>
      </c>
      <c r="C1894">
        <v>3</v>
      </c>
      <c r="D1894" t="s">
        <v>23</v>
      </c>
      <c r="E1894" t="s">
        <v>98</v>
      </c>
      <c r="I1894" t="s">
        <v>289</v>
      </c>
    </row>
    <row r="1895" spans="1:9" x14ac:dyDescent="0.3">
      <c r="A1895" t="s">
        <v>4481</v>
      </c>
      <c r="B1895" t="s">
        <v>3459</v>
      </c>
      <c r="C1895">
        <v>0.5</v>
      </c>
      <c r="D1895" t="s">
        <v>23</v>
      </c>
      <c r="E1895" t="s">
        <v>3460</v>
      </c>
      <c r="I1895" t="s">
        <v>289</v>
      </c>
    </row>
    <row r="1896" spans="1:9" x14ac:dyDescent="0.3">
      <c r="A1896" t="s">
        <v>4482</v>
      </c>
      <c r="B1896" t="s">
        <v>4483</v>
      </c>
      <c r="C1896">
        <v>4</v>
      </c>
      <c r="D1896" t="s">
        <v>227</v>
      </c>
      <c r="E1896" t="s">
        <v>4484</v>
      </c>
      <c r="G1896" t="s">
        <v>68</v>
      </c>
      <c r="I1896" t="s">
        <v>4485</v>
      </c>
    </row>
    <row r="1897" spans="1:9" x14ac:dyDescent="0.3">
      <c r="A1897" t="s">
        <v>4486</v>
      </c>
      <c r="B1897" t="s">
        <v>4487</v>
      </c>
      <c r="C1897">
        <v>25</v>
      </c>
      <c r="E1897" t="s">
        <v>4488</v>
      </c>
    </row>
    <row r="1898" spans="1:9" x14ac:dyDescent="0.3">
      <c r="A1898" t="s">
        <v>4489</v>
      </c>
      <c r="B1898" t="s">
        <v>4490</v>
      </c>
      <c r="C1898">
        <v>0.5</v>
      </c>
      <c r="D1898" t="s">
        <v>37</v>
      </c>
      <c r="E1898" t="s">
        <v>38</v>
      </c>
      <c r="G1898" t="s">
        <v>68</v>
      </c>
    </row>
    <row r="1899" spans="1:9" x14ac:dyDescent="0.3">
      <c r="A1899" t="s">
        <v>4491</v>
      </c>
      <c r="B1899" t="s">
        <v>4492</v>
      </c>
      <c r="C1899">
        <v>1</v>
      </c>
      <c r="D1899" t="s">
        <v>23</v>
      </c>
      <c r="E1899" t="s">
        <v>3447</v>
      </c>
    </row>
    <row r="1900" spans="1:9" x14ac:dyDescent="0.3">
      <c r="A1900" t="s">
        <v>4493</v>
      </c>
      <c r="B1900" t="s">
        <v>4494</v>
      </c>
      <c r="C1900">
        <v>3</v>
      </c>
      <c r="D1900" t="s">
        <v>23</v>
      </c>
      <c r="E1900" t="s">
        <v>1087</v>
      </c>
    </row>
    <row r="1901" spans="1:9" x14ac:dyDescent="0.3">
      <c r="A1901" t="s">
        <v>4495</v>
      </c>
      <c r="B1901" t="s">
        <v>1235</v>
      </c>
      <c r="C1901">
        <v>0.5</v>
      </c>
      <c r="D1901" t="s">
        <v>11</v>
      </c>
      <c r="E1901" t="s">
        <v>88</v>
      </c>
    </row>
    <row r="1902" spans="1:9" x14ac:dyDescent="0.3">
      <c r="A1902" t="s">
        <v>4496</v>
      </c>
      <c r="B1902" t="s">
        <v>4497</v>
      </c>
      <c r="E1902" t="s">
        <v>4498</v>
      </c>
      <c r="I1902" t="s">
        <v>1146</v>
      </c>
    </row>
    <row r="1903" spans="1:9" x14ac:dyDescent="0.3">
      <c r="A1903" t="s">
        <v>4499</v>
      </c>
      <c r="B1903" t="s">
        <v>4500</v>
      </c>
      <c r="C1903">
        <v>0.75</v>
      </c>
      <c r="D1903" t="s">
        <v>284</v>
      </c>
      <c r="E1903" t="s">
        <v>4501</v>
      </c>
      <c r="F1903" t="s">
        <v>4502</v>
      </c>
    </row>
    <row r="1904" spans="1:9" x14ac:dyDescent="0.3">
      <c r="A1904" t="s">
        <v>3601</v>
      </c>
      <c r="B1904" t="s">
        <v>4503</v>
      </c>
      <c r="C1904">
        <v>8</v>
      </c>
      <c r="D1904" t="s">
        <v>23</v>
      </c>
      <c r="E1904" t="s">
        <v>1345</v>
      </c>
    </row>
    <row r="1905" spans="1:9" x14ac:dyDescent="0.3">
      <c r="A1905" t="s">
        <v>4504</v>
      </c>
      <c r="B1905" t="s">
        <v>4505</v>
      </c>
      <c r="C1905">
        <v>1</v>
      </c>
      <c r="D1905" t="s">
        <v>23</v>
      </c>
      <c r="E1905" t="s">
        <v>4506</v>
      </c>
    </row>
    <row r="1906" spans="1:9" x14ac:dyDescent="0.3">
      <c r="A1906" t="s">
        <v>4507</v>
      </c>
      <c r="B1906" t="s">
        <v>4248</v>
      </c>
      <c r="C1906">
        <v>30</v>
      </c>
      <c r="D1906" t="s">
        <v>29</v>
      </c>
      <c r="E1906" t="s">
        <v>380</v>
      </c>
    </row>
    <row r="1907" spans="1:9" x14ac:dyDescent="0.3">
      <c r="A1907" t="s">
        <v>4508</v>
      </c>
      <c r="B1907" t="s">
        <v>4509</v>
      </c>
      <c r="C1907">
        <v>1</v>
      </c>
      <c r="D1907" t="s">
        <v>1785</v>
      </c>
      <c r="E1907" t="s">
        <v>4510</v>
      </c>
    </row>
    <row r="1908" spans="1:9" x14ac:dyDescent="0.3">
      <c r="A1908" t="s">
        <v>4511</v>
      </c>
      <c r="B1908" t="s">
        <v>4512</v>
      </c>
      <c r="C1908">
        <v>4</v>
      </c>
      <c r="D1908" t="s">
        <v>189</v>
      </c>
      <c r="E1908" t="s">
        <v>487</v>
      </c>
    </row>
    <row r="1909" spans="1:9" x14ac:dyDescent="0.3">
      <c r="A1909" t="s">
        <v>4513</v>
      </c>
      <c r="B1909" t="s">
        <v>4514</v>
      </c>
      <c r="C1909">
        <v>2</v>
      </c>
      <c r="D1909" t="s">
        <v>91</v>
      </c>
      <c r="E1909" t="s">
        <v>4515</v>
      </c>
    </row>
    <row r="1910" spans="1:9" x14ac:dyDescent="0.3">
      <c r="A1910" t="s">
        <v>4516</v>
      </c>
      <c r="B1910" t="s">
        <v>4517</v>
      </c>
      <c r="C1910">
        <v>1.5</v>
      </c>
      <c r="D1910" t="s">
        <v>23</v>
      </c>
      <c r="E1910" t="s">
        <v>241</v>
      </c>
    </row>
    <row r="1911" spans="1:9" x14ac:dyDescent="0.3">
      <c r="A1911" t="s">
        <v>4518</v>
      </c>
      <c r="B1911" t="s">
        <v>1505</v>
      </c>
      <c r="C1911">
        <v>0.5</v>
      </c>
      <c r="D1911" t="s">
        <v>23</v>
      </c>
      <c r="E1911" t="s">
        <v>1506</v>
      </c>
    </row>
    <row r="1912" spans="1:9" x14ac:dyDescent="0.3">
      <c r="A1912" t="s">
        <v>2391</v>
      </c>
      <c r="B1912" t="s">
        <v>4519</v>
      </c>
      <c r="C1912">
        <v>2</v>
      </c>
      <c r="D1912" t="s">
        <v>4520</v>
      </c>
      <c r="E1912" t="s">
        <v>4521</v>
      </c>
    </row>
    <row r="1913" spans="1:9" x14ac:dyDescent="0.3">
      <c r="A1913" t="s">
        <v>4522</v>
      </c>
      <c r="B1913" t="s">
        <v>4523</v>
      </c>
      <c r="C1913">
        <v>1</v>
      </c>
      <c r="D1913" t="s">
        <v>4524</v>
      </c>
      <c r="E1913" t="s">
        <v>1644</v>
      </c>
    </row>
    <row r="1914" spans="1:9" x14ac:dyDescent="0.3">
      <c r="A1914" t="s">
        <v>4525</v>
      </c>
      <c r="B1914" t="s">
        <v>4526</v>
      </c>
      <c r="C1914">
        <v>4</v>
      </c>
      <c r="D1914" t="s">
        <v>23</v>
      </c>
      <c r="E1914" t="s">
        <v>281</v>
      </c>
    </row>
    <row r="1915" spans="1:9" x14ac:dyDescent="0.3">
      <c r="A1915" t="s">
        <v>4527</v>
      </c>
      <c r="B1915" t="s">
        <v>4528</v>
      </c>
      <c r="C1915" t="s">
        <v>2588</v>
      </c>
      <c r="D1915" t="s">
        <v>23</v>
      </c>
      <c r="E1915" t="s">
        <v>320</v>
      </c>
    </row>
    <row r="1916" spans="1:9" x14ac:dyDescent="0.3">
      <c r="A1916" t="s">
        <v>4529</v>
      </c>
      <c r="B1916" t="s">
        <v>4530</v>
      </c>
      <c r="D1916" t="s">
        <v>11</v>
      </c>
      <c r="E1916" t="s">
        <v>4142</v>
      </c>
    </row>
    <row r="1917" spans="1:9" x14ac:dyDescent="0.3">
      <c r="A1917" t="s">
        <v>4531</v>
      </c>
      <c r="B1917" t="s">
        <v>4532</v>
      </c>
      <c r="C1917">
        <v>15</v>
      </c>
      <c r="D1917" t="s">
        <v>29</v>
      </c>
      <c r="E1917" t="s">
        <v>4410</v>
      </c>
    </row>
    <row r="1918" spans="1:9" x14ac:dyDescent="0.3">
      <c r="A1918" t="s">
        <v>4533</v>
      </c>
      <c r="B1918" t="s">
        <v>4534</v>
      </c>
      <c r="C1918">
        <v>1</v>
      </c>
      <c r="D1918" t="s">
        <v>37</v>
      </c>
      <c r="E1918" t="s">
        <v>160</v>
      </c>
      <c r="G1918" t="s">
        <v>68</v>
      </c>
    </row>
    <row r="1919" spans="1:9" x14ac:dyDescent="0.3">
      <c r="A1919" t="s">
        <v>4535</v>
      </c>
      <c r="B1919" t="s">
        <v>4536</v>
      </c>
      <c r="C1919">
        <v>1</v>
      </c>
      <c r="D1919" t="s">
        <v>60</v>
      </c>
      <c r="E1919" t="s">
        <v>3353</v>
      </c>
    </row>
    <row r="1920" spans="1:9" x14ac:dyDescent="0.3">
      <c r="A1920" t="s">
        <v>4537</v>
      </c>
      <c r="B1920" t="s">
        <v>4538</v>
      </c>
      <c r="C1920">
        <v>2</v>
      </c>
      <c r="D1920" t="s">
        <v>345</v>
      </c>
      <c r="E1920" t="s">
        <v>1451</v>
      </c>
      <c r="I1920" t="s">
        <v>4539</v>
      </c>
    </row>
    <row r="1921" spans="1:9" x14ac:dyDescent="0.3">
      <c r="A1921" t="s">
        <v>4540</v>
      </c>
      <c r="B1921" t="s">
        <v>4541</v>
      </c>
      <c r="C1921">
        <v>2</v>
      </c>
      <c r="D1921" t="s">
        <v>4542</v>
      </c>
      <c r="E1921" t="s">
        <v>3353</v>
      </c>
    </row>
    <row r="1922" spans="1:9" x14ac:dyDescent="0.3">
      <c r="A1922" t="s">
        <v>4543</v>
      </c>
      <c r="B1922" t="s">
        <v>4544</v>
      </c>
      <c r="C1922">
        <v>1</v>
      </c>
      <c r="D1922" t="s">
        <v>4545</v>
      </c>
      <c r="E1922" t="s">
        <v>1537</v>
      </c>
    </row>
    <row r="1923" spans="1:9" x14ac:dyDescent="0.3">
      <c r="A1923" t="s">
        <v>4546</v>
      </c>
      <c r="B1923" t="s">
        <v>968</v>
      </c>
      <c r="C1923">
        <v>1</v>
      </c>
      <c r="D1923" t="s">
        <v>23</v>
      </c>
      <c r="E1923" t="s">
        <v>199</v>
      </c>
    </row>
    <row r="1924" spans="1:9" x14ac:dyDescent="0.3">
      <c r="A1924" t="s">
        <v>4547</v>
      </c>
      <c r="B1924" t="s">
        <v>4548</v>
      </c>
      <c r="D1924" t="s">
        <v>33</v>
      </c>
      <c r="E1924" t="s">
        <v>121</v>
      </c>
      <c r="I1924" t="s">
        <v>164</v>
      </c>
    </row>
    <row r="1925" spans="1:9" x14ac:dyDescent="0.3">
      <c r="A1925" t="s">
        <v>4549</v>
      </c>
      <c r="B1925" t="s">
        <v>4550</v>
      </c>
      <c r="C1925">
        <v>1</v>
      </c>
      <c r="D1925" t="s">
        <v>2210</v>
      </c>
      <c r="E1925" t="s">
        <v>2039</v>
      </c>
    </row>
    <row r="1926" spans="1:9" x14ac:dyDescent="0.3">
      <c r="A1926" t="s">
        <v>4551</v>
      </c>
      <c r="B1926" t="s">
        <v>4552</v>
      </c>
      <c r="C1926">
        <v>2</v>
      </c>
      <c r="D1926" t="s">
        <v>91</v>
      </c>
      <c r="E1926" t="s">
        <v>4553</v>
      </c>
    </row>
    <row r="1927" spans="1:9" x14ac:dyDescent="0.3">
      <c r="A1927" t="s">
        <v>4554</v>
      </c>
      <c r="B1927" t="s">
        <v>4555</v>
      </c>
      <c r="C1927">
        <v>0.25</v>
      </c>
      <c r="D1927" t="s">
        <v>11</v>
      </c>
      <c r="E1927" t="s">
        <v>88</v>
      </c>
    </row>
    <row r="1928" spans="1:9" x14ac:dyDescent="0.3">
      <c r="A1928" t="s">
        <v>4556</v>
      </c>
      <c r="B1928" t="s">
        <v>738</v>
      </c>
      <c r="E1928" t="s">
        <v>738</v>
      </c>
    </row>
    <row r="1929" spans="1:9" x14ac:dyDescent="0.3">
      <c r="A1929" t="s">
        <v>4557</v>
      </c>
      <c r="B1929" t="s">
        <v>4558</v>
      </c>
      <c r="C1929">
        <v>150</v>
      </c>
      <c r="D1929" t="s">
        <v>29</v>
      </c>
      <c r="E1929" t="s">
        <v>765</v>
      </c>
    </row>
    <row r="1930" spans="1:9" x14ac:dyDescent="0.3">
      <c r="A1930" t="s">
        <v>4559</v>
      </c>
      <c r="B1930" t="s">
        <v>4560</v>
      </c>
      <c r="C1930">
        <v>4</v>
      </c>
      <c r="D1930" t="s">
        <v>4561</v>
      </c>
      <c r="E1930" t="s">
        <v>1433</v>
      </c>
      <c r="F1930" t="s">
        <v>1994</v>
      </c>
      <c r="H1930" t="s">
        <v>3945</v>
      </c>
    </row>
    <row r="1931" spans="1:9" x14ac:dyDescent="0.3">
      <c r="A1931" t="s">
        <v>4562</v>
      </c>
      <c r="B1931" t="s">
        <v>4563</v>
      </c>
      <c r="C1931">
        <v>0.75</v>
      </c>
      <c r="D1931" t="s">
        <v>23</v>
      </c>
      <c r="E1931" t="s">
        <v>761</v>
      </c>
    </row>
    <row r="1932" spans="1:9" x14ac:dyDescent="0.3">
      <c r="A1932" t="s">
        <v>4564</v>
      </c>
      <c r="B1932" t="s">
        <v>4565</v>
      </c>
      <c r="C1932">
        <v>0.5</v>
      </c>
      <c r="D1932" t="s">
        <v>37</v>
      </c>
      <c r="E1932" t="s">
        <v>1009</v>
      </c>
      <c r="I1932" t="s">
        <v>3746</v>
      </c>
    </row>
    <row r="1933" spans="1:9" x14ac:dyDescent="0.3">
      <c r="A1933" t="s">
        <v>4566</v>
      </c>
      <c r="B1933" t="s">
        <v>4567</v>
      </c>
      <c r="C1933">
        <v>25</v>
      </c>
      <c r="D1933" t="s">
        <v>29</v>
      </c>
      <c r="E1933" t="s">
        <v>4568</v>
      </c>
    </row>
    <row r="1934" spans="1:9" x14ac:dyDescent="0.3">
      <c r="A1934" t="s">
        <v>4569</v>
      </c>
      <c r="B1934" t="s">
        <v>4570</v>
      </c>
      <c r="C1934">
        <v>0.5</v>
      </c>
      <c r="D1934" t="s">
        <v>23</v>
      </c>
      <c r="E1934" t="s">
        <v>112</v>
      </c>
    </row>
    <row r="1935" spans="1:9" x14ac:dyDescent="0.3">
      <c r="A1935" t="s">
        <v>4571</v>
      </c>
      <c r="B1935" t="s">
        <v>4572</v>
      </c>
      <c r="C1935">
        <v>1</v>
      </c>
      <c r="D1935" t="s">
        <v>37</v>
      </c>
      <c r="E1935" t="s">
        <v>4573</v>
      </c>
      <c r="I1935" t="s">
        <v>4574</v>
      </c>
    </row>
    <row r="1936" spans="1:9" x14ac:dyDescent="0.3">
      <c r="A1936" t="s">
        <v>2141</v>
      </c>
      <c r="B1936" t="s">
        <v>773</v>
      </c>
      <c r="C1936">
        <v>1</v>
      </c>
      <c r="D1936" t="s">
        <v>11</v>
      </c>
      <c r="E1936" t="s">
        <v>88</v>
      </c>
    </row>
    <row r="1937" spans="1:9" x14ac:dyDescent="0.3">
      <c r="A1937" t="s">
        <v>4575</v>
      </c>
      <c r="B1937" t="s">
        <v>4576</v>
      </c>
      <c r="C1937">
        <v>2</v>
      </c>
      <c r="D1937" t="s">
        <v>91</v>
      </c>
      <c r="E1937" t="s">
        <v>4577</v>
      </c>
      <c r="I1937" t="s">
        <v>893</v>
      </c>
    </row>
    <row r="1938" spans="1:9" x14ac:dyDescent="0.3">
      <c r="A1938" t="s">
        <v>4578</v>
      </c>
      <c r="B1938" t="s">
        <v>4579</v>
      </c>
      <c r="C1938">
        <v>1</v>
      </c>
      <c r="E1938" t="s">
        <v>4580</v>
      </c>
    </row>
    <row r="1939" spans="1:9" x14ac:dyDescent="0.3">
      <c r="A1939" t="s">
        <v>4581</v>
      </c>
      <c r="B1939" t="s">
        <v>4582</v>
      </c>
      <c r="C1939">
        <v>1</v>
      </c>
      <c r="D1939" t="s">
        <v>1990</v>
      </c>
      <c r="E1939" t="s">
        <v>4583</v>
      </c>
      <c r="I1939" t="s">
        <v>248</v>
      </c>
    </row>
    <row r="1940" spans="1:9" x14ac:dyDescent="0.3">
      <c r="A1940" t="s">
        <v>4584</v>
      </c>
      <c r="B1940" t="s">
        <v>4585</v>
      </c>
      <c r="C1940">
        <v>15</v>
      </c>
      <c r="D1940" t="s">
        <v>29</v>
      </c>
      <c r="E1940" t="s">
        <v>281</v>
      </c>
    </row>
    <row r="1941" spans="1:9" x14ac:dyDescent="0.3">
      <c r="A1941" t="s">
        <v>4586</v>
      </c>
      <c r="B1941" t="s">
        <v>3230</v>
      </c>
      <c r="C1941">
        <v>10</v>
      </c>
      <c r="E1941" t="s">
        <v>1431</v>
      </c>
    </row>
    <row r="1942" spans="1:9" x14ac:dyDescent="0.3">
      <c r="A1942" t="s">
        <v>4587</v>
      </c>
      <c r="B1942" t="s">
        <v>4588</v>
      </c>
      <c r="C1942">
        <v>12</v>
      </c>
      <c r="D1942" t="s">
        <v>23</v>
      </c>
      <c r="E1942" t="s">
        <v>4589</v>
      </c>
    </row>
    <row r="1943" spans="1:9" x14ac:dyDescent="0.3">
      <c r="A1943" t="s">
        <v>4590</v>
      </c>
      <c r="B1943" t="s">
        <v>4591</v>
      </c>
      <c r="C1943">
        <v>3</v>
      </c>
      <c r="D1943" t="s">
        <v>345</v>
      </c>
      <c r="E1943" t="s">
        <v>220</v>
      </c>
    </row>
    <row r="1944" spans="1:9" x14ac:dyDescent="0.3">
      <c r="A1944" t="s">
        <v>4592</v>
      </c>
      <c r="B1944" t="s">
        <v>4179</v>
      </c>
      <c r="C1944">
        <v>0.75</v>
      </c>
      <c r="D1944" t="s">
        <v>23</v>
      </c>
      <c r="E1944" t="s">
        <v>380</v>
      </c>
    </row>
    <row r="1945" spans="1:9" x14ac:dyDescent="0.3">
      <c r="A1945" t="s">
        <v>4593</v>
      </c>
      <c r="B1945" t="s">
        <v>2298</v>
      </c>
      <c r="C1945">
        <v>3</v>
      </c>
      <c r="D1945" t="s">
        <v>91</v>
      </c>
      <c r="E1945" t="s">
        <v>2299</v>
      </c>
    </row>
    <row r="1946" spans="1:9" x14ac:dyDescent="0.3">
      <c r="A1946" t="s">
        <v>4594</v>
      </c>
      <c r="B1946" t="s">
        <v>4595</v>
      </c>
      <c r="C1946">
        <v>1</v>
      </c>
      <c r="D1946" t="s">
        <v>284</v>
      </c>
      <c r="E1946" t="s">
        <v>4596</v>
      </c>
    </row>
    <row r="1947" spans="1:9" x14ac:dyDescent="0.3">
      <c r="A1947" t="s">
        <v>1477</v>
      </c>
      <c r="B1947" t="s">
        <v>4597</v>
      </c>
      <c r="C1947">
        <v>3</v>
      </c>
      <c r="D1947" t="s">
        <v>189</v>
      </c>
      <c r="E1947" t="s">
        <v>190</v>
      </c>
    </row>
    <row r="1948" spans="1:9" x14ac:dyDescent="0.3">
      <c r="A1948" t="s">
        <v>4598</v>
      </c>
      <c r="B1948" t="s">
        <v>4599</v>
      </c>
      <c r="C1948">
        <v>0.5</v>
      </c>
      <c r="D1948" t="s">
        <v>11</v>
      </c>
      <c r="E1948" t="s">
        <v>4600</v>
      </c>
    </row>
    <row r="1949" spans="1:9" x14ac:dyDescent="0.3">
      <c r="A1949" t="s">
        <v>4601</v>
      </c>
      <c r="B1949" t="s">
        <v>4602</v>
      </c>
      <c r="C1949">
        <v>1</v>
      </c>
      <c r="D1949" t="s">
        <v>1990</v>
      </c>
      <c r="E1949" t="s">
        <v>1056</v>
      </c>
      <c r="I1949" t="s">
        <v>248</v>
      </c>
    </row>
    <row r="1950" spans="1:9" x14ac:dyDescent="0.3">
      <c r="A1950" t="s">
        <v>4603</v>
      </c>
      <c r="B1950" t="s">
        <v>4604</v>
      </c>
      <c r="C1950">
        <v>2</v>
      </c>
      <c r="D1950" t="s">
        <v>23</v>
      </c>
      <c r="E1950" t="s">
        <v>1463</v>
      </c>
    </row>
    <row r="1951" spans="1:9" x14ac:dyDescent="0.3">
      <c r="A1951" t="s">
        <v>4605</v>
      </c>
      <c r="B1951" t="s">
        <v>4606</v>
      </c>
      <c r="C1951">
        <v>4</v>
      </c>
      <c r="D1951" t="s">
        <v>23</v>
      </c>
      <c r="E1951" t="s">
        <v>262</v>
      </c>
    </row>
    <row r="1952" spans="1:9" x14ac:dyDescent="0.3">
      <c r="A1952" t="s">
        <v>4607</v>
      </c>
      <c r="B1952" t="s">
        <v>262</v>
      </c>
      <c r="E1952" t="s">
        <v>262</v>
      </c>
    </row>
    <row r="1953" spans="1:9" x14ac:dyDescent="0.3">
      <c r="A1953" t="s">
        <v>3566</v>
      </c>
      <c r="B1953" t="s">
        <v>1720</v>
      </c>
      <c r="C1953">
        <v>1</v>
      </c>
      <c r="D1953" t="s">
        <v>37</v>
      </c>
      <c r="E1953" t="s">
        <v>41</v>
      </c>
    </row>
    <row r="1954" spans="1:9" x14ac:dyDescent="0.3">
      <c r="A1954" t="s">
        <v>4608</v>
      </c>
      <c r="B1954" t="s">
        <v>4609</v>
      </c>
      <c r="C1954">
        <v>1</v>
      </c>
      <c r="D1954" t="s">
        <v>23</v>
      </c>
      <c r="E1954" t="s">
        <v>4610</v>
      </c>
    </row>
    <row r="1955" spans="1:9" x14ac:dyDescent="0.3">
      <c r="A1955" t="s">
        <v>4611</v>
      </c>
      <c r="B1955" t="s">
        <v>4612</v>
      </c>
      <c r="C1955">
        <v>1</v>
      </c>
      <c r="D1955" t="s">
        <v>23</v>
      </c>
      <c r="E1955" t="s">
        <v>761</v>
      </c>
    </row>
    <row r="1956" spans="1:9" x14ac:dyDescent="0.3">
      <c r="A1956" t="s">
        <v>4613</v>
      </c>
      <c r="B1956" t="s">
        <v>4614</v>
      </c>
      <c r="C1956">
        <v>50</v>
      </c>
      <c r="D1956" t="s">
        <v>29</v>
      </c>
      <c r="E1956" t="s">
        <v>1003</v>
      </c>
    </row>
    <row r="1957" spans="1:9" x14ac:dyDescent="0.3">
      <c r="A1957" t="s">
        <v>2704</v>
      </c>
      <c r="B1957" t="s">
        <v>4615</v>
      </c>
      <c r="E1957" t="s">
        <v>4616</v>
      </c>
      <c r="I1957" t="s">
        <v>4617</v>
      </c>
    </row>
    <row r="1958" spans="1:9" x14ac:dyDescent="0.3">
      <c r="A1958" t="s">
        <v>4618</v>
      </c>
      <c r="B1958" t="s">
        <v>4619</v>
      </c>
      <c r="C1958">
        <v>1</v>
      </c>
      <c r="D1958" t="s">
        <v>120</v>
      </c>
      <c r="E1958" t="s">
        <v>1009</v>
      </c>
      <c r="I1958" t="s">
        <v>289</v>
      </c>
    </row>
    <row r="1959" spans="1:9" x14ac:dyDescent="0.3">
      <c r="A1959" t="s">
        <v>4620</v>
      </c>
      <c r="B1959" t="s">
        <v>4621</v>
      </c>
      <c r="C1959">
        <v>1</v>
      </c>
      <c r="D1959" t="s">
        <v>460</v>
      </c>
      <c r="E1959" t="s">
        <v>857</v>
      </c>
      <c r="I1959" t="s">
        <v>289</v>
      </c>
    </row>
    <row r="1960" spans="1:9" x14ac:dyDescent="0.3">
      <c r="A1960" t="s">
        <v>2044</v>
      </c>
      <c r="B1960" t="s">
        <v>2045</v>
      </c>
      <c r="C1960">
        <v>2</v>
      </c>
      <c r="D1960" t="s">
        <v>1338</v>
      </c>
      <c r="E1960" t="s">
        <v>1043</v>
      </c>
      <c r="I1960" t="s">
        <v>289</v>
      </c>
    </row>
    <row r="1961" spans="1:9" x14ac:dyDescent="0.3">
      <c r="A1961" t="s">
        <v>4622</v>
      </c>
      <c r="B1961" t="s">
        <v>4623</v>
      </c>
      <c r="D1961" t="s">
        <v>60</v>
      </c>
      <c r="E1961" t="s">
        <v>183</v>
      </c>
    </row>
    <row r="1962" spans="1:9" x14ac:dyDescent="0.3">
      <c r="A1962" t="s">
        <v>4624</v>
      </c>
      <c r="B1962" t="s">
        <v>4612</v>
      </c>
      <c r="C1962">
        <v>1</v>
      </c>
      <c r="D1962" t="s">
        <v>23</v>
      </c>
      <c r="E1962" t="s">
        <v>761</v>
      </c>
    </row>
    <row r="1963" spans="1:9" x14ac:dyDescent="0.3">
      <c r="A1963" t="s">
        <v>4625</v>
      </c>
      <c r="B1963" t="s">
        <v>4626</v>
      </c>
      <c r="C1963">
        <v>0.5</v>
      </c>
      <c r="D1963" t="s">
        <v>4627</v>
      </c>
      <c r="E1963" t="s">
        <v>1715</v>
      </c>
    </row>
    <row r="1964" spans="1:9" x14ac:dyDescent="0.3">
      <c r="A1964" t="s">
        <v>4628</v>
      </c>
      <c r="B1964" t="s">
        <v>3528</v>
      </c>
      <c r="C1964">
        <v>1</v>
      </c>
      <c r="D1964" t="s">
        <v>23</v>
      </c>
      <c r="E1964" t="s">
        <v>1407</v>
      </c>
    </row>
    <row r="1965" spans="1:9" x14ac:dyDescent="0.3">
      <c r="A1965" t="s">
        <v>4629</v>
      </c>
      <c r="B1965" t="s">
        <v>4630</v>
      </c>
      <c r="C1965">
        <v>0.75</v>
      </c>
      <c r="D1965" t="s">
        <v>37</v>
      </c>
      <c r="E1965" t="s">
        <v>38</v>
      </c>
      <c r="F1965" t="s">
        <v>167</v>
      </c>
      <c r="G1965" t="s">
        <v>168</v>
      </c>
      <c r="I1965" t="s">
        <v>4631</v>
      </c>
    </row>
    <row r="1966" spans="1:9" x14ac:dyDescent="0.3">
      <c r="A1966" t="s">
        <v>4632</v>
      </c>
      <c r="B1966" t="s">
        <v>4633</v>
      </c>
      <c r="C1966">
        <v>0.75</v>
      </c>
      <c r="D1966" t="s">
        <v>23</v>
      </c>
      <c r="E1966" t="s">
        <v>4212</v>
      </c>
    </row>
    <row r="1967" spans="1:9" x14ac:dyDescent="0.3">
      <c r="A1967" t="s">
        <v>4634</v>
      </c>
      <c r="B1967" t="s">
        <v>4635</v>
      </c>
      <c r="C1967">
        <v>50</v>
      </c>
      <c r="D1967" t="s">
        <v>29</v>
      </c>
      <c r="E1967" t="s">
        <v>1627</v>
      </c>
      <c r="I1967" t="s">
        <v>4636</v>
      </c>
    </row>
    <row r="1968" spans="1:9" x14ac:dyDescent="0.3">
      <c r="A1968" t="s">
        <v>4637</v>
      </c>
      <c r="B1968" t="s">
        <v>4638</v>
      </c>
      <c r="C1968" t="s">
        <v>4639</v>
      </c>
      <c r="D1968" t="s">
        <v>37</v>
      </c>
      <c r="E1968" t="s">
        <v>4640</v>
      </c>
      <c r="I1968" t="s">
        <v>4641</v>
      </c>
    </row>
    <row r="1969" spans="1:9" x14ac:dyDescent="0.3">
      <c r="A1969" t="s">
        <v>4642</v>
      </c>
      <c r="B1969" t="s">
        <v>4643</v>
      </c>
      <c r="C1969">
        <v>1</v>
      </c>
      <c r="D1969" t="s">
        <v>11</v>
      </c>
      <c r="E1969" t="s">
        <v>4644</v>
      </c>
    </row>
    <row r="1970" spans="1:9" x14ac:dyDescent="0.3">
      <c r="A1970" t="s">
        <v>4645</v>
      </c>
      <c r="B1970" t="s">
        <v>1055</v>
      </c>
      <c r="C1970">
        <v>1</v>
      </c>
      <c r="D1970" t="s">
        <v>585</v>
      </c>
      <c r="E1970" t="s">
        <v>1056</v>
      </c>
      <c r="I1970" t="s">
        <v>248</v>
      </c>
    </row>
    <row r="1971" spans="1:9" x14ac:dyDescent="0.3">
      <c r="A1971" t="s">
        <v>4471</v>
      </c>
      <c r="B1971" t="s">
        <v>4646</v>
      </c>
      <c r="C1971">
        <v>1</v>
      </c>
      <c r="D1971" t="s">
        <v>23</v>
      </c>
      <c r="E1971" t="s">
        <v>4647</v>
      </c>
    </row>
    <row r="1972" spans="1:9" x14ac:dyDescent="0.3">
      <c r="A1972" t="s">
        <v>4648</v>
      </c>
      <c r="B1972" t="s">
        <v>4649</v>
      </c>
      <c r="E1972" t="s">
        <v>743</v>
      </c>
      <c r="I1972" t="s">
        <v>1154</v>
      </c>
    </row>
    <row r="1973" spans="1:9" x14ac:dyDescent="0.3">
      <c r="A1973" t="s">
        <v>4650</v>
      </c>
      <c r="B1973" t="s">
        <v>562</v>
      </c>
      <c r="C1973">
        <v>0.5</v>
      </c>
      <c r="D1973" t="s">
        <v>23</v>
      </c>
      <c r="E1973" t="s">
        <v>563</v>
      </c>
    </row>
    <row r="1974" spans="1:9" x14ac:dyDescent="0.3">
      <c r="A1974" t="s">
        <v>4651</v>
      </c>
      <c r="B1974" t="s">
        <v>1545</v>
      </c>
      <c r="E1974" t="s">
        <v>333</v>
      </c>
      <c r="F1974" t="s">
        <v>1247</v>
      </c>
    </row>
    <row r="1975" spans="1:9" x14ac:dyDescent="0.3">
      <c r="A1975" t="s">
        <v>4652</v>
      </c>
      <c r="B1975" t="s">
        <v>4653</v>
      </c>
      <c r="C1975">
        <v>1</v>
      </c>
      <c r="D1975" t="s">
        <v>460</v>
      </c>
      <c r="E1975" t="s">
        <v>4654</v>
      </c>
    </row>
    <row r="1976" spans="1:9" x14ac:dyDescent="0.3">
      <c r="A1976" t="s">
        <v>4655</v>
      </c>
      <c r="B1976" t="s">
        <v>4656</v>
      </c>
      <c r="C1976">
        <v>1</v>
      </c>
      <c r="D1976" t="s">
        <v>460</v>
      </c>
      <c r="E1976" t="s">
        <v>115</v>
      </c>
    </row>
    <row r="1977" spans="1:9" x14ac:dyDescent="0.3">
      <c r="A1977" t="s">
        <v>4657</v>
      </c>
      <c r="B1977" t="s">
        <v>4658</v>
      </c>
      <c r="C1977">
        <v>1</v>
      </c>
      <c r="D1977" t="s">
        <v>37</v>
      </c>
      <c r="E1977" t="s">
        <v>943</v>
      </c>
      <c r="I1977" t="s">
        <v>4659</v>
      </c>
    </row>
    <row r="1978" spans="1:9" x14ac:dyDescent="0.3">
      <c r="A1978" t="s">
        <v>4540</v>
      </c>
      <c r="B1978" t="s">
        <v>4541</v>
      </c>
      <c r="C1978">
        <v>2</v>
      </c>
      <c r="D1978" t="s">
        <v>4542</v>
      </c>
      <c r="E1978" t="s">
        <v>3353</v>
      </c>
    </row>
    <row r="1979" spans="1:9" x14ac:dyDescent="0.3">
      <c r="A1979" t="s">
        <v>4660</v>
      </c>
      <c r="B1979" t="s">
        <v>4661</v>
      </c>
      <c r="C1979">
        <v>20</v>
      </c>
      <c r="D1979" t="s">
        <v>345</v>
      </c>
      <c r="E1979" t="s">
        <v>220</v>
      </c>
      <c r="I1979" t="s">
        <v>4662</v>
      </c>
    </row>
    <row r="1980" spans="1:9" x14ac:dyDescent="0.3">
      <c r="A1980" t="s">
        <v>927</v>
      </c>
      <c r="B1980" t="s">
        <v>4663</v>
      </c>
      <c r="C1980">
        <v>0.25</v>
      </c>
      <c r="D1980" t="s">
        <v>37</v>
      </c>
      <c r="E1980" t="s">
        <v>4664</v>
      </c>
    </row>
    <row r="1981" spans="1:9" x14ac:dyDescent="0.3">
      <c r="A1981" t="s">
        <v>4665</v>
      </c>
      <c r="B1981" t="s">
        <v>4666</v>
      </c>
      <c r="C1981">
        <v>25</v>
      </c>
      <c r="D1981" t="s">
        <v>29</v>
      </c>
      <c r="E1981" t="s">
        <v>4667</v>
      </c>
    </row>
    <row r="1982" spans="1:9" x14ac:dyDescent="0.3">
      <c r="A1982" t="s">
        <v>4668</v>
      </c>
      <c r="B1982" t="s">
        <v>4669</v>
      </c>
      <c r="C1982">
        <v>2</v>
      </c>
      <c r="D1982" t="s">
        <v>460</v>
      </c>
      <c r="E1982" t="s">
        <v>4670</v>
      </c>
    </row>
    <row r="1983" spans="1:9" x14ac:dyDescent="0.3">
      <c r="A1983" t="s">
        <v>4671</v>
      </c>
      <c r="B1983" t="s">
        <v>4672</v>
      </c>
      <c r="C1983">
        <v>1.5</v>
      </c>
      <c r="D1983" t="s">
        <v>23</v>
      </c>
      <c r="E1983" t="s">
        <v>4673</v>
      </c>
    </row>
    <row r="1984" spans="1:9" x14ac:dyDescent="0.3">
      <c r="A1984" t="s">
        <v>4674</v>
      </c>
      <c r="B1984" t="s">
        <v>4675</v>
      </c>
      <c r="D1984" t="s">
        <v>426</v>
      </c>
      <c r="E1984" t="s">
        <v>4676</v>
      </c>
    </row>
    <row r="1985" spans="1:9" x14ac:dyDescent="0.3">
      <c r="A1985" t="s">
        <v>4677</v>
      </c>
      <c r="B1985" t="s">
        <v>4678</v>
      </c>
      <c r="C1985">
        <v>8</v>
      </c>
      <c r="D1985" t="s">
        <v>23</v>
      </c>
      <c r="E1985" t="s">
        <v>333</v>
      </c>
      <c r="F1985" t="s">
        <v>1512</v>
      </c>
    </row>
    <row r="1986" spans="1:9" x14ac:dyDescent="0.3">
      <c r="A1986" t="s">
        <v>4679</v>
      </c>
      <c r="B1986" t="s">
        <v>1109</v>
      </c>
      <c r="C1986">
        <v>0.5</v>
      </c>
      <c r="D1986" t="s">
        <v>23</v>
      </c>
      <c r="E1986" t="s">
        <v>1110</v>
      </c>
    </row>
    <row r="1987" spans="1:9" x14ac:dyDescent="0.3">
      <c r="A1987" t="s">
        <v>4680</v>
      </c>
      <c r="B1987" t="s">
        <v>4681</v>
      </c>
      <c r="C1987">
        <v>2</v>
      </c>
      <c r="D1987" t="s">
        <v>91</v>
      </c>
      <c r="E1987" t="s">
        <v>4682</v>
      </c>
    </row>
    <row r="1988" spans="1:9" x14ac:dyDescent="0.3">
      <c r="A1988" t="s">
        <v>4683</v>
      </c>
      <c r="B1988" t="s">
        <v>4684</v>
      </c>
      <c r="C1988">
        <v>10.5</v>
      </c>
      <c r="D1988" t="s">
        <v>91</v>
      </c>
      <c r="E1988" t="s">
        <v>781</v>
      </c>
    </row>
    <row r="1989" spans="1:9" x14ac:dyDescent="0.3">
      <c r="A1989" t="s">
        <v>3194</v>
      </c>
      <c r="B1989" t="s">
        <v>4685</v>
      </c>
      <c r="C1989">
        <v>1.5</v>
      </c>
      <c r="D1989" t="s">
        <v>345</v>
      </c>
      <c r="E1989" t="s">
        <v>4686</v>
      </c>
    </row>
    <row r="1990" spans="1:9" x14ac:dyDescent="0.3">
      <c r="A1990" t="s">
        <v>4687</v>
      </c>
      <c r="B1990" t="s">
        <v>1055</v>
      </c>
      <c r="C1990">
        <v>1</v>
      </c>
      <c r="D1990" t="s">
        <v>585</v>
      </c>
      <c r="E1990" t="s">
        <v>1056</v>
      </c>
      <c r="I1990" t="s">
        <v>248</v>
      </c>
    </row>
    <row r="1991" spans="1:9" x14ac:dyDescent="0.3">
      <c r="A1991" t="s">
        <v>4688</v>
      </c>
      <c r="B1991" t="s">
        <v>4689</v>
      </c>
      <c r="C1991">
        <v>2</v>
      </c>
      <c r="D1991" t="s">
        <v>23</v>
      </c>
      <c r="E1991" t="s">
        <v>171</v>
      </c>
    </row>
    <row r="1992" spans="1:9" x14ac:dyDescent="0.3">
      <c r="A1992" t="s">
        <v>4690</v>
      </c>
      <c r="B1992" t="s">
        <v>4691</v>
      </c>
      <c r="C1992">
        <v>2</v>
      </c>
      <c r="D1992" t="s">
        <v>460</v>
      </c>
      <c r="E1992" t="s">
        <v>857</v>
      </c>
      <c r="I1992" t="s">
        <v>289</v>
      </c>
    </row>
    <row r="1993" spans="1:9" x14ac:dyDescent="0.3">
      <c r="A1993" t="s">
        <v>4692</v>
      </c>
      <c r="B1993" t="s">
        <v>1598</v>
      </c>
      <c r="C1993">
        <v>2</v>
      </c>
      <c r="D1993" t="s">
        <v>23</v>
      </c>
      <c r="E1993" t="s">
        <v>1030</v>
      </c>
      <c r="I1993" t="s">
        <v>289</v>
      </c>
    </row>
    <row r="1994" spans="1:9" x14ac:dyDescent="0.3">
      <c r="A1994" t="s">
        <v>4693</v>
      </c>
      <c r="B1994" t="s">
        <v>4694</v>
      </c>
      <c r="C1994">
        <v>0.33</v>
      </c>
      <c r="D1994" t="s">
        <v>850</v>
      </c>
      <c r="E1994" t="s">
        <v>4695</v>
      </c>
    </row>
    <row r="1995" spans="1:9" x14ac:dyDescent="0.3">
      <c r="A1995" t="s">
        <v>4696</v>
      </c>
      <c r="B1995" t="s">
        <v>4697</v>
      </c>
      <c r="C1995">
        <v>4</v>
      </c>
      <c r="D1995" t="s">
        <v>23</v>
      </c>
      <c r="E1995" t="s">
        <v>2518</v>
      </c>
    </row>
    <row r="1996" spans="1:9" x14ac:dyDescent="0.3">
      <c r="A1996" t="s">
        <v>4698</v>
      </c>
      <c r="B1996" t="s">
        <v>4287</v>
      </c>
      <c r="C1996">
        <v>50</v>
      </c>
      <c r="D1996" t="s">
        <v>29</v>
      </c>
      <c r="E1996" t="s">
        <v>4288</v>
      </c>
      <c r="I1996" t="s">
        <v>4289</v>
      </c>
    </row>
    <row r="1997" spans="1:9" x14ac:dyDescent="0.3">
      <c r="A1997" t="s">
        <v>4699</v>
      </c>
      <c r="B1997" t="s">
        <v>320</v>
      </c>
      <c r="E1997" t="s">
        <v>320</v>
      </c>
    </row>
    <row r="1998" spans="1:9" x14ac:dyDescent="0.3">
      <c r="A1998" t="s">
        <v>4700</v>
      </c>
      <c r="B1998" t="s">
        <v>4701</v>
      </c>
      <c r="C1998">
        <v>4</v>
      </c>
      <c r="D1998" t="s">
        <v>176</v>
      </c>
      <c r="E1998" t="s">
        <v>4702</v>
      </c>
    </row>
    <row r="1999" spans="1:9" x14ac:dyDescent="0.3">
      <c r="A1999" t="s">
        <v>4703</v>
      </c>
      <c r="B1999" t="s">
        <v>4704</v>
      </c>
      <c r="C1999">
        <v>1</v>
      </c>
      <c r="D1999" t="s">
        <v>4545</v>
      </c>
      <c r="E1999" t="s">
        <v>4705</v>
      </c>
    </row>
    <row r="2000" spans="1:9" x14ac:dyDescent="0.3">
      <c r="A2000" t="s">
        <v>4706</v>
      </c>
      <c r="B2000" t="s">
        <v>1055</v>
      </c>
      <c r="C2000">
        <v>1</v>
      </c>
      <c r="D2000" t="s">
        <v>585</v>
      </c>
      <c r="E2000" t="s">
        <v>1056</v>
      </c>
      <c r="I2000" t="s">
        <v>248</v>
      </c>
    </row>
    <row r="2001" spans="1:9" x14ac:dyDescent="0.3">
      <c r="A2001" t="s">
        <v>4707</v>
      </c>
      <c r="B2001" t="s">
        <v>4708</v>
      </c>
      <c r="C2001">
        <v>2</v>
      </c>
      <c r="D2001" t="s">
        <v>345</v>
      </c>
      <c r="E2001" t="s">
        <v>3196</v>
      </c>
    </row>
    <row r="2002" spans="1:9" x14ac:dyDescent="0.3">
      <c r="A2002" t="s">
        <v>4709</v>
      </c>
      <c r="B2002" t="s">
        <v>935</v>
      </c>
      <c r="C2002">
        <v>1</v>
      </c>
      <c r="D2002" t="s">
        <v>23</v>
      </c>
      <c r="E2002" t="s">
        <v>936</v>
      </c>
    </row>
    <row r="2003" spans="1:9" x14ac:dyDescent="0.3">
      <c r="A2003" t="s">
        <v>4710</v>
      </c>
      <c r="B2003" t="s">
        <v>4711</v>
      </c>
      <c r="C2003">
        <v>12</v>
      </c>
      <c r="D2003" t="s">
        <v>23</v>
      </c>
      <c r="E2003" t="s">
        <v>160</v>
      </c>
      <c r="G2003" t="s">
        <v>68</v>
      </c>
    </row>
    <row r="2004" spans="1:9" x14ac:dyDescent="0.3">
      <c r="A2004" t="s">
        <v>4712</v>
      </c>
      <c r="B2004" t="s">
        <v>2809</v>
      </c>
      <c r="C2004">
        <v>1</v>
      </c>
      <c r="D2004" t="s">
        <v>1671</v>
      </c>
      <c r="E2004" t="s">
        <v>152</v>
      </c>
      <c r="I2004" t="s">
        <v>248</v>
      </c>
    </row>
    <row r="2005" spans="1:9" x14ac:dyDescent="0.3">
      <c r="A2005" t="s">
        <v>1255</v>
      </c>
      <c r="B2005" t="s">
        <v>4713</v>
      </c>
      <c r="C2005">
        <v>25</v>
      </c>
      <c r="D2005" t="s">
        <v>29</v>
      </c>
      <c r="E2005" t="s">
        <v>4714</v>
      </c>
    </row>
    <row r="2006" spans="1:9" x14ac:dyDescent="0.3">
      <c r="A2006" t="s">
        <v>4715</v>
      </c>
      <c r="B2006" t="s">
        <v>4716</v>
      </c>
      <c r="C2006">
        <v>1</v>
      </c>
      <c r="D2006" t="s">
        <v>37</v>
      </c>
      <c r="E2006" t="s">
        <v>4717</v>
      </c>
      <c r="I2006" t="s">
        <v>4718</v>
      </c>
    </row>
    <row r="2007" spans="1:9" x14ac:dyDescent="0.3">
      <c r="A2007" t="s">
        <v>4719</v>
      </c>
      <c r="B2007" t="s">
        <v>4720</v>
      </c>
      <c r="C2007">
        <v>20</v>
      </c>
      <c r="D2007" t="s">
        <v>29</v>
      </c>
      <c r="E2007" t="s">
        <v>2243</v>
      </c>
    </row>
    <row r="2008" spans="1:9" x14ac:dyDescent="0.3">
      <c r="A2008" t="s">
        <v>4721</v>
      </c>
      <c r="B2008" t="s">
        <v>3655</v>
      </c>
      <c r="C2008">
        <v>1.5</v>
      </c>
      <c r="D2008" t="s">
        <v>23</v>
      </c>
      <c r="E2008" t="s">
        <v>299</v>
      </c>
    </row>
    <row r="2009" spans="1:9" x14ac:dyDescent="0.3">
      <c r="A2009" t="s">
        <v>4722</v>
      </c>
      <c r="B2009" t="s">
        <v>4723</v>
      </c>
      <c r="C2009">
        <v>6</v>
      </c>
      <c r="D2009" t="s">
        <v>176</v>
      </c>
      <c r="E2009" t="s">
        <v>4724</v>
      </c>
    </row>
    <row r="2010" spans="1:9" x14ac:dyDescent="0.3">
      <c r="A2010" t="s">
        <v>4725</v>
      </c>
      <c r="B2010" t="s">
        <v>1269</v>
      </c>
      <c r="C2010">
        <v>1</v>
      </c>
      <c r="D2010" t="s">
        <v>23</v>
      </c>
      <c r="E2010" t="s">
        <v>380</v>
      </c>
    </row>
    <row r="2011" spans="1:9" x14ac:dyDescent="0.3">
      <c r="A2011" t="s">
        <v>1546</v>
      </c>
      <c r="B2011" t="s">
        <v>1179</v>
      </c>
      <c r="C2011">
        <v>1</v>
      </c>
      <c r="D2011" t="s">
        <v>23</v>
      </c>
      <c r="E2011" t="s">
        <v>233</v>
      </c>
    </row>
    <row r="2012" spans="1:9" x14ac:dyDescent="0.3">
      <c r="A2012" t="s">
        <v>4726</v>
      </c>
      <c r="B2012" t="s">
        <v>4727</v>
      </c>
      <c r="C2012">
        <v>0.5</v>
      </c>
      <c r="D2012" t="s">
        <v>37</v>
      </c>
      <c r="E2012" t="s">
        <v>4728</v>
      </c>
      <c r="I2012" t="s">
        <v>4729</v>
      </c>
    </row>
    <row r="2013" spans="1:9" x14ac:dyDescent="0.3">
      <c r="A2013" t="s">
        <v>273</v>
      </c>
      <c r="B2013" t="s">
        <v>1596</v>
      </c>
      <c r="C2013">
        <v>1</v>
      </c>
      <c r="D2013" t="s">
        <v>18</v>
      </c>
      <c r="E2013" t="s">
        <v>190</v>
      </c>
    </row>
    <row r="2014" spans="1:9" x14ac:dyDescent="0.3">
      <c r="A2014" t="s">
        <v>4730</v>
      </c>
      <c r="B2014" t="s">
        <v>3925</v>
      </c>
      <c r="C2014">
        <v>0.5</v>
      </c>
      <c r="D2014" t="s">
        <v>23</v>
      </c>
      <c r="E2014" t="s">
        <v>793</v>
      </c>
    </row>
    <row r="2015" spans="1:9" x14ac:dyDescent="0.3">
      <c r="A2015" t="s">
        <v>4731</v>
      </c>
      <c r="B2015" t="s">
        <v>4732</v>
      </c>
      <c r="C2015">
        <v>0.5</v>
      </c>
      <c r="D2015" t="s">
        <v>23</v>
      </c>
      <c r="E2015" t="s">
        <v>183</v>
      </c>
    </row>
    <row r="2016" spans="1:9" x14ac:dyDescent="0.3">
      <c r="A2016" t="s">
        <v>4733</v>
      </c>
      <c r="B2016" t="s">
        <v>4734</v>
      </c>
      <c r="C2016">
        <v>3</v>
      </c>
      <c r="D2016" t="s">
        <v>23</v>
      </c>
      <c r="E2016" t="s">
        <v>738</v>
      </c>
      <c r="I2016" t="s">
        <v>289</v>
      </c>
    </row>
    <row r="2017" spans="1:9" x14ac:dyDescent="0.3">
      <c r="A2017" t="s">
        <v>4735</v>
      </c>
      <c r="B2017" t="s">
        <v>4736</v>
      </c>
      <c r="C2017">
        <v>0.5</v>
      </c>
      <c r="D2017" t="s">
        <v>23</v>
      </c>
      <c r="E2017" t="s">
        <v>160</v>
      </c>
    </row>
    <row r="2018" spans="1:9" x14ac:dyDescent="0.3">
      <c r="A2018" t="s">
        <v>4737</v>
      </c>
      <c r="B2018" t="s">
        <v>4738</v>
      </c>
      <c r="C2018">
        <v>1</v>
      </c>
      <c r="D2018" t="s">
        <v>1338</v>
      </c>
      <c r="E2018" t="s">
        <v>199</v>
      </c>
    </row>
    <row r="2019" spans="1:9" x14ac:dyDescent="0.3">
      <c r="A2019" t="s">
        <v>4739</v>
      </c>
      <c r="B2019" t="s">
        <v>4740</v>
      </c>
      <c r="C2019">
        <v>2.5</v>
      </c>
      <c r="D2019" t="s">
        <v>345</v>
      </c>
      <c r="E2019" t="s">
        <v>877</v>
      </c>
    </row>
    <row r="2020" spans="1:9" x14ac:dyDescent="0.3">
      <c r="A2020" t="s">
        <v>4741</v>
      </c>
      <c r="B2020" t="s">
        <v>4742</v>
      </c>
      <c r="C2020">
        <v>0.5</v>
      </c>
      <c r="D2020" t="s">
        <v>23</v>
      </c>
      <c r="E2020" t="s">
        <v>2496</v>
      </c>
    </row>
    <row r="2021" spans="1:9" x14ac:dyDescent="0.3">
      <c r="A2021" t="s">
        <v>4743</v>
      </c>
      <c r="B2021" t="s">
        <v>1055</v>
      </c>
      <c r="C2021">
        <v>1</v>
      </c>
      <c r="D2021" t="s">
        <v>585</v>
      </c>
      <c r="E2021" t="s">
        <v>1056</v>
      </c>
      <c r="I2021" t="s">
        <v>248</v>
      </c>
    </row>
    <row r="2022" spans="1:9" x14ac:dyDescent="0.3">
      <c r="A2022" t="s">
        <v>4744</v>
      </c>
      <c r="B2022" t="s">
        <v>4467</v>
      </c>
      <c r="C2022">
        <v>0.5</v>
      </c>
      <c r="D2022" t="s">
        <v>23</v>
      </c>
      <c r="E2022" t="s">
        <v>936</v>
      </c>
    </row>
    <row r="2023" spans="1:9" x14ac:dyDescent="0.3">
      <c r="A2023" t="s">
        <v>4745</v>
      </c>
      <c r="B2023" t="s">
        <v>4746</v>
      </c>
      <c r="C2023">
        <v>1</v>
      </c>
      <c r="D2023" t="s">
        <v>23</v>
      </c>
      <c r="E2023" t="s">
        <v>4747</v>
      </c>
      <c r="I2023" t="s">
        <v>289</v>
      </c>
    </row>
    <row r="2024" spans="1:9" x14ac:dyDescent="0.3">
      <c r="A2024" t="s">
        <v>4748</v>
      </c>
      <c r="B2024" t="s">
        <v>4749</v>
      </c>
      <c r="C2024">
        <v>0.5</v>
      </c>
      <c r="D2024" t="s">
        <v>23</v>
      </c>
      <c r="E2024" t="s">
        <v>1188</v>
      </c>
    </row>
    <row r="2025" spans="1:9" x14ac:dyDescent="0.3">
      <c r="A2025" t="s">
        <v>4750</v>
      </c>
      <c r="B2025" t="s">
        <v>4751</v>
      </c>
      <c r="C2025">
        <v>1</v>
      </c>
      <c r="D2025" t="s">
        <v>2646</v>
      </c>
      <c r="E2025" t="s">
        <v>4752</v>
      </c>
    </row>
    <row r="2026" spans="1:9" x14ac:dyDescent="0.3">
      <c r="A2026" t="s">
        <v>4753</v>
      </c>
      <c r="B2026" t="s">
        <v>4754</v>
      </c>
      <c r="C2026">
        <v>0.5</v>
      </c>
      <c r="D2026" t="s">
        <v>151</v>
      </c>
      <c r="E2026" t="s">
        <v>163</v>
      </c>
    </row>
    <row r="2027" spans="1:9" x14ac:dyDescent="0.3">
      <c r="A2027" t="s">
        <v>4755</v>
      </c>
      <c r="B2027" t="s">
        <v>4756</v>
      </c>
      <c r="C2027">
        <v>1</v>
      </c>
      <c r="D2027" t="s">
        <v>227</v>
      </c>
      <c r="E2027" t="s">
        <v>281</v>
      </c>
    </row>
    <row r="2028" spans="1:9" x14ac:dyDescent="0.3">
      <c r="A2028" t="s">
        <v>4757</v>
      </c>
      <c r="B2028" t="s">
        <v>4758</v>
      </c>
      <c r="C2028">
        <v>0.75</v>
      </c>
      <c r="D2028" t="s">
        <v>284</v>
      </c>
      <c r="E2028" t="s">
        <v>822</v>
      </c>
    </row>
    <row r="2029" spans="1:9" x14ac:dyDescent="0.3">
      <c r="A2029" t="s">
        <v>4759</v>
      </c>
      <c r="B2029" t="s">
        <v>4760</v>
      </c>
      <c r="C2029">
        <v>5</v>
      </c>
      <c r="E2029" t="s">
        <v>591</v>
      </c>
    </row>
    <row r="2030" spans="1:9" x14ac:dyDescent="0.3">
      <c r="A2030" t="s">
        <v>4761</v>
      </c>
      <c r="B2030" t="s">
        <v>4762</v>
      </c>
      <c r="C2030">
        <v>1.5</v>
      </c>
      <c r="D2030" t="s">
        <v>23</v>
      </c>
      <c r="E2030" t="s">
        <v>712</v>
      </c>
    </row>
    <row r="2031" spans="1:9" x14ac:dyDescent="0.3">
      <c r="A2031" t="s">
        <v>4763</v>
      </c>
      <c r="B2031" t="s">
        <v>4764</v>
      </c>
      <c r="D2031" t="s">
        <v>1671</v>
      </c>
      <c r="E2031" t="s">
        <v>163</v>
      </c>
    </row>
    <row r="2032" spans="1:9" x14ac:dyDescent="0.3">
      <c r="A2032" t="s">
        <v>4765</v>
      </c>
      <c r="B2032" t="s">
        <v>4766</v>
      </c>
      <c r="C2032">
        <v>0.75</v>
      </c>
      <c r="D2032" t="s">
        <v>11</v>
      </c>
      <c r="E2032" t="s">
        <v>4767</v>
      </c>
      <c r="I2032" t="s">
        <v>654</v>
      </c>
    </row>
    <row r="2033" spans="1:9" x14ac:dyDescent="0.3">
      <c r="A2033" t="s">
        <v>4768</v>
      </c>
      <c r="B2033" t="s">
        <v>272</v>
      </c>
      <c r="C2033">
        <v>0.5</v>
      </c>
      <c r="D2033" t="s">
        <v>23</v>
      </c>
      <c r="E2033" t="s">
        <v>265</v>
      </c>
    </row>
    <row r="2034" spans="1:9" x14ac:dyDescent="0.3">
      <c r="A2034" t="s">
        <v>4769</v>
      </c>
      <c r="B2034" t="s">
        <v>4770</v>
      </c>
      <c r="C2034" t="s">
        <v>1650</v>
      </c>
      <c r="D2034" t="s">
        <v>2006</v>
      </c>
      <c r="E2034" t="s">
        <v>331</v>
      </c>
      <c r="I2034" t="s">
        <v>1177</v>
      </c>
    </row>
    <row r="2035" spans="1:9" x14ac:dyDescent="0.3">
      <c r="A2035" t="s">
        <v>4771</v>
      </c>
      <c r="B2035" t="s">
        <v>981</v>
      </c>
      <c r="C2035">
        <v>1</v>
      </c>
      <c r="D2035" t="s">
        <v>151</v>
      </c>
      <c r="E2035" t="s">
        <v>163</v>
      </c>
    </row>
    <row r="2036" spans="1:9" x14ac:dyDescent="0.3">
      <c r="A2036" t="s">
        <v>4772</v>
      </c>
      <c r="B2036" t="s">
        <v>4773</v>
      </c>
      <c r="C2036">
        <v>0.5</v>
      </c>
      <c r="D2036" t="s">
        <v>37</v>
      </c>
      <c r="E2036" t="s">
        <v>4774</v>
      </c>
      <c r="I2036" t="s">
        <v>4775</v>
      </c>
    </row>
    <row r="2037" spans="1:9" x14ac:dyDescent="0.3">
      <c r="A2037" t="s">
        <v>4776</v>
      </c>
      <c r="B2037" t="s">
        <v>2110</v>
      </c>
      <c r="C2037">
        <v>12.5</v>
      </c>
      <c r="D2037" t="s">
        <v>29</v>
      </c>
      <c r="E2037" t="s">
        <v>199</v>
      </c>
    </row>
    <row r="2038" spans="1:9" x14ac:dyDescent="0.3">
      <c r="A2038" t="s">
        <v>4777</v>
      </c>
      <c r="B2038" t="s">
        <v>4172</v>
      </c>
      <c r="C2038">
        <v>1.5</v>
      </c>
      <c r="D2038" t="s">
        <v>23</v>
      </c>
      <c r="E2038" t="s">
        <v>487</v>
      </c>
    </row>
    <row r="2039" spans="1:9" x14ac:dyDescent="0.3">
      <c r="A2039" t="s">
        <v>4778</v>
      </c>
      <c r="B2039" t="s">
        <v>3780</v>
      </c>
      <c r="C2039">
        <v>0.5</v>
      </c>
      <c r="E2039" t="s">
        <v>183</v>
      </c>
      <c r="I2039" t="s">
        <v>289</v>
      </c>
    </row>
    <row r="2040" spans="1:9" x14ac:dyDescent="0.3">
      <c r="A2040" t="s">
        <v>4779</v>
      </c>
      <c r="B2040" t="s">
        <v>4780</v>
      </c>
      <c r="C2040">
        <v>4</v>
      </c>
      <c r="D2040" t="s">
        <v>91</v>
      </c>
      <c r="E2040" t="s">
        <v>4781</v>
      </c>
    </row>
    <row r="2041" spans="1:9" x14ac:dyDescent="0.3">
      <c r="A2041" t="s">
        <v>4782</v>
      </c>
      <c r="B2041" t="s">
        <v>4783</v>
      </c>
      <c r="C2041">
        <v>0.5</v>
      </c>
      <c r="D2041" t="s">
        <v>11</v>
      </c>
      <c r="E2041" t="s">
        <v>3447</v>
      </c>
    </row>
    <row r="2042" spans="1:9" x14ac:dyDescent="0.3">
      <c r="A2042" t="s">
        <v>4784</v>
      </c>
      <c r="B2042" t="s">
        <v>743</v>
      </c>
      <c r="E2042" t="s">
        <v>743</v>
      </c>
    </row>
    <row r="2043" spans="1:9" x14ac:dyDescent="0.3">
      <c r="A2043" t="s">
        <v>4785</v>
      </c>
      <c r="B2043" t="s">
        <v>2370</v>
      </c>
      <c r="C2043">
        <v>1</v>
      </c>
      <c r="D2043" t="s">
        <v>284</v>
      </c>
      <c r="E2043" t="s">
        <v>413</v>
      </c>
      <c r="F2043" t="s">
        <v>1571</v>
      </c>
    </row>
    <row r="2044" spans="1:9" x14ac:dyDescent="0.3">
      <c r="A2044" t="s">
        <v>1425</v>
      </c>
      <c r="B2044" t="s">
        <v>4786</v>
      </c>
      <c r="C2044">
        <v>1</v>
      </c>
      <c r="D2044" t="s">
        <v>23</v>
      </c>
      <c r="E2044" t="s">
        <v>1416</v>
      </c>
    </row>
    <row r="2045" spans="1:9" x14ac:dyDescent="0.3">
      <c r="A2045" t="s">
        <v>4787</v>
      </c>
      <c r="B2045" t="s">
        <v>4788</v>
      </c>
      <c r="C2045">
        <v>4.5</v>
      </c>
      <c r="D2045" t="s">
        <v>71</v>
      </c>
      <c r="E2045" t="s">
        <v>24</v>
      </c>
      <c r="I2045" t="s">
        <v>4789</v>
      </c>
    </row>
    <row r="2046" spans="1:9" x14ac:dyDescent="0.3">
      <c r="A2046" t="s">
        <v>4790</v>
      </c>
      <c r="B2046" t="s">
        <v>4791</v>
      </c>
      <c r="C2046">
        <v>2</v>
      </c>
      <c r="D2046" t="s">
        <v>345</v>
      </c>
      <c r="E2046" t="s">
        <v>2763</v>
      </c>
    </row>
    <row r="2047" spans="1:9" x14ac:dyDescent="0.3">
      <c r="A2047" t="s">
        <v>4792</v>
      </c>
      <c r="B2047" t="s">
        <v>4793</v>
      </c>
      <c r="C2047">
        <v>1.5</v>
      </c>
      <c r="D2047" t="s">
        <v>23</v>
      </c>
      <c r="E2047" t="s">
        <v>1003</v>
      </c>
    </row>
    <row r="2048" spans="1:9" x14ac:dyDescent="0.3">
      <c r="A2048" t="s">
        <v>4794</v>
      </c>
      <c r="B2048" t="s">
        <v>1905</v>
      </c>
      <c r="C2048">
        <v>12.5</v>
      </c>
      <c r="D2048" t="s">
        <v>29</v>
      </c>
      <c r="E2048" t="s">
        <v>1231</v>
      </c>
    </row>
    <row r="2049" spans="1:9" x14ac:dyDescent="0.3">
      <c r="A2049" t="s">
        <v>4795</v>
      </c>
      <c r="B2049" t="s">
        <v>4796</v>
      </c>
      <c r="C2049">
        <v>1.5</v>
      </c>
      <c r="D2049" t="s">
        <v>23</v>
      </c>
      <c r="E2049" t="s">
        <v>4797</v>
      </c>
    </row>
    <row r="2050" spans="1:9" x14ac:dyDescent="0.3">
      <c r="A2050" t="s">
        <v>4798</v>
      </c>
      <c r="B2050" t="s">
        <v>4799</v>
      </c>
      <c r="C2050">
        <v>1.5</v>
      </c>
      <c r="D2050" t="s">
        <v>23</v>
      </c>
      <c r="E2050" t="s">
        <v>1084</v>
      </c>
    </row>
    <row r="2051" spans="1:9" x14ac:dyDescent="0.3">
      <c r="A2051" t="s">
        <v>4800</v>
      </c>
      <c r="B2051" t="s">
        <v>4801</v>
      </c>
      <c r="C2051">
        <v>30</v>
      </c>
      <c r="D2051" t="s">
        <v>29</v>
      </c>
      <c r="E2051" t="s">
        <v>233</v>
      </c>
      <c r="I2051" t="s">
        <v>4802</v>
      </c>
    </row>
    <row r="2052" spans="1:9" x14ac:dyDescent="0.3">
      <c r="A2052" t="s">
        <v>4803</v>
      </c>
      <c r="B2052" t="s">
        <v>4804</v>
      </c>
      <c r="C2052">
        <v>0.5</v>
      </c>
      <c r="D2052" t="s">
        <v>23</v>
      </c>
      <c r="E2052" t="s">
        <v>4805</v>
      </c>
    </row>
    <row r="2053" spans="1:9" x14ac:dyDescent="0.3">
      <c r="A2053" t="s">
        <v>4806</v>
      </c>
      <c r="B2053" t="s">
        <v>4807</v>
      </c>
      <c r="C2053">
        <v>10</v>
      </c>
      <c r="D2053" t="s">
        <v>29</v>
      </c>
      <c r="E2053" t="s">
        <v>4808</v>
      </c>
    </row>
    <row r="2054" spans="1:9" x14ac:dyDescent="0.3">
      <c r="A2054" t="s">
        <v>4809</v>
      </c>
      <c r="B2054" t="s">
        <v>3600</v>
      </c>
      <c r="C2054">
        <v>1</v>
      </c>
      <c r="D2054" t="s">
        <v>11</v>
      </c>
      <c r="E2054" t="s">
        <v>2211</v>
      </c>
    </row>
    <row r="2055" spans="1:9" x14ac:dyDescent="0.3">
      <c r="A2055" t="s">
        <v>4810</v>
      </c>
      <c r="B2055" t="s">
        <v>4811</v>
      </c>
      <c r="C2055">
        <v>1.5</v>
      </c>
      <c r="D2055" t="s">
        <v>345</v>
      </c>
      <c r="E2055" t="s">
        <v>4812</v>
      </c>
    </row>
    <row r="2056" spans="1:9" x14ac:dyDescent="0.3">
      <c r="A2056" t="s">
        <v>4813</v>
      </c>
      <c r="B2056" t="s">
        <v>4814</v>
      </c>
      <c r="C2056">
        <v>0.5</v>
      </c>
      <c r="D2056" t="s">
        <v>284</v>
      </c>
      <c r="E2056" t="s">
        <v>4815</v>
      </c>
    </row>
    <row r="2057" spans="1:9" x14ac:dyDescent="0.3">
      <c r="A2057" t="s">
        <v>4816</v>
      </c>
      <c r="B2057" t="s">
        <v>509</v>
      </c>
      <c r="C2057">
        <v>1</v>
      </c>
      <c r="D2057" t="s">
        <v>23</v>
      </c>
      <c r="E2057" t="s">
        <v>320</v>
      </c>
    </row>
    <row r="2058" spans="1:9" x14ac:dyDescent="0.3">
      <c r="A2058" t="s">
        <v>4817</v>
      </c>
      <c r="B2058" t="s">
        <v>3582</v>
      </c>
      <c r="C2058">
        <v>6</v>
      </c>
      <c r="D2058" t="s">
        <v>23</v>
      </c>
      <c r="E2058" t="s">
        <v>738</v>
      </c>
    </row>
    <row r="2059" spans="1:9" x14ac:dyDescent="0.3">
      <c r="A2059" t="s">
        <v>4818</v>
      </c>
      <c r="B2059" t="s">
        <v>3150</v>
      </c>
      <c r="C2059">
        <v>1.5</v>
      </c>
      <c r="D2059" t="s">
        <v>23</v>
      </c>
      <c r="E2059" t="s">
        <v>847</v>
      </c>
    </row>
    <row r="2060" spans="1:9" x14ac:dyDescent="0.3">
      <c r="A2060" t="s">
        <v>4819</v>
      </c>
      <c r="B2060" t="s">
        <v>4820</v>
      </c>
      <c r="C2060">
        <v>3</v>
      </c>
      <c r="D2060" t="s">
        <v>189</v>
      </c>
      <c r="E2060" t="s">
        <v>4821</v>
      </c>
      <c r="I2060" t="s">
        <v>4822</v>
      </c>
    </row>
    <row r="2061" spans="1:9" x14ac:dyDescent="0.3">
      <c r="A2061" t="s">
        <v>4823</v>
      </c>
      <c r="B2061" t="s">
        <v>2070</v>
      </c>
      <c r="C2061">
        <v>1</v>
      </c>
      <c r="D2061" t="s">
        <v>23</v>
      </c>
      <c r="E2061" t="s">
        <v>38</v>
      </c>
      <c r="G2061" t="s">
        <v>68</v>
      </c>
    </row>
    <row r="2062" spans="1:9" x14ac:dyDescent="0.3">
      <c r="A2062" t="s">
        <v>4824</v>
      </c>
      <c r="B2062" t="s">
        <v>4825</v>
      </c>
      <c r="C2062">
        <v>1.5</v>
      </c>
      <c r="D2062" t="s">
        <v>345</v>
      </c>
      <c r="E2062" t="s">
        <v>4826</v>
      </c>
      <c r="I2062" t="s">
        <v>4827</v>
      </c>
    </row>
    <row r="2063" spans="1:9" x14ac:dyDescent="0.3">
      <c r="A2063" t="s">
        <v>4828</v>
      </c>
      <c r="B2063" t="s">
        <v>4829</v>
      </c>
      <c r="C2063">
        <v>5</v>
      </c>
      <c r="D2063" t="s">
        <v>345</v>
      </c>
      <c r="E2063" t="s">
        <v>547</v>
      </c>
    </row>
    <row r="2064" spans="1:9" x14ac:dyDescent="0.3">
      <c r="A2064" t="s">
        <v>1636</v>
      </c>
      <c r="B2064" t="s">
        <v>4830</v>
      </c>
      <c r="C2064">
        <v>200</v>
      </c>
      <c r="D2064" t="s">
        <v>29</v>
      </c>
      <c r="E2064" t="s">
        <v>738</v>
      </c>
    </row>
    <row r="2065" spans="1:9" x14ac:dyDescent="0.3">
      <c r="A2065" t="s">
        <v>4831</v>
      </c>
      <c r="B2065" t="s">
        <v>1222</v>
      </c>
      <c r="C2065">
        <v>2</v>
      </c>
      <c r="D2065" t="s">
        <v>189</v>
      </c>
      <c r="E2065" t="s">
        <v>1223</v>
      </c>
    </row>
    <row r="2066" spans="1:9" x14ac:dyDescent="0.3">
      <c r="A2066" t="s">
        <v>2704</v>
      </c>
      <c r="B2066" t="s">
        <v>4832</v>
      </c>
      <c r="C2066">
        <v>0.25</v>
      </c>
      <c r="D2066" t="s">
        <v>284</v>
      </c>
      <c r="E2066" t="s">
        <v>160</v>
      </c>
      <c r="G2066" t="s">
        <v>68</v>
      </c>
    </row>
    <row r="2067" spans="1:9" x14ac:dyDescent="0.3">
      <c r="A2067" t="s">
        <v>4833</v>
      </c>
      <c r="B2067" t="s">
        <v>1011</v>
      </c>
      <c r="E2067" t="s">
        <v>1011</v>
      </c>
    </row>
    <row r="2068" spans="1:9" x14ac:dyDescent="0.3">
      <c r="A2068" t="s">
        <v>4834</v>
      </c>
      <c r="B2068" t="s">
        <v>2070</v>
      </c>
      <c r="C2068">
        <v>1</v>
      </c>
      <c r="D2068" t="s">
        <v>23</v>
      </c>
      <c r="E2068" t="s">
        <v>38</v>
      </c>
      <c r="G2068" t="s">
        <v>68</v>
      </c>
    </row>
    <row r="2069" spans="1:9" x14ac:dyDescent="0.3">
      <c r="A2069" t="s">
        <v>4835</v>
      </c>
      <c r="B2069" t="s">
        <v>4490</v>
      </c>
      <c r="C2069">
        <v>0.5</v>
      </c>
      <c r="D2069" t="s">
        <v>37</v>
      </c>
      <c r="E2069" t="s">
        <v>38</v>
      </c>
      <c r="G2069" t="s">
        <v>68</v>
      </c>
    </row>
    <row r="2070" spans="1:9" x14ac:dyDescent="0.3">
      <c r="A2070" t="s">
        <v>4836</v>
      </c>
      <c r="B2070" t="s">
        <v>4837</v>
      </c>
      <c r="C2070">
        <v>0.33</v>
      </c>
      <c r="D2070" t="s">
        <v>23</v>
      </c>
      <c r="E2070" t="s">
        <v>4838</v>
      </c>
      <c r="I2070" t="s">
        <v>4839</v>
      </c>
    </row>
    <row r="2071" spans="1:9" x14ac:dyDescent="0.3">
      <c r="A2071" t="s">
        <v>4840</v>
      </c>
      <c r="B2071" t="s">
        <v>4841</v>
      </c>
      <c r="C2071">
        <v>1.5</v>
      </c>
      <c r="D2071" t="s">
        <v>23</v>
      </c>
      <c r="E2071" t="s">
        <v>4842</v>
      </c>
      <c r="I2071" t="s">
        <v>4843</v>
      </c>
    </row>
    <row r="2072" spans="1:9" x14ac:dyDescent="0.3">
      <c r="A2072" t="s">
        <v>1441</v>
      </c>
      <c r="B2072" t="s">
        <v>4844</v>
      </c>
      <c r="C2072">
        <v>1</v>
      </c>
      <c r="D2072" t="s">
        <v>23</v>
      </c>
      <c r="E2072" t="s">
        <v>4845</v>
      </c>
    </row>
    <row r="2073" spans="1:9" x14ac:dyDescent="0.3">
      <c r="A2073" t="s">
        <v>4846</v>
      </c>
      <c r="B2073" t="s">
        <v>4847</v>
      </c>
      <c r="C2073">
        <v>0.33</v>
      </c>
      <c r="D2073" t="s">
        <v>23</v>
      </c>
      <c r="E2073" t="s">
        <v>4848</v>
      </c>
    </row>
    <row r="2074" spans="1:9" x14ac:dyDescent="0.3">
      <c r="A2074" t="s">
        <v>4849</v>
      </c>
      <c r="B2074" t="s">
        <v>4850</v>
      </c>
      <c r="C2074">
        <v>0.2</v>
      </c>
      <c r="D2074" t="s">
        <v>23</v>
      </c>
      <c r="E2074" t="s">
        <v>299</v>
      </c>
    </row>
    <row r="2075" spans="1:9" x14ac:dyDescent="0.3">
      <c r="A2075" t="s">
        <v>4851</v>
      </c>
      <c r="B2075" t="s">
        <v>4852</v>
      </c>
      <c r="E2075" t="s">
        <v>1077</v>
      </c>
      <c r="I2075" t="s">
        <v>1146</v>
      </c>
    </row>
    <row r="2076" spans="1:9" x14ac:dyDescent="0.3">
      <c r="A2076" t="s">
        <v>4853</v>
      </c>
      <c r="B2076" t="s">
        <v>4854</v>
      </c>
      <c r="C2076">
        <v>1.5</v>
      </c>
      <c r="D2076" t="s">
        <v>23</v>
      </c>
      <c r="E2076" t="s">
        <v>281</v>
      </c>
    </row>
    <row r="2077" spans="1:9" x14ac:dyDescent="0.3">
      <c r="A2077" t="s">
        <v>4855</v>
      </c>
      <c r="B2077" t="s">
        <v>4856</v>
      </c>
      <c r="C2077">
        <v>25</v>
      </c>
      <c r="D2077" t="s">
        <v>29</v>
      </c>
      <c r="E2077" t="s">
        <v>4857</v>
      </c>
      <c r="I2077" t="s">
        <v>4858</v>
      </c>
    </row>
    <row r="2078" spans="1:9" x14ac:dyDescent="0.3">
      <c r="A2078" t="s">
        <v>4859</v>
      </c>
      <c r="B2078" t="s">
        <v>4358</v>
      </c>
      <c r="C2078">
        <v>1</v>
      </c>
      <c r="D2078" t="s">
        <v>37</v>
      </c>
      <c r="E2078" t="s">
        <v>979</v>
      </c>
    </row>
    <row r="2079" spans="1:9" x14ac:dyDescent="0.3">
      <c r="A2079" t="s">
        <v>4860</v>
      </c>
      <c r="B2079" t="s">
        <v>333</v>
      </c>
      <c r="E2079" t="s">
        <v>333</v>
      </c>
    </row>
    <row r="2080" spans="1:9" x14ac:dyDescent="0.3">
      <c r="A2080" t="s">
        <v>4861</v>
      </c>
      <c r="B2080" t="s">
        <v>4862</v>
      </c>
      <c r="C2080">
        <v>0.5</v>
      </c>
      <c r="D2080" t="s">
        <v>23</v>
      </c>
      <c r="E2080" t="s">
        <v>616</v>
      </c>
    </row>
    <row r="2081" spans="1:9" x14ac:dyDescent="0.3">
      <c r="A2081" t="s">
        <v>4863</v>
      </c>
      <c r="B2081" t="s">
        <v>4864</v>
      </c>
      <c r="C2081">
        <v>1</v>
      </c>
      <c r="E2081" t="s">
        <v>4865</v>
      </c>
      <c r="F2081" t="s">
        <v>4866</v>
      </c>
    </row>
    <row r="2082" spans="1:9" x14ac:dyDescent="0.3">
      <c r="A2082" t="s">
        <v>4867</v>
      </c>
      <c r="B2082" t="s">
        <v>4868</v>
      </c>
      <c r="C2082">
        <v>2</v>
      </c>
      <c r="D2082" t="s">
        <v>23</v>
      </c>
      <c r="E2082" t="s">
        <v>1188</v>
      </c>
    </row>
    <row r="2083" spans="1:9" x14ac:dyDescent="0.3">
      <c r="A2083" t="s">
        <v>4869</v>
      </c>
      <c r="B2083" t="s">
        <v>4870</v>
      </c>
      <c r="C2083">
        <v>16</v>
      </c>
      <c r="D2083" t="s">
        <v>23</v>
      </c>
      <c r="E2083" t="s">
        <v>75</v>
      </c>
    </row>
    <row r="2084" spans="1:9" x14ac:dyDescent="0.3">
      <c r="A2084" t="s">
        <v>4871</v>
      </c>
      <c r="B2084" t="s">
        <v>4872</v>
      </c>
      <c r="E2084" t="s">
        <v>333</v>
      </c>
      <c r="I2084" t="s">
        <v>4873</v>
      </c>
    </row>
    <row r="2085" spans="1:9" x14ac:dyDescent="0.3">
      <c r="A2085" t="s">
        <v>197</v>
      </c>
      <c r="B2085" t="s">
        <v>4874</v>
      </c>
      <c r="C2085">
        <v>4</v>
      </c>
      <c r="D2085" t="s">
        <v>23</v>
      </c>
      <c r="E2085" t="s">
        <v>4875</v>
      </c>
      <c r="I2085" t="s">
        <v>289</v>
      </c>
    </row>
    <row r="2086" spans="1:9" x14ac:dyDescent="0.3">
      <c r="A2086" t="s">
        <v>823</v>
      </c>
      <c r="B2086" t="s">
        <v>4876</v>
      </c>
      <c r="C2086">
        <v>1</v>
      </c>
      <c r="D2086" t="s">
        <v>151</v>
      </c>
      <c r="E2086" t="s">
        <v>163</v>
      </c>
      <c r="I2086" t="s">
        <v>248</v>
      </c>
    </row>
    <row r="2087" spans="1:9" x14ac:dyDescent="0.3">
      <c r="A2087" t="s">
        <v>4877</v>
      </c>
      <c r="B2087" t="s">
        <v>4878</v>
      </c>
      <c r="E2087" t="s">
        <v>2815</v>
      </c>
      <c r="I2087" t="s">
        <v>790</v>
      </c>
    </row>
    <row r="2088" spans="1:9" x14ac:dyDescent="0.3">
      <c r="A2088" t="s">
        <v>4879</v>
      </c>
      <c r="B2088" t="s">
        <v>4880</v>
      </c>
      <c r="E2088" t="s">
        <v>4881</v>
      </c>
      <c r="I2088" t="s">
        <v>1124</v>
      </c>
    </row>
    <row r="2089" spans="1:9" x14ac:dyDescent="0.3">
      <c r="A2089" t="s">
        <v>4882</v>
      </c>
      <c r="B2089" t="s">
        <v>4883</v>
      </c>
      <c r="C2089">
        <v>3</v>
      </c>
      <c r="D2089" t="s">
        <v>189</v>
      </c>
      <c r="E2089" t="s">
        <v>2214</v>
      </c>
      <c r="I2089" t="s">
        <v>4884</v>
      </c>
    </row>
    <row r="2090" spans="1:9" x14ac:dyDescent="0.3">
      <c r="A2090" t="s">
        <v>4885</v>
      </c>
      <c r="B2090" t="s">
        <v>4886</v>
      </c>
      <c r="C2090">
        <v>0.25</v>
      </c>
      <c r="D2090" t="s">
        <v>11</v>
      </c>
      <c r="E2090" t="s">
        <v>4887</v>
      </c>
      <c r="I2090" t="s">
        <v>20</v>
      </c>
    </row>
    <row r="2091" spans="1:9" x14ac:dyDescent="0.3">
      <c r="A2091" t="s">
        <v>4888</v>
      </c>
      <c r="B2091" t="s">
        <v>364</v>
      </c>
      <c r="C2091">
        <v>1</v>
      </c>
      <c r="D2091" t="s">
        <v>23</v>
      </c>
      <c r="E2091" t="s">
        <v>365</v>
      </c>
    </row>
    <row r="2092" spans="1:9" x14ac:dyDescent="0.3">
      <c r="A2092" t="s">
        <v>4889</v>
      </c>
      <c r="B2092" t="s">
        <v>4890</v>
      </c>
      <c r="C2092">
        <v>8</v>
      </c>
      <c r="D2092" t="s">
        <v>227</v>
      </c>
      <c r="E2092" t="s">
        <v>581</v>
      </c>
    </row>
    <row r="2093" spans="1:9" x14ac:dyDescent="0.3">
      <c r="A2093" t="s">
        <v>4891</v>
      </c>
      <c r="B2093" t="s">
        <v>1706</v>
      </c>
      <c r="C2093">
        <v>1</v>
      </c>
      <c r="D2093" t="s">
        <v>11</v>
      </c>
      <c r="E2093" t="s">
        <v>793</v>
      </c>
    </row>
    <row r="2094" spans="1:9" x14ac:dyDescent="0.3">
      <c r="A2094" t="s">
        <v>4892</v>
      </c>
      <c r="B2094" t="s">
        <v>4893</v>
      </c>
      <c r="C2094">
        <v>0.75</v>
      </c>
      <c r="D2094" t="s">
        <v>284</v>
      </c>
      <c r="E2094" t="s">
        <v>160</v>
      </c>
      <c r="F2094" t="s">
        <v>167</v>
      </c>
      <c r="G2094" t="s">
        <v>168</v>
      </c>
      <c r="I2094" t="s">
        <v>4894</v>
      </c>
    </row>
    <row r="2095" spans="1:9" x14ac:dyDescent="0.3">
      <c r="A2095" t="s">
        <v>4895</v>
      </c>
      <c r="B2095" t="s">
        <v>4896</v>
      </c>
      <c r="C2095">
        <v>1.5</v>
      </c>
      <c r="D2095" t="s">
        <v>345</v>
      </c>
      <c r="E2095" t="s">
        <v>2602</v>
      </c>
    </row>
    <row r="2096" spans="1:9" x14ac:dyDescent="0.3">
      <c r="A2096" t="s">
        <v>4897</v>
      </c>
      <c r="B2096" t="s">
        <v>4898</v>
      </c>
      <c r="C2096" t="s">
        <v>4899</v>
      </c>
      <c r="D2096" t="s">
        <v>23</v>
      </c>
      <c r="E2096" t="s">
        <v>738</v>
      </c>
    </row>
    <row r="2097" spans="1:9" x14ac:dyDescent="0.3">
      <c r="A2097" t="s">
        <v>4900</v>
      </c>
      <c r="B2097" t="s">
        <v>4901</v>
      </c>
      <c r="C2097">
        <v>0.5</v>
      </c>
      <c r="D2097" t="s">
        <v>23</v>
      </c>
      <c r="E2097" t="s">
        <v>115</v>
      </c>
    </row>
    <row r="2098" spans="1:9" x14ac:dyDescent="0.3">
      <c r="A2098" t="s">
        <v>4902</v>
      </c>
      <c r="B2098" t="s">
        <v>4903</v>
      </c>
      <c r="C2098">
        <v>0.5</v>
      </c>
      <c r="D2098" t="s">
        <v>37</v>
      </c>
      <c r="E2098" t="s">
        <v>4904</v>
      </c>
    </row>
    <row r="2099" spans="1:9" x14ac:dyDescent="0.3">
      <c r="A2099" t="s">
        <v>4905</v>
      </c>
      <c r="B2099" t="s">
        <v>4906</v>
      </c>
      <c r="C2099">
        <v>1</v>
      </c>
      <c r="D2099" t="s">
        <v>206</v>
      </c>
      <c r="E2099" t="s">
        <v>4907</v>
      </c>
    </row>
    <row r="2100" spans="1:9" x14ac:dyDescent="0.3">
      <c r="A2100" t="s">
        <v>4908</v>
      </c>
      <c r="B2100" t="s">
        <v>152</v>
      </c>
      <c r="E2100" t="s">
        <v>152</v>
      </c>
    </row>
    <row r="2101" spans="1:9" x14ac:dyDescent="0.3">
      <c r="A2101" t="s">
        <v>1012</v>
      </c>
      <c r="B2101" t="s">
        <v>4333</v>
      </c>
      <c r="C2101">
        <v>1</v>
      </c>
      <c r="D2101" t="s">
        <v>23</v>
      </c>
      <c r="E2101" t="s">
        <v>2204</v>
      </c>
      <c r="I2101" t="s">
        <v>289</v>
      </c>
    </row>
    <row r="2102" spans="1:9" x14ac:dyDescent="0.3">
      <c r="A2102" t="s">
        <v>4909</v>
      </c>
      <c r="B2102" t="s">
        <v>4910</v>
      </c>
      <c r="C2102">
        <v>2.67</v>
      </c>
      <c r="D2102" t="s">
        <v>227</v>
      </c>
      <c r="E2102" t="s">
        <v>741</v>
      </c>
      <c r="G2102" t="s">
        <v>68</v>
      </c>
    </row>
    <row r="2103" spans="1:9" x14ac:dyDescent="0.3">
      <c r="A2103" t="s">
        <v>4911</v>
      </c>
      <c r="B2103" t="s">
        <v>3004</v>
      </c>
      <c r="C2103">
        <v>3</v>
      </c>
      <c r="D2103" t="s">
        <v>23</v>
      </c>
      <c r="E2103" t="s">
        <v>241</v>
      </c>
    </row>
    <row r="2104" spans="1:9" x14ac:dyDescent="0.3">
      <c r="A2104" t="s">
        <v>4912</v>
      </c>
      <c r="B2104" t="s">
        <v>4913</v>
      </c>
      <c r="C2104">
        <v>1</v>
      </c>
      <c r="D2104" t="s">
        <v>11</v>
      </c>
      <c r="E2104" t="s">
        <v>1003</v>
      </c>
      <c r="I2104" t="s">
        <v>289</v>
      </c>
    </row>
    <row r="2105" spans="1:9" x14ac:dyDescent="0.3">
      <c r="A2105" t="s">
        <v>161</v>
      </c>
      <c r="B2105" t="s">
        <v>4914</v>
      </c>
      <c r="C2105">
        <v>30</v>
      </c>
      <c r="D2105" t="s">
        <v>29</v>
      </c>
      <c r="E2105" t="s">
        <v>4915</v>
      </c>
    </row>
    <row r="2106" spans="1:9" x14ac:dyDescent="0.3">
      <c r="A2106" t="s">
        <v>4916</v>
      </c>
      <c r="B2106" t="s">
        <v>4917</v>
      </c>
      <c r="C2106">
        <v>3</v>
      </c>
      <c r="E2106" t="s">
        <v>518</v>
      </c>
    </row>
    <row r="2107" spans="1:9" x14ac:dyDescent="0.3">
      <c r="A2107" t="s">
        <v>4918</v>
      </c>
      <c r="B2107" t="s">
        <v>4919</v>
      </c>
      <c r="C2107">
        <v>0.5</v>
      </c>
      <c r="D2107" t="s">
        <v>23</v>
      </c>
      <c r="E2107" t="s">
        <v>30</v>
      </c>
    </row>
    <row r="2108" spans="1:9" x14ac:dyDescent="0.3">
      <c r="A2108" t="s">
        <v>2894</v>
      </c>
      <c r="B2108" t="s">
        <v>4920</v>
      </c>
      <c r="C2108">
        <v>30</v>
      </c>
      <c r="D2108" t="s">
        <v>29</v>
      </c>
      <c r="E2108" t="s">
        <v>241</v>
      </c>
      <c r="F2108" t="s">
        <v>4921</v>
      </c>
    </row>
    <row r="2109" spans="1:9" x14ac:dyDescent="0.3">
      <c r="A2109" t="s">
        <v>4792</v>
      </c>
      <c r="B2109" t="s">
        <v>3488</v>
      </c>
      <c r="D2109" t="s">
        <v>33</v>
      </c>
      <c r="E2109" t="s">
        <v>1056</v>
      </c>
    </row>
    <row r="2110" spans="1:9" x14ac:dyDescent="0.3">
      <c r="A2110" t="s">
        <v>4922</v>
      </c>
      <c r="B2110" t="s">
        <v>4923</v>
      </c>
      <c r="C2110">
        <v>2</v>
      </c>
      <c r="D2110" t="s">
        <v>227</v>
      </c>
      <c r="E2110" t="s">
        <v>4924</v>
      </c>
    </row>
    <row r="2111" spans="1:9" x14ac:dyDescent="0.3">
      <c r="A2111" t="s">
        <v>4925</v>
      </c>
      <c r="B2111" t="s">
        <v>4926</v>
      </c>
      <c r="C2111">
        <v>2</v>
      </c>
      <c r="D2111" t="s">
        <v>23</v>
      </c>
      <c r="E2111" t="s">
        <v>880</v>
      </c>
    </row>
    <row r="2112" spans="1:9" x14ac:dyDescent="0.3">
      <c r="A2112" t="s">
        <v>4927</v>
      </c>
      <c r="B2112" t="s">
        <v>4928</v>
      </c>
      <c r="C2112">
        <v>0.33</v>
      </c>
      <c r="D2112" t="s">
        <v>2210</v>
      </c>
      <c r="E2112" t="s">
        <v>4929</v>
      </c>
      <c r="I2112" t="s">
        <v>289</v>
      </c>
    </row>
    <row r="2113" spans="1:9" x14ac:dyDescent="0.3">
      <c r="A2113" t="s">
        <v>4930</v>
      </c>
      <c r="B2113" t="s">
        <v>333</v>
      </c>
      <c r="E2113" t="s">
        <v>333</v>
      </c>
    </row>
    <row r="2114" spans="1:9" x14ac:dyDescent="0.3">
      <c r="A2114" t="s">
        <v>4931</v>
      </c>
      <c r="B2114" t="s">
        <v>4932</v>
      </c>
      <c r="C2114">
        <v>1.5</v>
      </c>
      <c r="D2114" t="s">
        <v>345</v>
      </c>
      <c r="E2114" t="s">
        <v>4933</v>
      </c>
    </row>
    <row r="2115" spans="1:9" x14ac:dyDescent="0.3">
      <c r="A2115" t="s">
        <v>4934</v>
      </c>
      <c r="B2115" t="s">
        <v>3014</v>
      </c>
      <c r="C2115">
        <v>0.5</v>
      </c>
      <c r="D2115" t="s">
        <v>11</v>
      </c>
      <c r="E2115" t="s">
        <v>1457</v>
      </c>
    </row>
    <row r="2116" spans="1:9" x14ac:dyDescent="0.3">
      <c r="A2116" t="s">
        <v>4935</v>
      </c>
      <c r="B2116" t="s">
        <v>4936</v>
      </c>
      <c r="C2116">
        <v>0.33</v>
      </c>
      <c r="D2116" t="s">
        <v>23</v>
      </c>
      <c r="E2116" t="s">
        <v>712</v>
      </c>
    </row>
    <row r="2117" spans="1:9" x14ac:dyDescent="0.3">
      <c r="A2117" t="s">
        <v>4937</v>
      </c>
      <c r="B2117" t="s">
        <v>4938</v>
      </c>
      <c r="C2117">
        <v>0.33</v>
      </c>
      <c r="D2117" t="s">
        <v>23</v>
      </c>
      <c r="E2117" t="s">
        <v>349</v>
      </c>
    </row>
    <row r="2118" spans="1:9" x14ac:dyDescent="0.3">
      <c r="A2118" t="s">
        <v>4939</v>
      </c>
      <c r="B2118" t="s">
        <v>4940</v>
      </c>
      <c r="C2118">
        <v>2</v>
      </c>
      <c r="D2118" t="s">
        <v>345</v>
      </c>
      <c r="E2118" t="s">
        <v>2385</v>
      </c>
    </row>
    <row r="2119" spans="1:9" x14ac:dyDescent="0.3">
      <c r="A2119" t="s">
        <v>4941</v>
      </c>
      <c r="B2119" t="s">
        <v>562</v>
      </c>
      <c r="C2119">
        <v>0.5</v>
      </c>
      <c r="D2119" t="s">
        <v>23</v>
      </c>
      <c r="E2119" t="s">
        <v>563</v>
      </c>
    </row>
    <row r="2120" spans="1:9" x14ac:dyDescent="0.3">
      <c r="A2120" t="s">
        <v>4942</v>
      </c>
      <c r="B2120" t="s">
        <v>1097</v>
      </c>
      <c r="E2120" t="s">
        <v>1097</v>
      </c>
    </row>
    <row r="2121" spans="1:9" x14ac:dyDescent="0.3">
      <c r="A2121" t="s">
        <v>4943</v>
      </c>
      <c r="B2121" t="s">
        <v>159</v>
      </c>
      <c r="C2121">
        <v>0.75</v>
      </c>
      <c r="D2121" t="s">
        <v>23</v>
      </c>
      <c r="E2121" t="s">
        <v>160</v>
      </c>
      <c r="G2121" t="s">
        <v>68</v>
      </c>
    </row>
    <row r="2122" spans="1:9" x14ac:dyDescent="0.3">
      <c r="A2122" t="s">
        <v>4944</v>
      </c>
      <c r="B2122" t="s">
        <v>4945</v>
      </c>
      <c r="C2122">
        <v>2</v>
      </c>
      <c r="E2122" t="s">
        <v>1440</v>
      </c>
    </row>
    <row r="2123" spans="1:9" x14ac:dyDescent="0.3">
      <c r="A2123" t="s">
        <v>4946</v>
      </c>
      <c r="B2123" t="s">
        <v>4947</v>
      </c>
      <c r="C2123">
        <v>0.25</v>
      </c>
      <c r="D2123" t="s">
        <v>37</v>
      </c>
      <c r="E2123" t="s">
        <v>4948</v>
      </c>
      <c r="I2123" t="s">
        <v>1931</v>
      </c>
    </row>
    <row r="2124" spans="1:9" x14ac:dyDescent="0.3">
      <c r="A2124" t="s">
        <v>4949</v>
      </c>
      <c r="B2124" t="s">
        <v>4950</v>
      </c>
      <c r="C2124">
        <v>1</v>
      </c>
      <c r="D2124" t="s">
        <v>120</v>
      </c>
      <c r="E2124" t="s">
        <v>2078</v>
      </c>
      <c r="I2124" t="s">
        <v>289</v>
      </c>
    </row>
    <row r="2125" spans="1:9" x14ac:dyDescent="0.3">
      <c r="A2125" t="s">
        <v>4951</v>
      </c>
      <c r="B2125" t="s">
        <v>1442</v>
      </c>
      <c r="C2125">
        <v>6</v>
      </c>
      <c r="D2125" t="s">
        <v>23</v>
      </c>
      <c r="E2125" t="s">
        <v>108</v>
      </c>
    </row>
    <row r="2126" spans="1:9" x14ac:dyDescent="0.3">
      <c r="A2126" t="s">
        <v>4952</v>
      </c>
      <c r="B2126" t="s">
        <v>4953</v>
      </c>
      <c r="C2126">
        <v>0.5</v>
      </c>
      <c r="E2126" t="s">
        <v>377</v>
      </c>
      <c r="F2126" t="s">
        <v>1983</v>
      </c>
      <c r="I2126" t="s">
        <v>4954</v>
      </c>
    </row>
    <row r="2127" spans="1:9" x14ac:dyDescent="0.3">
      <c r="A2127" t="s">
        <v>411</v>
      </c>
      <c r="B2127" t="s">
        <v>4955</v>
      </c>
      <c r="C2127">
        <v>3</v>
      </c>
      <c r="D2127" t="s">
        <v>23</v>
      </c>
      <c r="E2127" t="s">
        <v>4956</v>
      </c>
      <c r="H2127" t="s">
        <v>3945</v>
      </c>
    </row>
    <row r="2128" spans="1:9" x14ac:dyDescent="0.3">
      <c r="A2128" t="s">
        <v>4957</v>
      </c>
      <c r="B2128" t="s">
        <v>4958</v>
      </c>
      <c r="E2128" t="s">
        <v>57</v>
      </c>
      <c r="I2128" t="s">
        <v>4959</v>
      </c>
    </row>
    <row r="2129" spans="1:9" x14ac:dyDescent="0.3">
      <c r="A2129" t="s">
        <v>4960</v>
      </c>
      <c r="B2129" t="s">
        <v>4961</v>
      </c>
      <c r="C2129">
        <v>40</v>
      </c>
      <c r="D2129" t="s">
        <v>29</v>
      </c>
      <c r="E2129" t="s">
        <v>2496</v>
      </c>
    </row>
    <row r="2130" spans="1:9" x14ac:dyDescent="0.3">
      <c r="A2130" t="s">
        <v>4962</v>
      </c>
      <c r="B2130" t="s">
        <v>4963</v>
      </c>
      <c r="C2130">
        <v>0.5</v>
      </c>
      <c r="D2130" t="s">
        <v>37</v>
      </c>
      <c r="E2130" t="s">
        <v>3729</v>
      </c>
    </row>
    <row r="2131" spans="1:9" x14ac:dyDescent="0.3">
      <c r="A2131" t="s">
        <v>4964</v>
      </c>
      <c r="B2131" t="s">
        <v>4460</v>
      </c>
      <c r="C2131">
        <v>8</v>
      </c>
      <c r="D2131" t="s">
        <v>23</v>
      </c>
      <c r="E2131" t="s">
        <v>2138</v>
      </c>
    </row>
    <row r="2132" spans="1:9" x14ac:dyDescent="0.3">
      <c r="A2132" t="s">
        <v>4965</v>
      </c>
      <c r="B2132" t="s">
        <v>4966</v>
      </c>
      <c r="C2132">
        <v>1.5</v>
      </c>
      <c r="D2132" t="s">
        <v>345</v>
      </c>
      <c r="E2132" t="s">
        <v>4967</v>
      </c>
    </row>
    <row r="2133" spans="1:9" x14ac:dyDescent="0.3">
      <c r="A2133" t="s">
        <v>4968</v>
      </c>
      <c r="B2133" t="s">
        <v>4969</v>
      </c>
      <c r="C2133">
        <v>2</v>
      </c>
      <c r="D2133" t="s">
        <v>23</v>
      </c>
      <c r="E2133" t="s">
        <v>4970</v>
      </c>
    </row>
    <row r="2134" spans="1:9" x14ac:dyDescent="0.3">
      <c r="A2134" t="s">
        <v>4971</v>
      </c>
      <c r="B2134" t="s">
        <v>4972</v>
      </c>
      <c r="C2134">
        <v>1</v>
      </c>
      <c r="D2134" t="s">
        <v>1785</v>
      </c>
      <c r="E2134" t="s">
        <v>320</v>
      </c>
    </row>
    <row r="2135" spans="1:9" x14ac:dyDescent="0.3">
      <c r="A2135" t="s">
        <v>4973</v>
      </c>
      <c r="B2135" t="s">
        <v>4974</v>
      </c>
      <c r="C2135">
        <v>0.5</v>
      </c>
      <c r="D2135" t="s">
        <v>284</v>
      </c>
      <c r="E2135" t="s">
        <v>4975</v>
      </c>
    </row>
    <row r="2136" spans="1:9" x14ac:dyDescent="0.3">
      <c r="A2136" t="s">
        <v>4976</v>
      </c>
      <c r="B2136" t="s">
        <v>3085</v>
      </c>
      <c r="C2136">
        <v>1</v>
      </c>
      <c r="D2136" t="s">
        <v>23</v>
      </c>
      <c r="E2136" t="s">
        <v>1059</v>
      </c>
    </row>
    <row r="2137" spans="1:9" x14ac:dyDescent="0.3">
      <c r="A2137" t="s">
        <v>4977</v>
      </c>
      <c r="B2137" t="s">
        <v>4978</v>
      </c>
      <c r="C2137">
        <v>3</v>
      </c>
      <c r="D2137" t="s">
        <v>227</v>
      </c>
      <c r="E2137" t="s">
        <v>728</v>
      </c>
    </row>
    <row r="2138" spans="1:9" x14ac:dyDescent="0.3">
      <c r="A2138" t="s">
        <v>4979</v>
      </c>
      <c r="B2138" t="s">
        <v>4980</v>
      </c>
      <c r="C2138">
        <v>1</v>
      </c>
      <c r="D2138" t="s">
        <v>23</v>
      </c>
      <c r="E2138" t="s">
        <v>4981</v>
      </c>
    </row>
    <row r="2139" spans="1:9" x14ac:dyDescent="0.3">
      <c r="A2139" t="s">
        <v>4982</v>
      </c>
      <c r="B2139" t="s">
        <v>4983</v>
      </c>
      <c r="C2139">
        <v>1</v>
      </c>
      <c r="D2139" t="s">
        <v>11</v>
      </c>
      <c r="E2139" t="s">
        <v>30</v>
      </c>
    </row>
    <row r="2140" spans="1:9" x14ac:dyDescent="0.3">
      <c r="A2140" t="s">
        <v>4984</v>
      </c>
      <c r="B2140" t="s">
        <v>4985</v>
      </c>
      <c r="C2140">
        <v>0.75</v>
      </c>
      <c r="D2140" t="s">
        <v>23</v>
      </c>
      <c r="E2140" t="s">
        <v>4580</v>
      </c>
      <c r="G2140" t="s">
        <v>68</v>
      </c>
    </row>
    <row r="2141" spans="1:9" x14ac:dyDescent="0.3">
      <c r="A2141" t="s">
        <v>4986</v>
      </c>
      <c r="B2141" t="s">
        <v>4987</v>
      </c>
      <c r="C2141">
        <v>1</v>
      </c>
      <c r="D2141" t="s">
        <v>23</v>
      </c>
      <c r="E2141" t="s">
        <v>3449</v>
      </c>
    </row>
    <row r="2142" spans="1:9" x14ac:dyDescent="0.3">
      <c r="A2142" t="s">
        <v>4988</v>
      </c>
      <c r="B2142" t="s">
        <v>4989</v>
      </c>
      <c r="C2142">
        <v>2</v>
      </c>
      <c r="D2142" t="s">
        <v>23</v>
      </c>
      <c r="E2142" t="s">
        <v>4990</v>
      </c>
    </row>
    <row r="2143" spans="1:9" x14ac:dyDescent="0.3">
      <c r="A2143" t="s">
        <v>4991</v>
      </c>
      <c r="B2143" t="s">
        <v>2359</v>
      </c>
      <c r="C2143">
        <v>6</v>
      </c>
      <c r="D2143" t="s">
        <v>345</v>
      </c>
      <c r="E2143" t="s">
        <v>160</v>
      </c>
      <c r="F2143" t="s">
        <v>167</v>
      </c>
      <c r="G2143" t="s">
        <v>168</v>
      </c>
      <c r="I2143" t="s">
        <v>325</v>
      </c>
    </row>
    <row r="2144" spans="1:9" x14ac:dyDescent="0.3">
      <c r="A2144" t="s">
        <v>4992</v>
      </c>
      <c r="B2144" t="s">
        <v>4993</v>
      </c>
      <c r="C2144">
        <v>4</v>
      </c>
      <c r="D2144" t="s">
        <v>146</v>
      </c>
      <c r="E2144" t="s">
        <v>292</v>
      </c>
    </row>
    <row r="2145" spans="1:9" x14ac:dyDescent="0.3">
      <c r="A2145" t="s">
        <v>4994</v>
      </c>
      <c r="B2145" t="s">
        <v>4995</v>
      </c>
      <c r="C2145">
        <v>0.25</v>
      </c>
      <c r="D2145" t="s">
        <v>37</v>
      </c>
      <c r="E2145" t="s">
        <v>4996</v>
      </c>
      <c r="I2145" t="s">
        <v>4997</v>
      </c>
    </row>
    <row r="2146" spans="1:9" x14ac:dyDescent="0.3">
      <c r="A2146" t="s">
        <v>2122</v>
      </c>
      <c r="B2146" t="s">
        <v>4197</v>
      </c>
      <c r="C2146">
        <v>3</v>
      </c>
      <c r="D2146" t="s">
        <v>1338</v>
      </c>
      <c r="E2146" t="s">
        <v>1043</v>
      </c>
      <c r="I2146" t="s">
        <v>289</v>
      </c>
    </row>
    <row r="2147" spans="1:9" x14ac:dyDescent="0.3">
      <c r="A2147" t="s">
        <v>4998</v>
      </c>
      <c r="B2147" t="s">
        <v>4999</v>
      </c>
      <c r="C2147">
        <v>1.5</v>
      </c>
      <c r="D2147" t="s">
        <v>23</v>
      </c>
      <c r="E2147" t="s">
        <v>880</v>
      </c>
    </row>
    <row r="2148" spans="1:9" x14ac:dyDescent="0.3">
      <c r="A2148" t="s">
        <v>5000</v>
      </c>
      <c r="B2148" t="s">
        <v>5001</v>
      </c>
      <c r="E2148" t="s">
        <v>5001</v>
      </c>
    </row>
    <row r="2149" spans="1:9" x14ac:dyDescent="0.3">
      <c r="A2149" t="s">
        <v>5002</v>
      </c>
      <c r="B2149" t="s">
        <v>5003</v>
      </c>
      <c r="C2149">
        <v>60</v>
      </c>
      <c r="D2149" t="s">
        <v>29</v>
      </c>
      <c r="E2149" t="s">
        <v>402</v>
      </c>
    </row>
    <row r="2150" spans="1:9" x14ac:dyDescent="0.3">
      <c r="A2150" t="s">
        <v>5004</v>
      </c>
      <c r="B2150" t="s">
        <v>5005</v>
      </c>
      <c r="D2150" t="s">
        <v>5006</v>
      </c>
      <c r="E2150" t="s">
        <v>5007</v>
      </c>
      <c r="I2150" t="s">
        <v>3287</v>
      </c>
    </row>
    <row r="2151" spans="1:9" x14ac:dyDescent="0.3">
      <c r="A2151" t="s">
        <v>5008</v>
      </c>
      <c r="B2151" t="s">
        <v>5009</v>
      </c>
      <c r="C2151">
        <v>0.75</v>
      </c>
      <c r="D2151" t="s">
        <v>37</v>
      </c>
      <c r="E2151" t="s">
        <v>5010</v>
      </c>
      <c r="G2151" t="s">
        <v>68</v>
      </c>
    </row>
    <row r="2152" spans="1:9" x14ac:dyDescent="0.3">
      <c r="A2152" t="s">
        <v>5011</v>
      </c>
      <c r="B2152" t="s">
        <v>5012</v>
      </c>
      <c r="C2152">
        <v>0.75</v>
      </c>
      <c r="D2152" t="s">
        <v>37</v>
      </c>
      <c r="E2152" t="s">
        <v>494</v>
      </c>
    </row>
    <row r="2153" spans="1:9" x14ac:dyDescent="0.3">
      <c r="A2153" t="s">
        <v>5013</v>
      </c>
      <c r="B2153" t="s">
        <v>1545</v>
      </c>
      <c r="E2153" t="s">
        <v>333</v>
      </c>
      <c r="F2153" t="s">
        <v>1247</v>
      </c>
    </row>
    <row r="2154" spans="1:9" x14ac:dyDescent="0.3">
      <c r="A2154" t="s">
        <v>5014</v>
      </c>
      <c r="B2154" t="s">
        <v>3782</v>
      </c>
      <c r="C2154">
        <v>10</v>
      </c>
      <c r="D2154" t="s">
        <v>29</v>
      </c>
      <c r="E2154" t="s">
        <v>30</v>
      </c>
    </row>
    <row r="2155" spans="1:9" x14ac:dyDescent="0.3">
      <c r="A2155" t="s">
        <v>5015</v>
      </c>
      <c r="B2155" t="s">
        <v>5016</v>
      </c>
      <c r="C2155">
        <v>1</v>
      </c>
      <c r="D2155" t="s">
        <v>23</v>
      </c>
      <c r="E2155" t="s">
        <v>5017</v>
      </c>
    </row>
    <row r="2156" spans="1:9" x14ac:dyDescent="0.3">
      <c r="A2156" t="s">
        <v>5018</v>
      </c>
      <c r="B2156" t="s">
        <v>5019</v>
      </c>
      <c r="C2156">
        <v>3</v>
      </c>
      <c r="D2156" t="s">
        <v>23</v>
      </c>
      <c r="E2156" t="s">
        <v>64</v>
      </c>
    </row>
    <row r="2157" spans="1:9" x14ac:dyDescent="0.3">
      <c r="A2157" t="s">
        <v>5020</v>
      </c>
      <c r="B2157" t="s">
        <v>5021</v>
      </c>
      <c r="C2157">
        <v>0.5</v>
      </c>
      <c r="D2157" t="s">
        <v>37</v>
      </c>
      <c r="E2157" t="s">
        <v>5022</v>
      </c>
    </row>
    <row r="2158" spans="1:9" x14ac:dyDescent="0.3">
      <c r="A2158" t="s">
        <v>5023</v>
      </c>
      <c r="B2158" t="s">
        <v>1838</v>
      </c>
      <c r="C2158">
        <v>1.5</v>
      </c>
      <c r="D2158" t="s">
        <v>345</v>
      </c>
      <c r="E2158" t="s">
        <v>41</v>
      </c>
    </row>
    <row r="2159" spans="1:9" x14ac:dyDescent="0.3">
      <c r="A2159" t="s">
        <v>5024</v>
      </c>
      <c r="B2159" t="s">
        <v>5025</v>
      </c>
      <c r="C2159">
        <v>60</v>
      </c>
      <c r="D2159" t="s">
        <v>29</v>
      </c>
      <c r="E2159" t="s">
        <v>5026</v>
      </c>
    </row>
    <row r="2160" spans="1:9" x14ac:dyDescent="0.3">
      <c r="A2160" t="s">
        <v>4100</v>
      </c>
      <c r="B2160" t="s">
        <v>5027</v>
      </c>
      <c r="C2160">
        <v>2</v>
      </c>
      <c r="D2160" t="s">
        <v>345</v>
      </c>
      <c r="E2160" t="s">
        <v>41</v>
      </c>
    </row>
    <row r="2161" spans="1:9" x14ac:dyDescent="0.3">
      <c r="A2161" t="s">
        <v>5028</v>
      </c>
      <c r="B2161" t="s">
        <v>5029</v>
      </c>
      <c r="C2161">
        <v>25</v>
      </c>
      <c r="D2161" t="s">
        <v>29</v>
      </c>
      <c r="E2161" t="s">
        <v>5030</v>
      </c>
    </row>
    <row r="2162" spans="1:9" x14ac:dyDescent="0.3">
      <c r="A2162" t="s">
        <v>5031</v>
      </c>
      <c r="B2162" t="s">
        <v>5032</v>
      </c>
      <c r="C2162">
        <v>10</v>
      </c>
      <c r="D2162" t="s">
        <v>29</v>
      </c>
      <c r="E2162" t="s">
        <v>5033</v>
      </c>
    </row>
    <row r="2163" spans="1:9" x14ac:dyDescent="0.3">
      <c r="A2163" t="s">
        <v>5034</v>
      </c>
      <c r="B2163" t="s">
        <v>5035</v>
      </c>
      <c r="C2163">
        <v>0.5</v>
      </c>
      <c r="D2163" t="s">
        <v>23</v>
      </c>
      <c r="E2163" t="s">
        <v>5036</v>
      </c>
    </row>
    <row r="2164" spans="1:9" x14ac:dyDescent="0.3">
      <c r="A2164" t="s">
        <v>5037</v>
      </c>
      <c r="B2164" t="s">
        <v>4366</v>
      </c>
      <c r="C2164">
        <v>37.5</v>
      </c>
      <c r="D2164" t="s">
        <v>29</v>
      </c>
      <c r="E2164" t="s">
        <v>233</v>
      </c>
    </row>
    <row r="2165" spans="1:9" x14ac:dyDescent="0.3">
      <c r="A2165" t="s">
        <v>5038</v>
      </c>
      <c r="B2165" t="s">
        <v>5039</v>
      </c>
      <c r="C2165">
        <v>2</v>
      </c>
      <c r="D2165" t="s">
        <v>227</v>
      </c>
      <c r="E2165" t="s">
        <v>209</v>
      </c>
    </row>
    <row r="2166" spans="1:9" x14ac:dyDescent="0.3">
      <c r="A2166" t="s">
        <v>5040</v>
      </c>
      <c r="B2166" t="s">
        <v>4579</v>
      </c>
      <c r="C2166">
        <v>1</v>
      </c>
      <c r="E2166" t="s">
        <v>4580</v>
      </c>
    </row>
    <row r="2167" spans="1:9" x14ac:dyDescent="0.3">
      <c r="A2167" t="s">
        <v>5041</v>
      </c>
      <c r="B2167" t="s">
        <v>317</v>
      </c>
      <c r="E2167" t="s">
        <v>317</v>
      </c>
    </row>
    <row r="2168" spans="1:9" x14ac:dyDescent="0.3">
      <c r="A2168" t="s">
        <v>5042</v>
      </c>
      <c r="B2168" t="s">
        <v>5043</v>
      </c>
      <c r="C2168">
        <v>1.5</v>
      </c>
      <c r="D2168" t="s">
        <v>23</v>
      </c>
      <c r="E2168" t="s">
        <v>233</v>
      </c>
      <c r="I2168" t="s">
        <v>289</v>
      </c>
    </row>
    <row r="2169" spans="1:9" x14ac:dyDescent="0.3">
      <c r="A2169" t="s">
        <v>5044</v>
      </c>
      <c r="B2169" t="s">
        <v>5045</v>
      </c>
      <c r="C2169">
        <v>1</v>
      </c>
      <c r="D2169" t="s">
        <v>1785</v>
      </c>
      <c r="E2169" t="s">
        <v>5046</v>
      </c>
    </row>
    <row r="2170" spans="1:9" x14ac:dyDescent="0.3">
      <c r="A2170" t="s">
        <v>5047</v>
      </c>
      <c r="B2170" t="s">
        <v>5048</v>
      </c>
      <c r="C2170">
        <v>2</v>
      </c>
      <c r="D2170" t="s">
        <v>23</v>
      </c>
      <c r="E2170" t="s">
        <v>355</v>
      </c>
    </row>
    <row r="2171" spans="1:9" x14ac:dyDescent="0.3">
      <c r="A2171" t="s">
        <v>5049</v>
      </c>
      <c r="B2171" t="s">
        <v>4926</v>
      </c>
      <c r="C2171">
        <v>2</v>
      </c>
      <c r="D2171" t="s">
        <v>23</v>
      </c>
      <c r="E2171" t="s">
        <v>880</v>
      </c>
    </row>
    <row r="2172" spans="1:9" x14ac:dyDescent="0.3">
      <c r="A2172" t="s">
        <v>5050</v>
      </c>
      <c r="B2172" t="s">
        <v>5051</v>
      </c>
      <c r="C2172">
        <v>1</v>
      </c>
      <c r="D2172" t="s">
        <v>11</v>
      </c>
      <c r="E2172" t="s">
        <v>5052</v>
      </c>
    </row>
    <row r="2173" spans="1:9" x14ac:dyDescent="0.3">
      <c r="A2173" t="s">
        <v>5053</v>
      </c>
      <c r="B2173" t="s">
        <v>5054</v>
      </c>
      <c r="C2173">
        <v>0.5</v>
      </c>
      <c r="D2173" t="s">
        <v>23</v>
      </c>
      <c r="E2173" t="s">
        <v>638</v>
      </c>
    </row>
    <row r="2174" spans="1:9" x14ac:dyDescent="0.3">
      <c r="A2174" t="s">
        <v>5055</v>
      </c>
      <c r="B2174" t="s">
        <v>5056</v>
      </c>
      <c r="C2174">
        <v>30</v>
      </c>
      <c r="D2174" t="s">
        <v>29</v>
      </c>
      <c r="E2174" t="s">
        <v>30</v>
      </c>
    </row>
    <row r="2175" spans="1:9" x14ac:dyDescent="0.3">
      <c r="A2175" t="s">
        <v>5057</v>
      </c>
      <c r="B2175" t="s">
        <v>5058</v>
      </c>
      <c r="C2175">
        <v>1</v>
      </c>
      <c r="D2175" t="s">
        <v>18</v>
      </c>
      <c r="E2175" t="s">
        <v>857</v>
      </c>
    </row>
    <row r="2176" spans="1:9" x14ac:dyDescent="0.3">
      <c r="A2176" t="s">
        <v>5059</v>
      </c>
      <c r="B2176" t="s">
        <v>5060</v>
      </c>
      <c r="C2176">
        <v>1</v>
      </c>
      <c r="D2176" t="s">
        <v>23</v>
      </c>
      <c r="E2176" t="s">
        <v>5036</v>
      </c>
    </row>
    <row r="2177" spans="1:9" x14ac:dyDescent="0.3">
      <c r="A2177" t="s">
        <v>5061</v>
      </c>
      <c r="B2177" t="s">
        <v>3110</v>
      </c>
      <c r="C2177">
        <v>0.5</v>
      </c>
      <c r="D2177" t="s">
        <v>11</v>
      </c>
      <c r="E2177" t="s">
        <v>423</v>
      </c>
    </row>
    <row r="2178" spans="1:9" x14ac:dyDescent="0.3">
      <c r="A2178" t="s">
        <v>5062</v>
      </c>
      <c r="B2178" t="s">
        <v>5063</v>
      </c>
      <c r="C2178">
        <v>0.25</v>
      </c>
      <c r="D2178" t="s">
        <v>23</v>
      </c>
      <c r="E2178" t="s">
        <v>2292</v>
      </c>
    </row>
    <row r="2179" spans="1:9" x14ac:dyDescent="0.3">
      <c r="A2179" t="s">
        <v>5064</v>
      </c>
      <c r="B2179" t="s">
        <v>1959</v>
      </c>
      <c r="C2179">
        <v>1</v>
      </c>
      <c r="D2179" t="s">
        <v>18</v>
      </c>
      <c r="E2179" t="s">
        <v>1223</v>
      </c>
    </row>
    <row r="2180" spans="1:9" x14ac:dyDescent="0.3">
      <c r="A2180" t="s">
        <v>5065</v>
      </c>
      <c r="B2180" t="s">
        <v>3136</v>
      </c>
      <c r="C2180">
        <v>2</v>
      </c>
      <c r="E2180" t="s">
        <v>1056</v>
      </c>
    </row>
    <row r="2181" spans="1:9" x14ac:dyDescent="0.3">
      <c r="A2181" t="s">
        <v>3982</v>
      </c>
      <c r="B2181" t="s">
        <v>5066</v>
      </c>
      <c r="C2181">
        <v>15</v>
      </c>
      <c r="D2181" t="s">
        <v>29</v>
      </c>
      <c r="E2181" t="s">
        <v>5067</v>
      </c>
    </row>
    <row r="2182" spans="1:9" x14ac:dyDescent="0.3">
      <c r="A2182" t="s">
        <v>5068</v>
      </c>
      <c r="B2182" t="s">
        <v>5069</v>
      </c>
      <c r="C2182">
        <v>50</v>
      </c>
      <c r="D2182" t="s">
        <v>29</v>
      </c>
      <c r="E2182" t="s">
        <v>30</v>
      </c>
    </row>
    <row r="2183" spans="1:9" x14ac:dyDescent="0.3">
      <c r="A2183" t="s">
        <v>5070</v>
      </c>
      <c r="B2183" t="s">
        <v>5071</v>
      </c>
      <c r="D2183" t="s">
        <v>435</v>
      </c>
      <c r="E2183" t="s">
        <v>237</v>
      </c>
      <c r="I2183" t="s">
        <v>5072</v>
      </c>
    </row>
    <row r="2184" spans="1:9" x14ac:dyDescent="0.3">
      <c r="A2184" t="s">
        <v>5073</v>
      </c>
      <c r="B2184" t="s">
        <v>5074</v>
      </c>
      <c r="C2184">
        <v>160</v>
      </c>
      <c r="D2184" t="s">
        <v>23</v>
      </c>
      <c r="E2184" t="s">
        <v>5075</v>
      </c>
    </row>
    <row r="2185" spans="1:9" x14ac:dyDescent="0.3">
      <c r="A2185" t="s">
        <v>5076</v>
      </c>
      <c r="B2185" t="s">
        <v>5077</v>
      </c>
      <c r="C2185">
        <v>1</v>
      </c>
      <c r="D2185" t="s">
        <v>23</v>
      </c>
      <c r="E2185" t="s">
        <v>3163</v>
      </c>
    </row>
    <row r="2186" spans="1:9" x14ac:dyDescent="0.3">
      <c r="A2186" t="s">
        <v>312</v>
      </c>
      <c r="B2186" t="s">
        <v>5078</v>
      </c>
      <c r="C2186">
        <v>1</v>
      </c>
      <c r="D2186" t="s">
        <v>314</v>
      </c>
      <c r="E2186" t="s">
        <v>5079</v>
      </c>
    </row>
    <row r="2187" spans="1:9" x14ac:dyDescent="0.3">
      <c r="A2187" t="s">
        <v>5080</v>
      </c>
      <c r="B2187" t="s">
        <v>5081</v>
      </c>
      <c r="E2187" t="s">
        <v>5082</v>
      </c>
      <c r="I2187" t="s">
        <v>1968</v>
      </c>
    </row>
    <row r="2188" spans="1:9" x14ac:dyDescent="0.3">
      <c r="A2188" t="s">
        <v>5083</v>
      </c>
      <c r="B2188" t="s">
        <v>5084</v>
      </c>
      <c r="C2188">
        <v>0.5</v>
      </c>
      <c r="E2188" t="s">
        <v>5085</v>
      </c>
    </row>
    <row r="2189" spans="1:9" x14ac:dyDescent="0.3">
      <c r="A2189" t="s">
        <v>5086</v>
      </c>
      <c r="B2189" t="s">
        <v>5087</v>
      </c>
      <c r="C2189">
        <v>60</v>
      </c>
      <c r="D2189" t="s">
        <v>29</v>
      </c>
      <c r="E2189" t="s">
        <v>233</v>
      </c>
      <c r="I2189" t="s">
        <v>917</v>
      </c>
    </row>
    <row r="2190" spans="1:9" x14ac:dyDescent="0.3">
      <c r="A2190" t="s">
        <v>204</v>
      </c>
      <c r="B2190" t="s">
        <v>5088</v>
      </c>
      <c r="C2190">
        <v>1</v>
      </c>
      <c r="D2190" t="s">
        <v>284</v>
      </c>
      <c r="E2190" t="s">
        <v>413</v>
      </c>
      <c r="I2190" t="s">
        <v>4067</v>
      </c>
    </row>
    <row r="2191" spans="1:9" x14ac:dyDescent="0.3">
      <c r="A2191" t="s">
        <v>5089</v>
      </c>
      <c r="B2191" t="s">
        <v>2663</v>
      </c>
      <c r="C2191">
        <v>15</v>
      </c>
      <c r="D2191" t="s">
        <v>29</v>
      </c>
      <c r="E2191" t="s">
        <v>30</v>
      </c>
    </row>
    <row r="2192" spans="1:9" x14ac:dyDescent="0.3">
      <c r="A2192" t="s">
        <v>4750</v>
      </c>
      <c r="B2192" t="s">
        <v>5090</v>
      </c>
      <c r="C2192">
        <v>20</v>
      </c>
      <c r="E2192" t="s">
        <v>5091</v>
      </c>
      <c r="F2192" t="s">
        <v>908</v>
      </c>
    </row>
    <row r="2193" spans="1:9" x14ac:dyDescent="0.3">
      <c r="A2193" t="s">
        <v>5092</v>
      </c>
      <c r="B2193" t="s">
        <v>5093</v>
      </c>
      <c r="E2193" t="s">
        <v>5093</v>
      </c>
    </row>
    <row r="2194" spans="1:9" x14ac:dyDescent="0.3">
      <c r="A2194" t="s">
        <v>5094</v>
      </c>
      <c r="B2194" t="s">
        <v>5095</v>
      </c>
      <c r="C2194">
        <v>0.75</v>
      </c>
      <c r="D2194" t="s">
        <v>11</v>
      </c>
      <c r="E2194" t="s">
        <v>5096</v>
      </c>
    </row>
    <row r="2195" spans="1:9" x14ac:dyDescent="0.3">
      <c r="A2195" t="s">
        <v>5097</v>
      </c>
      <c r="B2195" t="s">
        <v>5098</v>
      </c>
      <c r="C2195">
        <v>1</v>
      </c>
      <c r="D2195" t="s">
        <v>469</v>
      </c>
      <c r="E2195" t="s">
        <v>1097</v>
      </c>
    </row>
    <row r="2196" spans="1:9" x14ac:dyDescent="0.3">
      <c r="A2196" t="s">
        <v>5099</v>
      </c>
      <c r="B2196" t="s">
        <v>5100</v>
      </c>
      <c r="C2196">
        <v>1</v>
      </c>
      <c r="D2196" t="s">
        <v>11</v>
      </c>
      <c r="E2196" t="s">
        <v>2703</v>
      </c>
    </row>
    <row r="2197" spans="1:9" x14ac:dyDescent="0.3">
      <c r="A2197" t="s">
        <v>5101</v>
      </c>
      <c r="B2197" t="s">
        <v>5102</v>
      </c>
      <c r="C2197">
        <v>12</v>
      </c>
      <c r="D2197" t="s">
        <v>23</v>
      </c>
      <c r="E2197" t="s">
        <v>81</v>
      </c>
    </row>
    <row r="2198" spans="1:9" x14ac:dyDescent="0.3">
      <c r="A2198" t="s">
        <v>2491</v>
      </c>
      <c r="B2198" t="s">
        <v>5103</v>
      </c>
      <c r="C2198" t="s">
        <v>5104</v>
      </c>
      <c r="E2198" t="s">
        <v>5105</v>
      </c>
      <c r="F2198" t="s">
        <v>2210</v>
      </c>
      <c r="I2198" t="s">
        <v>289</v>
      </c>
    </row>
    <row r="2199" spans="1:9" x14ac:dyDescent="0.3">
      <c r="A2199" t="s">
        <v>5106</v>
      </c>
      <c r="B2199" t="s">
        <v>5107</v>
      </c>
      <c r="C2199">
        <v>2</v>
      </c>
      <c r="E2199" t="s">
        <v>5108</v>
      </c>
    </row>
    <row r="2200" spans="1:9" x14ac:dyDescent="0.3">
      <c r="A2200" t="s">
        <v>5050</v>
      </c>
      <c r="B2200" t="s">
        <v>5109</v>
      </c>
      <c r="C2200">
        <v>1</v>
      </c>
      <c r="D2200" t="s">
        <v>11</v>
      </c>
      <c r="E2200" t="s">
        <v>597</v>
      </c>
    </row>
    <row r="2201" spans="1:9" x14ac:dyDescent="0.3">
      <c r="A2201" t="s">
        <v>5110</v>
      </c>
      <c r="B2201" t="s">
        <v>1644</v>
      </c>
      <c r="E2201" t="s">
        <v>1644</v>
      </c>
    </row>
    <row r="2202" spans="1:9" x14ac:dyDescent="0.3">
      <c r="A2202" t="s">
        <v>5111</v>
      </c>
      <c r="B2202" t="s">
        <v>5112</v>
      </c>
      <c r="C2202">
        <v>2</v>
      </c>
      <c r="D2202" t="s">
        <v>189</v>
      </c>
      <c r="E2202" t="s">
        <v>5113</v>
      </c>
    </row>
    <row r="2203" spans="1:9" x14ac:dyDescent="0.3">
      <c r="A2203" t="s">
        <v>5114</v>
      </c>
      <c r="B2203" t="s">
        <v>5115</v>
      </c>
      <c r="C2203">
        <v>5</v>
      </c>
      <c r="D2203" t="s">
        <v>23</v>
      </c>
      <c r="E2203" t="s">
        <v>281</v>
      </c>
    </row>
    <row r="2204" spans="1:9" x14ac:dyDescent="0.3">
      <c r="A2204" t="s">
        <v>5116</v>
      </c>
      <c r="B2204" t="s">
        <v>5117</v>
      </c>
      <c r="C2204">
        <v>10.5</v>
      </c>
      <c r="D2204" t="s">
        <v>91</v>
      </c>
      <c r="E2204" t="s">
        <v>233</v>
      </c>
    </row>
    <row r="2205" spans="1:9" x14ac:dyDescent="0.3">
      <c r="A2205" t="s">
        <v>5118</v>
      </c>
      <c r="B2205" t="s">
        <v>152</v>
      </c>
      <c r="E2205" t="s">
        <v>152</v>
      </c>
    </row>
    <row r="2206" spans="1:9" x14ac:dyDescent="0.3">
      <c r="A2206" t="s">
        <v>5119</v>
      </c>
      <c r="B2206" t="s">
        <v>5120</v>
      </c>
      <c r="C2206">
        <v>0.75</v>
      </c>
      <c r="D2206" t="s">
        <v>37</v>
      </c>
      <c r="E2206" t="s">
        <v>5121</v>
      </c>
    </row>
    <row r="2207" spans="1:9" x14ac:dyDescent="0.3">
      <c r="A2207" t="s">
        <v>5122</v>
      </c>
      <c r="B2207" t="s">
        <v>986</v>
      </c>
      <c r="C2207">
        <v>0.5</v>
      </c>
      <c r="D2207" t="s">
        <v>23</v>
      </c>
      <c r="E2207" t="s">
        <v>712</v>
      </c>
    </row>
    <row r="2208" spans="1:9" x14ac:dyDescent="0.3">
      <c r="A2208" t="s">
        <v>5123</v>
      </c>
      <c r="B2208" t="s">
        <v>5124</v>
      </c>
      <c r="C2208" t="s">
        <v>5125</v>
      </c>
      <c r="D2208" t="s">
        <v>23</v>
      </c>
      <c r="E2208" t="s">
        <v>649</v>
      </c>
    </row>
    <row r="2209" spans="1:9" x14ac:dyDescent="0.3">
      <c r="A2209" t="s">
        <v>5126</v>
      </c>
      <c r="B2209" t="s">
        <v>5127</v>
      </c>
      <c r="C2209">
        <v>1</v>
      </c>
      <c r="D2209" t="s">
        <v>23</v>
      </c>
      <c r="E2209" t="s">
        <v>4276</v>
      </c>
    </row>
    <row r="2210" spans="1:9" x14ac:dyDescent="0.3">
      <c r="A2210" t="s">
        <v>5128</v>
      </c>
      <c r="B2210" t="s">
        <v>5129</v>
      </c>
      <c r="C2210">
        <v>1</v>
      </c>
      <c r="D2210" t="s">
        <v>612</v>
      </c>
      <c r="E2210" t="s">
        <v>5130</v>
      </c>
    </row>
    <row r="2211" spans="1:9" x14ac:dyDescent="0.3">
      <c r="A2211" t="s">
        <v>5131</v>
      </c>
      <c r="B2211" t="s">
        <v>5132</v>
      </c>
      <c r="C2211">
        <v>1</v>
      </c>
      <c r="D2211" t="s">
        <v>120</v>
      </c>
      <c r="E2211" t="s">
        <v>4306</v>
      </c>
    </row>
    <row r="2212" spans="1:9" x14ac:dyDescent="0.3">
      <c r="A2212" t="s">
        <v>5133</v>
      </c>
      <c r="B2212" t="s">
        <v>5134</v>
      </c>
      <c r="C2212">
        <v>0.5</v>
      </c>
      <c r="D2212" t="s">
        <v>284</v>
      </c>
      <c r="E2212" t="s">
        <v>160</v>
      </c>
      <c r="G2212" t="s">
        <v>68</v>
      </c>
    </row>
    <row r="2213" spans="1:9" x14ac:dyDescent="0.3">
      <c r="A2213" t="s">
        <v>5135</v>
      </c>
      <c r="B2213" t="s">
        <v>5136</v>
      </c>
      <c r="C2213">
        <v>10</v>
      </c>
      <c r="E2213" t="s">
        <v>538</v>
      </c>
    </row>
    <row r="2214" spans="1:9" x14ac:dyDescent="0.3">
      <c r="A2214" t="s">
        <v>5137</v>
      </c>
      <c r="B2214" t="s">
        <v>4244</v>
      </c>
      <c r="C2214">
        <v>0.25</v>
      </c>
      <c r="D2214" t="s">
        <v>37</v>
      </c>
      <c r="E2214" t="s">
        <v>81</v>
      </c>
    </row>
    <row r="2215" spans="1:9" x14ac:dyDescent="0.3">
      <c r="A2215" t="s">
        <v>5138</v>
      </c>
      <c r="B2215" t="s">
        <v>1101</v>
      </c>
      <c r="C2215">
        <v>1</v>
      </c>
      <c r="D2215" t="s">
        <v>23</v>
      </c>
      <c r="E2215" t="s">
        <v>328</v>
      </c>
    </row>
    <row r="2216" spans="1:9" x14ac:dyDescent="0.3">
      <c r="A2216" t="s">
        <v>1296</v>
      </c>
      <c r="B2216" t="s">
        <v>518</v>
      </c>
      <c r="E2216" t="s">
        <v>518</v>
      </c>
    </row>
    <row r="2217" spans="1:9" x14ac:dyDescent="0.3">
      <c r="A2217" t="s">
        <v>5139</v>
      </c>
      <c r="B2217" t="s">
        <v>3920</v>
      </c>
      <c r="C2217">
        <v>0.75</v>
      </c>
      <c r="D2217" t="s">
        <v>37</v>
      </c>
      <c r="E2217" t="s">
        <v>38</v>
      </c>
      <c r="G2217" t="s">
        <v>168</v>
      </c>
      <c r="I2217" t="s">
        <v>325</v>
      </c>
    </row>
    <row r="2218" spans="1:9" x14ac:dyDescent="0.3">
      <c r="A2218" t="s">
        <v>5140</v>
      </c>
      <c r="B2218" t="s">
        <v>1101</v>
      </c>
      <c r="C2218">
        <v>1</v>
      </c>
      <c r="D2218" t="s">
        <v>23</v>
      </c>
      <c r="E2218" t="s">
        <v>328</v>
      </c>
    </row>
    <row r="2219" spans="1:9" x14ac:dyDescent="0.3">
      <c r="A2219" t="s">
        <v>5141</v>
      </c>
      <c r="B2219" t="s">
        <v>5142</v>
      </c>
      <c r="C2219" t="s">
        <v>5143</v>
      </c>
      <c r="D2219" t="s">
        <v>625</v>
      </c>
      <c r="E2219" t="s">
        <v>5144</v>
      </c>
      <c r="I2219" t="s">
        <v>5145</v>
      </c>
    </row>
    <row r="2220" spans="1:9" x14ac:dyDescent="0.3">
      <c r="A2220" t="s">
        <v>5146</v>
      </c>
      <c r="B2220" t="s">
        <v>5147</v>
      </c>
      <c r="C2220">
        <v>1</v>
      </c>
      <c r="D2220" t="s">
        <v>284</v>
      </c>
      <c r="E2220" t="s">
        <v>41</v>
      </c>
    </row>
    <row r="2221" spans="1:9" x14ac:dyDescent="0.3">
      <c r="A2221" t="s">
        <v>5148</v>
      </c>
      <c r="B2221" t="s">
        <v>5149</v>
      </c>
      <c r="C2221">
        <v>1</v>
      </c>
      <c r="D2221" t="s">
        <v>585</v>
      </c>
      <c r="E2221" t="s">
        <v>5150</v>
      </c>
      <c r="I2221" t="s">
        <v>248</v>
      </c>
    </row>
    <row r="2222" spans="1:9" x14ac:dyDescent="0.3">
      <c r="A2222" t="s">
        <v>5151</v>
      </c>
      <c r="B2222" t="s">
        <v>1055</v>
      </c>
      <c r="C2222">
        <v>1</v>
      </c>
      <c r="D2222" t="s">
        <v>585</v>
      </c>
      <c r="E2222" t="s">
        <v>1056</v>
      </c>
      <c r="I2222" t="s">
        <v>248</v>
      </c>
    </row>
    <row r="2223" spans="1:9" x14ac:dyDescent="0.3">
      <c r="A2223" t="s">
        <v>5152</v>
      </c>
      <c r="B2223" t="s">
        <v>5153</v>
      </c>
      <c r="C2223">
        <v>1.25</v>
      </c>
      <c r="D2223" t="s">
        <v>345</v>
      </c>
      <c r="E2223" t="s">
        <v>4407</v>
      </c>
    </row>
    <row r="2224" spans="1:9" x14ac:dyDescent="0.3">
      <c r="A2224" t="s">
        <v>5154</v>
      </c>
      <c r="B2224" t="s">
        <v>5155</v>
      </c>
      <c r="C2224">
        <v>10</v>
      </c>
      <c r="D2224" t="s">
        <v>29</v>
      </c>
      <c r="E2224" t="s">
        <v>5156</v>
      </c>
      <c r="I2224" t="s">
        <v>20</v>
      </c>
    </row>
    <row r="2225" spans="1:9" x14ac:dyDescent="0.3">
      <c r="A2225" t="s">
        <v>5157</v>
      </c>
      <c r="B2225" t="s">
        <v>5158</v>
      </c>
      <c r="C2225">
        <v>1.5</v>
      </c>
      <c r="D2225" t="s">
        <v>91</v>
      </c>
      <c r="E2225" t="s">
        <v>183</v>
      </c>
      <c r="G2225" t="s">
        <v>68</v>
      </c>
    </row>
    <row r="2226" spans="1:9" x14ac:dyDescent="0.3">
      <c r="A2226" t="s">
        <v>5159</v>
      </c>
      <c r="B2226" t="s">
        <v>5160</v>
      </c>
      <c r="C2226">
        <v>2</v>
      </c>
      <c r="E2226" t="s">
        <v>5161</v>
      </c>
    </row>
    <row r="2227" spans="1:9" x14ac:dyDescent="0.3">
      <c r="A2227" t="s">
        <v>5162</v>
      </c>
      <c r="B2227" t="s">
        <v>5163</v>
      </c>
      <c r="C2227">
        <v>0.75</v>
      </c>
      <c r="D2227" t="s">
        <v>91</v>
      </c>
      <c r="E2227" t="s">
        <v>5164</v>
      </c>
    </row>
    <row r="2228" spans="1:9" x14ac:dyDescent="0.3">
      <c r="A2228" t="s">
        <v>5165</v>
      </c>
      <c r="B2228" t="s">
        <v>5166</v>
      </c>
      <c r="C2228">
        <v>12.5</v>
      </c>
      <c r="D2228" t="s">
        <v>29</v>
      </c>
      <c r="E2228" t="s">
        <v>5167</v>
      </c>
    </row>
    <row r="2229" spans="1:9" x14ac:dyDescent="0.3">
      <c r="A2229" t="s">
        <v>5168</v>
      </c>
      <c r="B2229" t="s">
        <v>2667</v>
      </c>
      <c r="C2229">
        <v>0.5</v>
      </c>
      <c r="D2229" t="s">
        <v>37</v>
      </c>
      <c r="E2229" t="s">
        <v>2449</v>
      </c>
    </row>
    <row r="2230" spans="1:9" x14ac:dyDescent="0.3">
      <c r="A2230" t="s">
        <v>5169</v>
      </c>
      <c r="B2230" t="s">
        <v>5170</v>
      </c>
      <c r="C2230">
        <v>4</v>
      </c>
      <c r="D2230" t="s">
        <v>91</v>
      </c>
      <c r="E2230" t="s">
        <v>482</v>
      </c>
      <c r="I2230" t="s">
        <v>20</v>
      </c>
    </row>
    <row r="2231" spans="1:9" x14ac:dyDescent="0.3">
      <c r="A2231" t="s">
        <v>5171</v>
      </c>
      <c r="B2231" t="s">
        <v>5172</v>
      </c>
      <c r="C2231">
        <v>1</v>
      </c>
      <c r="D2231" t="s">
        <v>11</v>
      </c>
      <c r="E2231" t="s">
        <v>5173</v>
      </c>
    </row>
    <row r="2232" spans="1:9" x14ac:dyDescent="0.3">
      <c r="A2232" t="s">
        <v>2664</v>
      </c>
      <c r="B2232" t="s">
        <v>5174</v>
      </c>
      <c r="C2232">
        <v>1</v>
      </c>
      <c r="D2232" t="s">
        <v>23</v>
      </c>
      <c r="E2232" t="s">
        <v>38</v>
      </c>
    </row>
    <row r="2233" spans="1:9" x14ac:dyDescent="0.3">
      <c r="A2233" t="s">
        <v>5175</v>
      </c>
      <c r="B2233" t="s">
        <v>1611</v>
      </c>
      <c r="C2233">
        <v>0.75</v>
      </c>
      <c r="D2233" t="s">
        <v>37</v>
      </c>
      <c r="E2233" t="s">
        <v>160</v>
      </c>
    </row>
    <row r="2234" spans="1:9" x14ac:dyDescent="0.3">
      <c r="A2234" t="s">
        <v>5176</v>
      </c>
      <c r="B2234" t="s">
        <v>5177</v>
      </c>
      <c r="C2234">
        <v>0.75</v>
      </c>
      <c r="D2234" t="s">
        <v>361</v>
      </c>
      <c r="E2234" t="s">
        <v>5178</v>
      </c>
    </row>
    <row r="2235" spans="1:9" x14ac:dyDescent="0.3">
      <c r="A2235" t="s">
        <v>5179</v>
      </c>
      <c r="B2235" t="s">
        <v>5180</v>
      </c>
      <c r="C2235">
        <v>1</v>
      </c>
      <c r="D2235" t="s">
        <v>37</v>
      </c>
      <c r="E2235" t="s">
        <v>2243</v>
      </c>
    </row>
    <row r="2236" spans="1:9" x14ac:dyDescent="0.3">
      <c r="A2236" t="s">
        <v>5181</v>
      </c>
      <c r="B2236" t="s">
        <v>2565</v>
      </c>
      <c r="C2236">
        <v>0.5</v>
      </c>
      <c r="D2236" t="s">
        <v>11</v>
      </c>
      <c r="E2236" t="s">
        <v>2146</v>
      </c>
    </row>
    <row r="2237" spans="1:9" x14ac:dyDescent="0.3">
      <c r="A2237" t="s">
        <v>5182</v>
      </c>
      <c r="B2237" t="s">
        <v>674</v>
      </c>
      <c r="C2237">
        <v>0.5</v>
      </c>
      <c r="D2237" t="s">
        <v>23</v>
      </c>
      <c r="E2237" t="s">
        <v>38</v>
      </c>
      <c r="G2237" t="s">
        <v>68</v>
      </c>
    </row>
    <row r="2238" spans="1:9" x14ac:dyDescent="0.3">
      <c r="A2238" t="s">
        <v>5183</v>
      </c>
      <c r="B2238" t="s">
        <v>5184</v>
      </c>
      <c r="C2238">
        <v>1.5</v>
      </c>
      <c r="D2238" t="s">
        <v>23</v>
      </c>
      <c r="E2238" t="s">
        <v>1136</v>
      </c>
    </row>
    <row r="2239" spans="1:9" x14ac:dyDescent="0.3">
      <c r="A2239" t="s">
        <v>5185</v>
      </c>
      <c r="B2239" t="s">
        <v>5186</v>
      </c>
      <c r="C2239">
        <v>15</v>
      </c>
      <c r="D2239" t="s">
        <v>29</v>
      </c>
      <c r="E2239" t="s">
        <v>5187</v>
      </c>
    </row>
    <row r="2240" spans="1:9" x14ac:dyDescent="0.3">
      <c r="A2240" t="s">
        <v>5188</v>
      </c>
      <c r="B2240" t="s">
        <v>4558</v>
      </c>
      <c r="C2240">
        <v>150</v>
      </c>
      <c r="D2240" t="s">
        <v>29</v>
      </c>
      <c r="E2240" t="s">
        <v>765</v>
      </c>
    </row>
    <row r="2241" spans="1:9" x14ac:dyDescent="0.3">
      <c r="A2241" t="s">
        <v>5189</v>
      </c>
      <c r="B2241" t="s">
        <v>5190</v>
      </c>
      <c r="C2241">
        <v>2</v>
      </c>
      <c r="D2241" t="s">
        <v>1338</v>
      </c>
      <c r="E2241" t="s">
        <v>331</v>
      </c>
    </row>
    <row r="2242" spans="1:9" x14ac:dyDescent="0.3">
      <c r="A2242" t="s">
        <v>5191</v>
      </c>
      <c r="B2242" t="s">
        <v>5192</v>
      </c>
      <c r="C2242">
        <v>2</v>
      </c>
      <c r="D2242" t="s">
        <v>23</v>
      </c>
      <c r="E2242" t="s">
        <v>233</v>
      </c>
    </row>
    <row r="2243" spans="1:9" x14ac:dyDescent="0.3">
      <c r="A2243" t="s">
        <v>5193</v>
      </c>
      <c r="B2243" t="s">
        <v>3845</v>
      </c>
      <c r="C2243">
        <v>0.5</v>
      </c>
      <c r="D2243" t="s">
        <v>23</v>
      </c>
      <c r="E2243" t="s">
        <v>241</v>
      </c>
    </row>
    <row r="2244" spans="1:9" x14ac:dyDescent="0.3">
      <c r="A2244" t="s">
        <v>5194</v>
      </c>
      <c r="B2244" t="s">
        <v>5195</v>
      </c>
      <c r="C2244">
        <v>0.5</v>
      </c>
      <c r="E2244" t="s">
        <v>1440</v>
      </c>
    </row>
    <row r="2245" spans="1:9" x14ac:dyDescent="0.3">
      <c r="A2245" t="s">
        <v>5101</v>
      </c>
      <c r="B2245" t="s">
        <v>5196</v>
      </c>
      <c r="C2245">
        <v>34</v>
      </c>
      <c r="D2245" t="s">
        <v>23</v>
      </c>
      <c r="E2245" t="s">
        <v>288</v>
      </c>
    </row>
    <row r="2246" spans="1:9" x14ac:dyDescent="0.3">
      <c r="A2246" t="s">
        <v>5197</v>
      </c>
      <c r="B2246" t="s">
        <v>272</v>
      </c>
      <c r="C2246">
        <v>0.5</v>
      </c>
      <c r="D2246" t="s">
        <v>23</v>
      </c>
      <c r="E2246" t="s">
        <v>265</v>
      </c>
    </row>
    <row r="2247" spans="1:9" x14ac:dyDescent="0.3">
      <c r="A2247" t="s">
        <v>5198</v>
      </c>
      <c r="B2247" t="s">
        <v>5199</v>
      </c>
      <c r="C2247">
        <v>4</v>
      </c>
      <c r="D2247" t="s">
        <v>2826</v>
      </c>
      <c r="E2247" t="s">
        <v>2424</v>
      </c>
    </row>
    <row r="2248" spans="1:9" x14ac:dyDescent="0.3">
      <c r="A2248" t="s">
        <v>3125</v>
      </c>
      <c r="B2248" t="s">
        <v>5200</v>
      </c>
      <c r="C2248">
        <v>2</v>
      </c>
      <c r="D2248" t="s">
        <v>23</v>
      </c>
      <c r="E2248" t="s">
        <v>1445</v>
      </c>
      <c r="I2248" t="s">
        <v>289</v>
      </c>
    </row>
    <row r="2249" spans="1:9" x14ac:dyDescent="0.3">
      <c r="A2249" t="s">
        <v>5201</v>
      </c>
      <c r="B2249" t="s">
        <v>5202</v>
      </c>
      <c r="C2249">
        <v>0.75</v>
      </c>
      <c r="D2249" t="s">
        <v>23</v>
      </c>
      <c r="E2249" t="s">
        <v>616</v>
      </c>
    </row>
    <row r="2250" spans="1:9" x14ac:dyDescent="0.3">
      <c r="A2250" t="s">
        <v>5203</v>
      </c>
      <c r="B2250" t="s">
        <v>5204</v>
      </c>
      <c r="C2250">
        <v>0.5</v>
      </c>
      <c r="D2250" t="s">
        <v>23</v>
      </c>
      <c r="E2250" t="s">
        <v>5205</v>
      </c>
    </row>
    <row r="2251" spans="1:9" x14ac:dyDescent="0.3">
      <c r="A2251" t="s">
        <v>5206</v>
      </c>
      <c r="B2251" t="s">
        <v>5207</v>
      </c>
      <c r="C2251">
        <v>2</v>
      </c>
      <c r="D2251" t="s">
        <v>23</v>
      </c>
      <c r="E2251" t="s">
        <v>1506</v>
      </c>
    </row>
    <row r="2252" spans="1:9" x14ac:dyDescent="0.3">
      <c r="A2252" t="s">
        <v>5208</v>
      </c>
      <c r="B2252" t="s">
        <v>3171</v>
      </c>
      <c r="C2252">
        <v>2</v>
      </c>
      <c r="E2252" t="s">
        <v>2053</v>
      </c>
    </row>
    <row r="2253" spans="1:9" x14ac:dyDescent="0.3">
      <c r="A2253" t="s">
        <v>5209</v>
      </c>
      <c r="B2253" t="s">
        <v>5210</v>
      </c>
      <c r="E2253" t="s">
        <v>1011</v>
      </c>
      <c r="H2253" t="s">
        <v>3945</v>
      </c>
      <c r="I2253" t="s">
        <v>5211</v>
      </c>
    </row>
    <row r="2254" spans="1:9" x14ac:dyDescent="0.3">
      <c r="A2254" t="s">
        <v>5212</v>
      </c>
      <c r="B2254" t="s">
        <v>5213</v>
      </c>
      <c r="C2254">
        <v>3</v>
      </c>
      <c r="D2254" t="s">
        <v>23</v>
      </c>
      <c r="E2254" t="s">
        <v>383</v>
      </c>
    </row>
    <row r="2255" spans="1:9" x14ac:dyDescent="0.3">
      <c r="A2255" t="s">
        <v>4671</v>
      </c>
      <c r="B2255" t="s">
        <v>4492</v>
      </c>
      <c r="C2255">
        <v>1</v>
      </c>
      <c r="D2255" t="s">
        <v>23</v>
      </c>
      <c r="E2255" t="s">
        <v>3447</v>
      </c>
    </row>
    <row r="2256" spans="1:9" x14ac:dyDescent="0.3">
      <c r="A2256" t="s">
        <v>5214</v>
      </c>
      <c r="B2256" t="s">
        <v>5215</v>
      </c>
      <c r="C2256">
        <v>4</v>
      </c>
      <c r="D2256" t="s">
        <v>189</v>
      </c>
      <c r="E2256" t="s">
        <v>61</v>
      </c>
    </row>
    <row r="2257" spans="1:9" x14ac:dyDescent="0.3">
      <c r="A2257" t="s">
        <v>5216</v>
      </c>
      <c r="B2257" t="s">
        <v>5217</v>
      </c>
      <c r="C2257">
        <v>1</v>
      </c>
      <c r="D2257" t="s">
        <v>23</v>
      </c>
      <c r="E2257" t="s">
        <v>5218</v>
      </c>
    </row>
    <row r="2258" spans="1:9" x14ac:dyDescent="0.3">
      <c r="A2258" t="s">
        <v>5219</v>
      </c>
      <c r="B2258" t="s">
        <v>182</v>
      </c>
      <c r="C2258">
        <v>0.75</v>
      </c>
      <c r="D2258" t="s">
        <v>23</v>
      </c>
      <c r="E2258" t="s">
        <v>183</v>
      </c>
    </row>
    <row r="2259" spans="1:9" x14ac:dyDescent="0.3">
      <c r="A2259" t="s">
        <v>5220</v>
      </c>
      <c r="B2259" t="s">
        <v>5221</v>
      </c>
      <c r="C2259">
        <v>0.5</v>
      </c>
      <c r="D2259" t="s">
        <v>11</v>
      </c>
      <c r="E2259" t="s">
        <v>5222</v>
      </c>
    </row>
    <row r="2260" spans="1:9" x14ac:dyDescent="0.3">
      <c r="A2260" t="s">
        <v>5223</v>
      </c>
      <c r="B2260" t="s">
        <v>4134</v>
      </c>
      <c r="C2260">
        <v>1</v>
      </c>
      <c r="D2260" t="s">
        <v>23</v>
      </c>
      <c r="E2260" t="s">
        <v>233</v>
      </c>
      <c r="I2260" t="s">
        <v>289</v>
      </c>
    </row>
    <row r="2261" spans="1:9" x14ac:dyDescent="0.3">
      <c r="A2261" t="s">
        <v>5224</v>
      </c>
      <c r="B2261" t="s">
        <v>5225</v>
      </c>
      <c r="C2261">
        <v>0.5</v>
      </c>
      <c r="D2261" t="s">
        <v>37</v>
      </c>
      <c r="E2261" t="s">
        <v>5226</v>
      </c>
    </row>
    <row r="2262" spans="1:9" x14ac:dyDescent="0.3">
      <c r="A2262" t="s">
        <v>3929</v>
      </c>
      <c r="B2262" t="s">
        <v>5227</v>
      </c>
      <c r="C2262">
        <v>0.75</v>
      </c>
      <c r="D2262" t="s">
        <v>23</v>
      </c>
      <c r="E2262" t="s">
        <v>5228</v>
      </c>
    </row>
    <row r="2263" spans="1:9" x14ac:dyDescent="0.3">
      <c r="A2263" t="s">
        <v>5229</v>
      </c>
      <c r="B2263" t="s">
        <v>3737</v>
      </c>
      <c r="C2263">
        <v>1</v>
      </c>
      <c r="D2263" t="s">
        <v>111</v>
      </c>
      <c r="E2263" t="s">
        <v>716</v>
      </c>
    </row>
    <row r="2264" spans="1:9" x14ac:dyDescent="0.3">
      <c r="A2264" t="s">
        <v>5230</v>
      </c>
      <c r="B2264" t="s">
        <v>5231</v>
      </c>
      <c r="D2264" t="s">
        <v>33</v>
      </c>
      <c r="E2264" t="s">
        <v>5150</v>
      </c>
    </row>
    <row r="2265" spans="1:9" x14ac:dyDescent="0.3">
      <c r="A2265" t="s">
        <v>5232</v>
      </c>
      <c r="B2265" t="s">
        <v>1179</v>
      </c>
      <c r="C2265">
        <v>1</v>
      </c>
      <c r="D2265" t="s">
        <v>23</v>
      </c>
      <c r="E2265" t="s">
        <v>233</v>
      </c>
    </row>
    <row r="2266" spans="1:9" x14ac:dyDescent="0.3">
      <c r="A2266" t="s">
        <v>5233</v>
      </c>
      <c r="B2266" t="s">
        <v>5234</v>
      </c>
      <c r="C2266">
        <v>1</v>
      </c>
      <c r="D2266" t="s">
        <v>37</v>
      </c>
      <c r="E2266" t="s">
        <v>5235</v>
      </c>
    </row>
    <row r="2267" spans="1:9" x14ac:dyDescent="0.3">
      <c r="A2267" t="s">
        <v>5236</v>
      </c>
      <c r="B2267" t="s">
        <v>5237</v>
      </c>
      <c r="E2267" t="s">
        <v>2166</v>
      </c>
      <c r="I2267" t="s">
        <v>1124</v>
      </c>
    </row>
    <row r="2268" spans="1:9" x14ac:dyDescent="0.3">
      <c r="A2268" t="s">
        <v>5238</v>
      </c>
      <c r="B2268" t="s">
        <v>5239</v>
      </c>
      <c r="C2268">
        <v>25</v>
      </c>
      <c r="D2268" t="s">
        <v>4211</v>
      </c>
      <c r="E2268" t="s">
        <v>355</v>
      </c>
    </row>
    <row r="2269" spans="1:9" x14ac:dyDescent="0.3">
      <c r="A2269" t="s">
        <v>5240</v>
      </c>
      <c r="B2269" t="s">
        <v>5241</v>
      </c>
      <c r="C2269">
        <v>0.5</v>
      </c>
      <c r="D2269" t="s">
        <v>206</v>
      </c>
      <c r="E2269" t="s">
        <v>81</v>
      </c>
    </row>
    <row r="2270" spans="1:9" x14ac:dyDescent="0.3">
      <c r="A2270" t="s">
        <v>5242</v>
      </c>
      <c r="B2270" t="s">
        <v>5243</v>
      </c>
      <c r="C2270">
        <v>2</v>
      </c>
      <c r="D2270" t="s">
        <v>23</v>
      </c>
      <c r="E2270" t="s">
        <v>214</v>
      </c>
    </row>
    <row r="2271" spans="1:9" x14ac:dyDescent="0.3">
      <c r="A2271" t="s">
        <v>5244</v>
      </c>
      <c r="B2271" t="s">
        <v>1545</v>
      </c>
      <c r="E2271" t="s">
        <v>333</v>
      </c>
    </row>
    <row r="2272" spans="1:9" x14ac:dyDescent="0.3">
      <c r="A2272" t="s">
        <v>5245</v>
      </c>
      <c r="B2272" t="s">
        <v>5192</v>
      </c>
      <c r="C2272">
        <v>2</v>
      </c>
      <c r="D2272" t="s">
        <v>23</v>
      </c>
      <c r="E2272" t="s">
        <v>233</v>
      </c>
    </row>
    <row r="2273" spans="1:9" x14ac:dyDescent="0.3">
      <c r="A2273" t="s">
        <v>5246</v>
      </c>
      <c r="B2273" t="s">
        <v>5247</v>
      </c>
      <c r="D2273" t="s">
        <v>435</v>
      </c>
      <c r="E2273" t="s">
        <v>5248</v>
      </c>
      <c r="I2273" t="s">
        <v>1124</v>
      </c>
    </row>
    <row r="2274" spans="1:9" x14ac:dyDescent="0.3">
      <c r="A2274" t="s">
        <v>5249</v>
      </c>
      <c r="B2274" t="s">
        <v>5250</v>
      </c>
      <c r="C2274">
        <v>3</v>
      </c>
      <c r="D2274" t="s">
        <v>91</v>
      </c>
      <c r="E2274" t="s">
        <v>3442</v>
      </c>
    </row>
    <row r="2275" spans="1:9" x14ac:dyDescent="0.3">
      <c r="A2275" t="s">
        <v>5251</v>
      </c>
      <c r="B2275" t="s">
        <v>3247</v>
      </c>
      <c r="C2275">
        <v>1</v>
      </c>
      <c r="D2275" t="s">
        <v>23</v>
      </c>
      <c r="E2275" t="s">
        <v>1506</v>
      </c>
    </row>
    <row r="2276" spans="1:9" x14ac:dyDescent="0.3">
      <c r="A2276" t="s">
        <v>5252</v>
      </c>
      <c r="B2276" t="s">
        <v>2702</v>
      </c>
      <c r="C2276">
        <v>1</v>
      </c>
      <c r="D2276" t="s">
        <v>23</v>
      </c>
      <c r="E2276" t="s">
        <v>2703</v>
      </c>
    </row>
    <row r="2277" spans="1:9" x14ac:dyDescent="0.3">
      <c r="A2277" t="s">
        <v>5253</v>
      </c>
      <c r="B2277" t="s">
        <v>5254</v>
      </c>
      <c r="C2277">
        <v>0.5</v>
      </c>
      <c r="D2277" t="s">
        <v>23</v>
      </c>
      <c r="E2277" t="s">
        <v>3269</v>
      </c>
    </row>
    <row r="2278" spans="1:9" x14ac:dyDescent="0.3">
      <c r="A2278" t="s">
        <v>5255</v>
      </c>
      <c r="B2278" t="s">
        <v>5256</v>
      </c>
      <c r="C2278">
        <v>1.5</v>
      </c>
      <c r="D2278" t="s">
        <v>345</v>
      </c>
      <c r="E2278" t="s">
        <v>5257</v>
      </c>
      <c r="H2278" t="s">
        <v>1078</v>
      </c>
      <c r="I2278" t="s">
        <v>5258</v>
      </c>
    </row>
    <row r="2279" spans="1:9" x14ac:dyDescent="0.3">
      <c r="A2279" t="s">
        <v>5259</v>
      </c>
      <c r="B2279" t="s">
        <v>711</v>
      </c>
      <c r="C2279">
        <v>1</v>
      </c>
      <c r="D2279" t="s">
        <v>23</v>
      </c>
      <c r="E2279" t="s">
        <v>712</v>
      </c>
    </row>
    <row r="2280" spans="1:9" x14ac:dyDescent="0.3">
      <c r="A2280" t="s">
        <v>5260</v>
      </c>
      <c r="B2280" t="s">
        <v>5261</v>
      </c>
      <c r="C2280">
        <v>1</v>
      </c>
      <c r="E2280" t="s">
        <v>237</v>
      </c>
      <c r="I2280" t="s">
        <v>325</v>
      </c>
    </row>
    <row r="2281" spans="1:9" x14ac:dyDescent="0.3">
      <c r="A2281" t="s">
        <v>5262</v>
      </c>
      <c r="B2281" t="s">
        <v>5263</v>
      </c>
      <c r="C2281">
        <v>1.25</v>
      </c>
      <c r="D2281" t="s">
        <v>23</v>
      </c>
      <c r="E2281" t="s">
        <v>5264</v>
      </c>
    </row>
    <row r="2282" spans="1:9" x14ac:dyDescent="0.3">
      <c r="A2282" t="s">
        <v>1899</v>
      </c>
      <c r="B2282" t="s">
        <v>5265</v>
      </c>
      <c r="C2282">
        <v>6</v>
      </c>
      <c r="D2282" t="s">
        <v>473</v>
      </c>
      <c r="E2282" t="s">
        <v>5266</v>
      </c>
      <c r="I2282" t="s">
        <v>1931</v>
      </c>
    </row>
    <row r="2283" spans="1:9" x14ac:dyDescent="0.3">
      <c r="A2283" t="s">
        <v>5267</v>
      </c>
      <c r="B2283" t="s">
        <v>5268</v>
      </c>
      <c r="C2283">
        <v>0.25</v>
      </c>
      <c r="D2283" t="s">
        <v>23</v>
      </c>
      <c r="E2283" t="s">
        <v>5269</v>
      </c>
    </row>
    <row r="2284" spans="1:9" x14ac:dyDescent="0.3">
      <c r="A2284" t="s">
        <v>5270</v>
      </c>
      <c r="B2284" t="s">
        <v>5271</v>
      </c>
      <c r="C2284">
        <v>3</v>
      </c>
      <c r="D2284" t="s">
        <v>189</v>
      </c>
      <c r="E2284" t="s">
        <v>5272</v>
      </c>
    </row>
    <row r="2285" spans="1:9" x14ac:dyDescent="0.3">
      <c r="A2285" t="s">
        <v>5273</v>
      </c>
      <c r="B2285" t="s">
        <v>518</v>
      </c>
      <c r="E2285" t="s">
        <v>518</v>
      </c>
    </row>
    <row r="2286" spans="1:9" x14ac:dyDescent="0.3">
      <c r="A2286" t="s">
        <v>5274</v>
      </c>
      <c r="B2286" t="s">
        <v>1369</v>
      </c>
      <c r="C2286">
        <v>1</v>
      </c>
      <c r="D2286" t="s">
        <v>460</v>
      </c>
      <c r="E2286" t="s">
        <v>331</v>
      </c>
    </row>
    <row r="2287" spans="1:9" x14ac:dyDescent="0.3">
      <c r="A2287" t="s">
        <v>5275</v>
      </c>
      <c r="B2287" t="s">
        <v>5276</v>
      </c>
      <c r="C2287">
        <v>0.25</v>
      </c>
      <c r="D2287" t="s">
        <v>11</v>
      </c>
      <c r="E2287" t="s">
        <v>5277</v>
      </c>
    </row>
    <row r="2288" spans="1:9" x14ac:dyDescent="0.3">
      <c r="A2288" t="s">
        <v>5278</v>
      </c>
      <c r="B2288" t="s">
        <v>4262</v>
      </c>
      <c r="C2288">
        <v>1</v>
      </c>
      <c r="E2288" t="s">
        <v>1440</v>
      </c>
      <c r="F2288" t="s">
        <v>908</v>
      </c>
    </row>
    <row r="2289" spans="1:9" x14ac:dyDescent="0.3">
      <c r="A2289" t="s">
        <v>5279</v>
      </c>
      <c r="B2289" t="s">
        <v>5280</v>
      </c>
      <c r="C2289">
        <v>1</v>
      </c>
      <c r="E2289" t="s">
        <v>2815</v>
      </c>
      <c r="I2289" t="s">
        <v>248</v>
      </c>
    </row>
    <row r="2290" spans="1:9" x14ac:dyDescent="0.3">
      <c r="A2290" t="s">
        <v>3280</v>
      </c>
      <c r="B2290" t="s">
        <v>5281</v>
      </c>
      <c r="C2290">
        <v>1</v>
      </c>
      <c r="E2290" t="s">
        <v>5161</v>
      </c>
      <c r="I2290" t="s">
        <v>5282</v>
      </c>
    </row>
    <row r="2291" spans="1:9" x14ac:dyDescent="0.3">
      <c r="A2291" t="s">
        <v>5283</v>
      </c>
      <c r="B2291" t="s">
        <v>5284</v>
      </c>
      <c r="C2291">
        <v>2</v>
      </c>
      <c r="D2291" t="s">
        <v>23</v>
      </c>
      <c r="E2291" t="s">
        <v>5285</v>
      </c>
    </row>
    <row r="2292" spans="1:9" x14ac:dyDescent="0.3">
      <c r="A2292" t="s">
        <v>1985</v>
      </c>
      <c r="B2292" t="s">
        <v>5286</v>
      </c>
      <c r="C2292">
        <v>1</v>
      </c>
      <c r="D2292" t="s">
        <v>3323</v>
      </c>
      <c r="E2292" t="s">
        <v>51</v>
      </c>
      <c r="I2292" t="s">
        <v>289</v>
      </c>
    </row>
    <row r="2293" spans="1:9" x14ac:dyDescent="0.3">
      <c r="A2293" t="s">
        <v>5287</v>
      </c>
      <c r="B2293" t="s">
        <v>5288</v>
      </c>
      <c r="C2293">
        <v>1</v>
      </c>
      <c r="D2293" t="s">
        <v>284</v>
      </c>
      <c r="E2293" t="s">
        <v>538</v>
      </c>
      <c r="G2293" t="s">
        <v>68</v>
      </c>
    </row>
    <row r="2294" spans="1:9" x14ac:dyDescent="0.3">
      <c r="A2294" t="s">
        <v>5289</v>
      </c>
      <c r="B2294" t="s">
        <v>5290</v>
      </c>
      <c r="C2294">
        <v>0.75</v>
      </c>
      <c r="D2294" t="s">
        <v>37</v>
      </c>
      <c r="E2294" t="s">
        <v>38</v>
      </c>
      <c r="G2294" t="s">
        <v>168</v>
      </c>
    </row>
    <row r="2295" spans="1:9" x14ac:dyDescent="0.3">
      <c r="A2295" t="s">
        <v>3008</v>
      </c>
      <c r="B2295" t="s">
        <v>2160</v>
      </c>
      <c r="C2295">
        <v>0.5</v>
      </c>
      <c r="D2295" t="s">
        <v>23</v>
      </c>
      <c r="E2295" t="s">
        <v>355</v>
      </c>
    </row>
    <row r="2296" spans="1:9" x14ac:dyDescent="0.3">
      <c r="A2296" t="s">
        <v>5291</v>
      </c>
      <c r="B2296" t="s">
        <v>2718</v>
      </c>
      <c r="E2296" t="s">
        <v>2718</v>
      </c>
    </row>
    <row r="2297" spans="1:9" x14ac:dyDescent="0.3">
      <c r="A2297" t="s">
        <v>5292</v>
      </c>
      <c r="B2297" t="s">
        <v>5293</v>
      </c>
      <c r="C2297" t="s">
        <v>1577</v>
      </c>
      <c r="D2297" t="s">
        <v>11</v>
      </c>
      <c r="E2297" t="s">
        <v>233</v>
      </c>
      <c r="I2297" t="s">
        <v>1652</v>
      </c>
    </row>
    <row r="2298" spans="1:9" x14ac:dyDescent="0.3">
      <c r="A2298" t="s">
        <v>5294</v>
      </c>
      <c r="B2298" t="s">
        <v>5295</v>
      </c>
      <c r="C2298">
        <v>1</v>
      </c>
      <c r="E2298" t="s">
        <v>5296</v>
      </c>
    </row>
    <row r="2299" spans="1:9" x14ac:dyDescent="0.3">
      <c r="A2299" t="s">
        <v>5297</v>
      </c>
      <c r="B2299" t="s">
        <v>2011</v>
      </c>
      <c r="C2299">
        <v>2</v>
      </c>
      <c r="D2299" t="s">
        <v>189</v>
      </c>
      <c r="E2299" t="s">
        <v>61</v>
      </c>
    </row>
    <row r="2300" spans="1:9" x14ac:dyDescent="0.3">
      <c r="A2300" t="s">
        <v>2562</v>
      </c>
      <c r="B2300" t="s">
        <v>5298</v>
      </c>
      <c r="E2300" t="s">
        <v>5299</v>
      </c>
      <c r="I2300" t="s">
        <v>1124</v>
      </c>
    </row>
    <row r="2301" spans="1:9" x14ac:dyDescent="0.3">
      <c r="A2301" t="s">
        <v>5300</v>
      </c>
      <c r="B2301" t="s">
        <v>1107</v>
      </c>
      <c r="C2301">
        <v>1</v>
      </c>
      <c r="D2301" t="s">
        <v>23</v>
      </c>
      <c r="E2301" t="s">
        <v>374</v>
      </c>
    </row>
    <row r="2302" spans="1:9" x14ac:dyDescent="0.3">
      <c r="A2302" t="s">
        <v>5301</v>
      </c>
      <c r="B2302" t="s">
        <v>711</v>
      </c>
      <c r="C2302">
        <v>1</v>
      </c>
      <c r="D2302" t="s">
        <v>23</v>
      </c>
      <c r="E2302" t="s">
        <v>712</v>
      </c>
    </row>
    <row r="2303" spans="1:9" x14ac:dyDescent="0.3">
      <c r="A2303" t="s">
        <v>5302</v>
      </c>
      <c r="B2303" t="s">
        <v>5303</v>
      </c>
      <c r="C2303">
        <v>1.5</v>
      </c>
      <c r="D2303" t="s">
        <v>23</v>
      </c>
      <c r="E2303" t="s">
        <v>3447</v>
      </c>
    </row>
    <row r="2304" spans="1:9" x14ac:dyDescent="0.3">
      <c r="A2304" t="s">
        <v>5304</v>
      </c>
      <c r="B2304" t="s">
        <v>5305</v>
      </c>
      <c r="C2304">
        <v>0.5</v>
      </c>
      <c r="D2304" t="s">
        <v>23</v>
      </c>
      <c r="E2304" t="s">
        <v>171</v>
      </c>
    </row>
    <row r="2305" spans="1:9" x14ac:dyDescent="0.3">
      <c r="A2305" t="s">
        <v>5306</v>
      </c>
      <c r="B2305" t="s">
        <v>5307</v>
      </c>
      <c r="C2305">
        <v>1</v>
      </c>
      <c r="D2305" t="s">
        <v>23</v>
      </c>
      <c r="E2305" t="s">
        <v>1445</v>
      </c>
      <c r="I2305" t="s">
        <v>289</v>
      </c>
    </row>
    <row r="2306" spans="1:9" x14ac:dyDescent="0.3">
      <c r="A2306" t="s">
        <v>5308</v>
      </c>
      <c r="B2306" t="s">
        <v>5309</v>
      </c>
      <c r="C2306">
        <v>1</v>
      </c>
      <c r="D2306" t="s">
        <v>206</v>
      </c>
      <c r="E2306" t="s">
        <v>5105</v>
      </c>
    </row>
    <row r="2307" spans="1:9" x14ac:dyDescent="0.3">
      <c r="A2307" t="s">
        <v>5310</v>
      </c>
      <c r="B2307" t="s">
        <v>3496</v>
      </c>
      <c r="C2307">
        <v>2</v>
      </c>
      <c r="D2307" t="s">
        <v>23</v>
      </c>
      <c r="E2307" t="s">
        <v>281</v>
      </c>
    </row>
    <row r="2308" spans="1:9" x14ac:dyDescent="0.3">
      <c r="A2308" t="s">
        <v>5311</v>
      </c>
      <c r="B2308" t="s">
        <v>5312</v>
      </c>
      <c r="C2308">
        <v>0.5</v>
      </c>
      <c r="E2308" t="s">
        <v>1436</v>
      </c>
    </row>
    <row r="2309" spans="1:9" x14ac:dyDescent="0.3">
      <c r="A2309" t="s">
        <v>5313</v>
      </c>
      <c r="B2309" t="s">
        <v>4913</v>
      </c>
      <c r="C2309">
        <v>1</v>
      </c>
      <c r="D2309" t="s">
        <v>11</v>
      </c>
      <c r="E2309" t="s">
        <v>1003</v>
      </c>
      <c r="I2309" t="s">
        <v>289</v>
      </c>
    </row>
    <row r="2310" spans="1:9" x14ac:dyDescent="0.3">
      <c r="A2310" t="s">
        <v>5314</v>
      </c>
      <c r="B2310" t="s">
        <v>972</v>
      </c>
      <c r="C2310">
        <v>1.5</v>
      </c>
      <c r="D2310" t="s">
        <v>91</v>
      </c>
      <c r="E2310" t="s">
        <v>973</v>
      </c>
    </row>
    <row r="2311" spans="1:9" x14ac:dyDescent="0.3">
      <c r="A2311" t="s">
        <v>5315</v>
      </c>
      <c r="B2311" t="s">
        <v>2013</v>
      </c>
      <c r="C2311">
        <v>0.5</v>
      </c>
      <c r="D2311" t="s">
        <v>23</v>
      </c>
      <c r="E2311" t="s">
        <v>2014</v>
      </c>
    </row>
    <row r="2312" spans="1:9" x14ac:dyDescent="0.3">
      <c r="A2312" t="s">
        <v>5316</v>
      </c>
      <c r="B2312" t="s">
        <v>5317</v>
      </c>
      <c r="C2312">
        <v>10.5</v>
      </c>
      <c r="D2312" t="s">
        <v>91</v>
      </c>
      <c r="E2312" t="s">
        <v>5318</v>
      </c>
      <c r="I2312" t="s">
        <v>654</v>
      </c>
    </row>
    <row r="2313" spans="1:9" x14ac:dyDescent="0.3">
      <c r="A2313" t="s">
        <v>5319</v>
      </c>
      <c r="B2313" t="s">
        <v>5320</v>
      </c>
      <c r="C2313">
        <v>3</v>
      </c>
      <c r="D2313" t="s">
        <v>91</v>
      </c>
      <c r="E2313" t="s">
        <v>2434</v>
      </c>
    </row>
    <row r="2314" spans="1:9" x14ac:dyDescent="0.3">
      <c r="A2314" t="s">
        <v>5321</v>
      </c>
      <c r="B2314" t="s">
        <v>1011</v>
      </c>
      <c r="E2314" t="s">
        <v>1011</v>
      </c>
    </row>
    <row r="2315" spans="1:9" x14ac:dyDescent="0.3">
      <c r="A2315" t="s">
        <v>5322</v>
      </c>
      <c r="B2315" t="s">
        <v>5323</v>
      </c>
      <c r="C2315">
        <v>1</v>
      </c>
      <c r="D2315" t="s">
        <v>1785</v>
      </c>
      <c r="E2315" t="s">
        <v>365</v>
      </c>
    </row>
    <row r="2316" spans="1:9" x14ac:dyDescent="0.3">
      <c r="A2316" t="s">
        <v>5324</v>
      </c>
      <c r="B2316" t="s">
        <v>5325</v>
      </c>
      <c r="E2316" t="s">
        <v>5325</v>
      </c>
    </row>
    <row r="2317" spans="1:9" x14ac:dyDescent="0.3">
      <c r="A2317" t="s">
        <v>3148</v>
      </c>
      <c r="B2317" t="s">
        <v>5326</v>
      </c>
      <c r="C2317">
        <v>0.25</v>
      </c>
      <c r="D2317" t="s">
        <v>23</v>
      </c>
      <c r="E2317" t="s">
        <v>5327</v>
      </c>
      <c r="I2317" t="s">
        <v>289</v>
      </c>
    </row>
    <row r="2318" spans="1:9" x14ac:dyDescent="0.3">
      <c r="A2318" t="s">
        <v>5328</v>
      </c>
      <c r="B2318" t="s">
        <v>5329</v>
      </c>
      <c r="C2318">
        <v>0.5</v>
      </c>
      <c r="D2318" t="s">
        <v>23</v>
      </c>
      <c r="E2318" t="s">
        <v>61</v>
      </c>
    </row>
    <row r="2319" spans="1:9" x14ac:dyDescent="0.3">
      <c r="A2319" t="s">
        <v>5330</v>
      </c>
      <c r="B2319" t="s">
        <v>5331</v>
      </c>
      <c r="C2319">
        <v>0.5</v>
      </c>
      <c r="D2319" t="s">
        <v>23</v>
      </c>
      <c r="E2319" t="s">
        <v>81</v>
      </c>
      <c r="I2319" t="s">
        <v>289</v>
      </c>
    </row>
    <row r="2320" spans="1:9" x14ac:dyDescent="0.3">
      <c r="A2320" t="s">
        <v>5332</v>
      </c>
      <c r="B2320" t="s">
        <v>5333</v>
      </c>
      <c r="D2320" t="s">
        <v>585</v>
      </c>
      <c r="E2320" t="s">
        <v>121</v>
      </c>
      <c r="I2320" t="s">
        <v>2995</v>
      </c>
    </row>
    <row r="2321" spans="1:9" x14ac:dyDescent="0.3">
      <c r="A2321" t="s">
        <v>5334</v>
      </c>
      <c r="B2321" t="s">
        <v>5335</v>
      </c>
      <c r="C2321">
        <v>1</v>
      </c>
      <c r="D2321" t="s">
        <v>11</v>
      </c>
      <c r="E2321" t="s">
        <v>5336</v>
      </c>
      <c r="I2321" t="s">
        <v>1565</v>
      </c>
    </row>
    <row r="2322" spans="1:9" x14ac:dyDescent="0.3">
      <c r="A2322" t="s">
        <v>5337</v>
      </c>
      <c r="B2322" t="s">
        <v>333</v>
      </c>
      <c r="E2322" t="s">
        <v>333</v>
      </c>
    </row>
    <row r="2323" spans="1:9" x14ac:dyDescent="0.3">
      <c r="A2323" t="s">
        <v>5338</v>
      </c>
      <c r="B2323" t="s">
        <v>379</v>
      </c>
      <c r="C2323">
        <v>2</v>
      </c>
      <c r="D2323" t="s">
        <v>23</v>
      </c>
      <c r="E2323" t="s">
        <v>380</v>
      </c>
    </row>
    <row r="2324" spans="1:9" x14ac:dyDescent="0.3">
      <c r="A2324" t="s">
        <v>5339</v>
      </c>
      <c r="B2324" t="s">
        <v>3370</v>
      </c>
      <c r="C2324">
        <v>8</v>
      </c>
      <c r="D2324" t="s">
        <v>23</v>
      </c>
      <c r="E2324" t="s">
        <v>262</v>
      </c>
    </row>
    <row r="2325" spans="1:9" x14ac:dyDescent="0.3">
      <c r="A2325" t="s">
        <v>5340</v>
      </c>
      <c r="B2325" t="s">
        <v>5341</v>
      </c>
      <c r="C2325" t="s">
        <v>5342</v>
      </c>
      <c r="D2325" t="s">
        <v>23</v>
      </c>
      <c r="E2325" t="s">
        <v>3442</v>
      </c>
      <c r="I2325" t="s">
        <v>1177</v>
      </c>
    </row>
    <row r="2326" spans="1:9" x14ac:dyDescent="0.3">
      <c r="A2326" t="s">
        <v>3172</v>
      </c>
      <c r="B2326" t="s">
        <v>5343</v>
      </c>
      <c r="C2326">
        <v>1</v>
      </c>
      <c r="D2326" t="s">
        <v>2646</v>
      </c>
      <c r="E2326" t="s">
        <v>5344</v>
      </c>
    </row>
    <row r="2327" spans="1:9" x14ac:dyDescent="0.3">
      <c r="A2327" t="s">
        <v>5345</v>
      </c>
      <c r="B2327" t="s">
        <v>5346</v>
      </c>
      <c r="C2327">
        <v>0.75</v>
      </c>
      <c r="D2327" t="s">
        <v>37</v>
      </c>
      <c r="E2327" t="s">
        <v>160</v>
      </c>
      <c r="G2327" t="s">
        <v>168</v>
      </c>
    </row>
    <row r="2328" spans="1:9" x14ac:dyDescent="0.3">
      <c r="A2328" t="s">
        <v>5347</v>
      </c>
      <c r="B2328" t="s">
        <v>5348</v>
      </c>
      <c r="C2328">
        <v>2</v>
      </c>
      <c r="D2328" t="s">
        <v>23</v>
      </c>
      <c r="E2328" t="s">
        <v>738</v>
      </c>
      <c r="I2328" t="s">
        <v>289</v>
      </c>
    </row>
    <row r="2329" spans="1:9" x14ac:dyDescent="0.3">
      <c r="A2329" t="s">
        <v>5349</v>
      </c>
      <c r="B2329" t="s">
        <v>5350</v>
      </c>
      <c r="C2329">
        <v>2</v>
      </c>
      <c r="D2329" t="s">
        <v>23</v>
      </c>
      <c r="E2329" t="s">
        <v>399</v>
      </c>
    </row>
    <row r="2330" spans="1:9" x14ac:dyDescent="0.3">
      <c r="A2330" t="s">
        <v>3321</v>
      </c>
      <c r="B2330" t="s">
        <v>94</v>
      </c>
      <c r="C2330">
        <v>1</v>
      </c>
      <c r="D2330" t="s">
        <v>23</v>
      </c>
      <c r="E2330" t="s">
        <v>95</v>
      </c>
    </row>
    <row r="2331" spans="1:9" x14ac:dyDescent="0.3">
      <c r="A2331" t="s">
        <v>5351</v>
      </c>
      <c r="B2331" t="s">
        <v>5352</v>
      </c>
      <c r="E2331" t="s">
        <v>1133</v>
      </c>
      <c r="I2331" t="s">
        <v>998</v>
      </c>
    </row>
    <row r="2332" spans="1:9" x14ac:dyDescent="0.3">
      <c r="A2332" t="s">
        <v>5353</v>
      </c>
      <c r="B2332" t="s">
        <v>5354</v>
      </c>
      <c r="C2332">
        <v>1</v>
      </c>
      <c r="D2332" t="s">
        <v>11</v>
      </c>
      <c r="E2332" t="s">
        <v>328</v>
      </c>
    </row>
    <row r="2333" spans="1:9" x14ac:dyDescent="0.3">
      <c r="A2333" t="s">
        <v>5355</v>
      </c>
      <c r="B2333" t="s">
        <v>5356</v>
      </c>
      <c r="C2333">
        <v>0.5</v>
      </c>
      <c r="D2333" t="s">
        <v>23</v>
      </c>
      <c r="E2333" t="s">
        <v>5357</v>
      </c>
    </row>
    <row r="2334" spans="1:9" x14ac:dyDescent="0.3">
      <c r="A2334" t="s">
        <v>5358</v>
      </c>
      <c r="B2334" t="s">
        <v>5359</v>
      </c>
      <c r="C2334">
        <v>0.75</v>
      </c>
      <c r="D2334" t="s">
        <v>23</v>
      </c>
      <c r="E2334" t="s">
        <v>365</v>
      </c>
    </row>
    <row r="2335" spans="1:9" x14ac:dyDescent="0.3">
      <c r="A2335" t="s">
        <v>5360</v>
      </c>
      <c r="B2335" t="s">
        <v>98</v>
      </c>
      <c r="E2335" t="s">
        <v>98</v>
      </c>
    </row>
    <row r="2336" spans="1:9" x14ac:dyDescent="0.3">
      <c r="A2336" t="s">
        <v>5361</v>
      </c>
      <c r="B2336" t="s">
        <v>5362</v>
      </c>
      <c r="C2336">
        <v>1</v>
      </c>
      <c r="D2336" t="s">
        <v>460</v>
      </c>
      <c r="E2336" t="s">
        <v>2067</v>
      </c>
    </row>
    <row r="2337" spans="1:9" x14ac:dyDescent="0.3">
      <c r="A2337" t="s">
        <v>5363</v>
      </c>
      <c r="B2337" t="s">
        <v>5364</v>
      </c>
      <c r="C2337">
        <v>3</v>
      </c>
      <c r="D2337" t="s">
        <v>23</v>
      </c>
      <c r="E2337" t="s">
        <v>3403</v>
      </c>
      <c r="I2337" t="s">
        <v>289</v>
      </c>
    </row>
    <row r="2338" spans="1:9" x14ac:dyDescent="0.3">
      <c r="A2338" t="s">
        <v>5365</v>
      </c>
      <c r="B2338" t="s">
        <v>5366</v>
      </c>
      <c r="C2338">
        <v>1</v>
      </c>
      <c r="D2338" t="s">
        <v>23</v>
      </c>
      <c r="E2338" t="s">
        <v>857</v>
      </c>
    </row>
    <row r="2339" spans="1:9" x14ac:dyDescent="0.3">
      <c r="A2339" t="s">
        <v>5367</v>
      </c>
      <c r="B2339" t="s">
        <v>5368</v>
      </c>
      <c r="C2339">
        <v>10.25</v>
      </c>
      <c r="D2339" t="s">
        <v>23</v>
      </c>
      <c r="E2339" t="s">
        <v>1328</v>
      </c>
    </row>
    <row r="2340" spans="1:9" x14ac:dyDescent="0.3">
      <c r="A2340" t="s">
        <v>5369</v>
      </c>
      <c r="B2340" t="s">
        <v>5370</v>
      </c>
      <c r="C2340">
        <v>1.5</v>
      </c>
      <c r="D2340" t="s">
        <v>23</v>
      </c>
      <c r="E2340" t="s">
        <v>1980</v>
      </c>
    </row>
    <row r="2341" spans="1:9" x14ac:dyDescent="0.3">
      <c r="A2341" t="s">
        <v>5371</v>
      </c>
      <c r="B2341" t="s">
        <v>5372</v>
      </c>
      <c r="C2341">
        <v>250</v>
      </c>
      <c r="D2341" t="s">
        <v>29</v>
      </c>
      <c r="E2341" t="s">
        <v>2138</v>
      </c>
    </row>
    <row r="2342" spans="1:9" x14ac:dyDescent="0.3">
      <c r="A2342" t="s">
        <v>5373</v>
      </c>
      <c r="B2342" t="s">
        <v>388</v>
      </c>
      <c r="C2342">
        <v>0.5</v>
      </c>
      <c r="D2342" t="s">
        <v>23</v>
      </c>
      <c r="E2342" t="s">
        <v>331</v>
      </c>
    </row>
    <row r="2343" spans="1:9" x14ac:dyDescent="0.3">
      <c r="A2343" t="s">
        <v>5374</v>
      </c>
      <c r="B2343" t="s">
        <v>5375</v>
      </c>
      <c r="C2343">
        <v>2</v>
      </c>
      <c r="D2343" t="s">
        <v>91</v>
      </c>
      <c r="E2343" t="s">
        <v>716</v>
      </c>
    </row>
    <row r="2344" spans="1:9" x14ac:dyDescent="0.3">
      <c r="A2344" t="s">
        <v>5376</v>
      </c>
      <c r="B2344" t="s">
        <v>3057</v>
      </c>
      <c r="C2344">
        <v>8</v>
      </c>
      <c r="D2344" t="s">
        <v>23</v>
      </c>
      <c r="E2344" t="s">
        <v>581</v>
      </c>
      <c r="H2344" t="s">
        <v>3058</v>
      </c>
    </row>
    <row r="2345" spans="1:9" x14ac:dyDescent="0.3">
      <c r="A2345" t="s">
        <v>5377</v>
      </c>
      <c r="B2345" t="s">
        <v>5378</v>
      </c>
      <c r="C2345">
        <v>1</v>
      </c>
      <c r="D2345" t="s">
        <v>18</v>
      </c>
      <c r="E2345" t="s">
        <v>932</v>
      </c>
    </row>
    <row r="2346" spans="1:9" x14ac:dyDescent="0.3">
      <c r="A2346" t="s">
        <v>5379</v>
      </c>
      <c r="B2346" t="s">
        <v>5380</v>
      </c>
      <c r="C2346">
        <v>2</v>
      </c>
      <c r="D2346" t="s">
        <v>23</v>
      </c>
      <c r="E2346" t="s">
        <v>1238</v>
      </c>
    </row>
    <row r="2347" spans="1:9" x14ac:dyDescent="0.3">
      <c r="A2347" t="s">
        <v>4320</v>
      </c>
      <c r="B2347" t="s">
        <v>5381</v>
      </c>
      <c r="C2347">
        <v>1</v>
      </c>
      <c r="D2347" t="s">
        <v>361</v>
      </c>
      <c r="E2347" t="s">
        <v>5382</v>
      </c>
    </row>
    <row r="2348" spans="1:9" x14ac:dyDescent="0.3">
      <c r="A2348" t="s">
        <v>5383</v>
      </c>
      <c r="B2348" t="s">
        <v>5384</v>
      </c>
      <c r="C2348">
        <v>5</v>
      </c>
      <c r="D2348" t="s">
        <v>23</v>
      </c>
      <c r="E2348" t="s">
        <v>320</v>
      </c>
    </row>
    <row r="2349" spans="1:9" x14ac:dyDescent="0.3">
      <c r="A2349" t="s">
        <v>5385</v>
      </c>
      <c r="B2349" t="s">
        <v>5386</v>
      </c>
      <c r="C2349">
        <v>1.5</v>
      </c>
      <c r="D2349" t="s">
        <v>23</v>
      </c>
      <c r="E2349" t="s">
        <v>738</v>
      </c>
    </row>
    <row r="2350" spans="1:9" x14ac:dyDescent="0.3">
      <c r="A2350" t="s">
        <v>5387</v>
      </c>
      <c r="B2350" t="s">
        <v>5388</v>
      </c>
      <c r="C2350">
        <v>0.5</v>
      </c>
      <c r="D2350" t="s">
        <v>2646</v>
      </c>
      <c r="E2350" t="s">
        <v>383</v>
      </c>
    </row>
    <row r="2351" spans="1:9" x14ac:dyDescent="0.3">
      <c r="A2351" t="s">
        <v>5389</v>
      </c>
      <c r="B2351" t="s">
        <v>2225</v>
      </c>
      <c r="C2351">
        <v>1</v>
      </c>
      <c r="D2351" t="s">
        <v>23</v>
      </c>
      <c r="E2351" t="s">
        <v>183</v>
      </c>
    </row>
    <row r="2352" spans="1:9" x14ac:dyDescent="0.3">
      <c r="A2352" t="s">
        <v>5390</v>
      </c>
      <c r="B2352" t="s">
        <v>5391</v>
      </c>
      <c r="C2352">
        <v>1</v>
      </c>
      <c r="D2352" t="s">
        <v>206</v>
      </c>
      <c r="E2352" t="s">
        <v>581</v>
      </c>
      <c r="H2352" t="s">
        <v>5392</v>
      </c>
    </row>
    <row r="2353" spans="1:9" x14ac:dyDescent="0.3">
      <c r="A2353" t="s">
        <v>5393</v>
      </c>
      <c r="B2353" t="s">
        <v>3143</v>
      </c>
      <c r="C2353">
        <v>1</v>
      </c>
      <c r="D2353" t="s">
        <v>18</v>
      </c>
      <c r="E2353" t="s">
        <v>3144</v>
      </c>
    </row>
    <row r="2354" spans="1:9" x14ac:dyDescent="0.3">
      <c r="A2354" t="s">
        <v>2383</v>
      </c>
      <c r="B2354" t="s">
        <v>5394</v>
      </c>
      <c r="C2354">
        <v>4</v>
      </c>
      <c r="D2354" t="s">
        <v>23</v>
      </c>
      <c r="E2354" t="s">
        <v>2211</v>
      </c>
    </row>
    <row r="2355" spans="1:9" x14ac:dyDescent="0.3">
      <c r="A2355" t="s">
        <v>5395</v>
      </c>
      <c r="B2355" t="s">
        <v>5396</v>
      </c>
      <c r="E2355" t="s">
        <v>5396</v>
      </c>
    </row>
    <row r="2356" spans="1:9" x14ac:dyDescent="0.3">
      <c r="A2356" t="s">
        <v>5397</v>
      </c>
      <c r="B2356" t="s">
        <v>5398</v>
      </c>
      <c r="C2356">
        <v>1</v>
      </c>
      <c r="D2356" t="s">
        <v>33</v>
      </c>
      <c r="E2356" t="s">
        <v>1056</v>
      </c>
    </row>
    <row r="2357" spans="1:9" x14ac:dyDescent="0.3">
      <c r="A2357" t="s">
        <v>5399</v>
      </c>
      <c r="B2357" t="s">
        <v>5400</v>
      </c>
      <c r="C2357">
        <v>12.5</v>
      </c>
      <c r="D2357" t="s">
        <v>29</v>
      </c>
      <c r="E2357" t="s">
        <v>587</v>
      </c>
    </row>
    <row r="2358" spans="1:9" x14ac:dyDescent="0.3">
      <c r="A2358" t="s">
        <v>5401</v>
      </c>
      <c r="B2358" t="s">
        <v>5402</v>
      </c>
      <c r="C2358">
        <v>1</v>
      </c>
      <c r="E2358" t="s">
        <v>5403</v>
      </c>
      <c r="I2358" t="s">
        <v>5404</v>
      </c>
    </row>
    <row r="2359" spans="1:9" x14ac:dyDescent="0.3">
      <c r="A2359" t="s">
        <v>5405</v>
      </c>
      <c r="B2359" t="s">
        <v>2021</v>
      </c>
      <c r="C2359">
        <v>0.5</v>
      </c>
      <c r="D2359" t="s">
        <v>23</v>
      </c>
      <c r="E2359" t="s">
        <v>183</v>
      </c>
    </row>
    <row r="2360" spans="1:9" x14ac:dyDescent="0.3">
      <c r="A2360" t="s">
        <v>5406</v>
      </c>
      <c r="B2360" t="s">
        <v>2063</v>
      </c>
      <c r="C2360">
        <v>10.5</v>
      </c>
      <c r="D2360" t="s">
        <v>91</v>
      </c>
      <c r="E2360" t="s">
        <v>1407</v>
      </c>
    </row>
    <row r="2361" spans="1:9" x14ac:dyDescent="0.3">
      <c r="A2361" t="s">
        <v>5407</v>
      </c>
      <c r="B2361" t="s">
        <v>399</v>
      </c>
      <c r="E2361" t="s">
        <v>399</v>
      </c>
    </row>
    <row r="2362" spans="1:9" x14ac:dyDescent="0.3">
      <c r="A2362" t="s">
        <v>5408</v>
      </c>
      <c r="B2362" t="s">
        <v>2546</v>
      </c>
      <c r="C2362">
        <v>0.5</v>
      </c>
      <c r="D2362" t="s">
        <v>23</v>
      </c>
      <c r="E2362" t="s">
        <v>399</v>
      </c>
    </row>
    <row r="2363" spans="1:9" x14ac:dyDescent="0.3">
      <c r="A2363" t="s">
        <v>5409</v>
      </c>
      <c r="B2363" t="s">
        <v>5410</v>
      </c>
      <c r="C2363">
        <v>0.5</v>
      </c>
      <c r="D2363" t="s">
        <v>206</v>
      </c>
      <c r="E2363" t="s">
        <v>3269</v>
      </c>
    </row>
    <row r="2364" spans="1:9" x14ac:dyDescent="0.3">
      <c r="A2364" t="s">
        <v>5411</v>
      </c>
      <c r="B2364" t="s">
        <v>5412</v>
      </c>
      <c r="C2364">
        <v>10</v>
      </c>
      <c r="D2364" t="s">
        <v>29</v>
      </c>
      <c r="E2364" t="s">
        <v>5413</v>
      </c>
    </row>
    <row r="2365" spans="1:9" x14ac:dyDescent="0.3">
      <c r="A2365" t="s">
        <v>5414</v>
      </c>
      <c r="B2365" t="s">
        <v>5415</v>
      </c>
      <c r="C2365">
        <v>0.75</v>
      </c>
      <c r="D2365" t="s">
        <v>284</v>
      </c>
      <c r="E2365" t="s">
        <v>5416</v>
      </c>
    </row>
    <row r="2366" spans="1:9" x14ac:dyDescent="0.3">
      <c r="A2366" t="s">
        <v>5417</v>
      </c>
      <c r="B2366" t="s">
        <v>5418</v>
      </c>
      <c r="C2366">
        <v>2.25</v>
      </c>
      <c r="D2366" t="s">
        <v>23</v>
      </c>
      <c r="E2366" t="s">
        <v>4728</v>
      </c>
    </row>
    <row r="2367" spans="1:9" x14ac:dyDescent="0.3">
      <c r="A2367" t="s">
        <v>5419</v>
      </c>
      <c r="B2367" t="s">
        <v>5420</v>
      </c>
      <c r="C2367">
        <v>20</v>
      </c>
      <c r="D2367" t="s">
        <v>29</v>
      </c>
      <c r="E2367" t="s">
        <v>5421</v>
      </c>
    </row>
    <row r="2368" spans="1:9" x14ac:dyDescent="0.3">
      <c r="A2368" t="s">
        <v>2261</v>
      </c>
      <c r="B2368" t="s">
        <v>5422</v>
      </c>
      <c r="C2368">
        <v>2</v>
      </c>
      <c r="E2368" t="s">
        <v>5423</v>
      </c>
    </row>
    <row r="2369" spans="1:9" x14ac:dyDescent="0.3">
      <c r="A2369" t="s">
        <v>161</v>
      </c>
      <c r="B2369" t="s">
        <v>5424</v>
      </c>
      <c r="C2369">
        <v>2.5</v>
      </c>
      <c r="D2369" t="s">
        <v>23</v>
      </c>
      <c r="E2369" t="s">
        <v>1607</v>
      </c>
    </row>
    <row r="2370" spans="1:9" x14ac:dyDescent="0.3">
      <c r="A2370" t="s">
        <v>5425</v>
      </c>
      <c r="B2370" t="s">
        <v>5426</v>
      </c>
      <c r="C2370">
        <v>5</v>
      </c>
      <c r="D2370" t="s">
        <v>23</v>
      </c>
      <c r="E2370" t="s">
        <v>5427</v>
      </c>
      <c r="H2370" t="s">
        <v>3945</v>
      </c>
    </row>
    <row r="2371" spans="1:9" x14ac:dyDescent="0.3">
      <c r="A2371" t="s">
        <v>5428</v>
      </c>
      <c r="B2371" t="s">
        <v>5429</v>
      </c>
      <c r="C2371">
        <v>1</v>
      </c>
      <c r="D2371" t="s">
        <v>11</v>
      </c>
      <c r="E2371" t="s">
        <v>5430</v>
      </c>
    </row>
    <row r="2372" spans="1:9" x14ac:dyDescent="0.3">
      <c r="A2372" t="s">
        <v>5431</v>
      </c>
      <c r="B2372" t="s">
        <v>5432</v>
      </c>
      <c r="C2372">
        <v>1</v>
      </c>
      <c r="D2372" t="s">
        <v>23</v>
      </c>
      <c r="E2372" t="s">
        <v>38</v>
      </c>
      <c r="G2372" t="s">
        <v>814</v>
      </c>
    </row>
    <row r="2373" spans="1:9" x14ac:dyDescent="0.3">
      <c r="A2373" t="s">
        <v>5433</v>
      </c>
      <c r="B2373" t="s">
        <v>5434</v>
      </c>
      <c r="C2373">
        <v>70</v>
      </c>
      <c r="E2373" t="s">
        <v>5435</v>
      </c>
    </row>
    <row r="2374" spans="1:9" x14ac:dyDescent="0.3">
      <c r="A2374" t="s">
        <v>5436</v>
      </c>
      <c r="B2374" t="s">
        <v>5437</v>
      </c>
      <c r="E2374" t="s">
        <v>262</v>
      </c>
      <c r="I2374" t="s">
        <v>65</v>
      </c>
    </row>
    <row r="2375" spans="1:9" x14ac:dyDescent="0.3">
      <c r="A2375" t="s">
        <v>5438</v>
      </c>
      <c r="B2375" t="s">
        <v>5439</v>
      </c>
      <c r="C2375">
        <v>3</v>
      </c>
      <c r="D2375" t="s">
        <v>189</v>
      </c>
      <c r="E2375" t="s">
        <v>1223</v>
      </c>
    </row>
    <row r="2376" spans="1:9" x14ac:dyDescent="0.3">
      <c r="A2376" t="s">
        <v>5440</v>
      </c>
      <c r="B2376" t="s">
        <v>5441</v>
      </c>
      <c r="C2376">
        <v>1</v>
      </c>
      <c r="D2376" t="s">
        <v>270</v>
      </c>
      <c r="E2376" t="s">
        <v>3576</v>
      </c>
    </row>
    <row r="2377" spans="1:9" x14ac:dyDescent="0.3">
      <c r="A2377" t="s">
        <v>5442</v>
      </c>
      <c r="B2377" t="s">
        <v>1237</v>
      </c>
      <c r="C2377">
        <v>1</v>
      </c>
      <c r="D2377" t="s">
        <v>23</v>
      </c>
      <c r="E2377" t="s">
        <v>1238</v>
      </c>
    </row>
    <row r="2378" spans="1:9" x14ac:dyDescent="0.3">
      <c r="A2378" t="s">
        <v>2074</v>
      </c>
      <c r="B2378" t="s">
        <v>5443</v>
      </c>
      <c r="C2378">
        <v>6</v>
      </c>
      <c r="E2378" t="s">
        <v>295</v>
      </c>
    </row>
    <row r="2379" spans="1:9" x14ac:dyDescent="0.3">
      <c r="A2379" t="s">
        <v>5444</v>
      </c>
      <c r="B2379" t="s">
        <v>5445</v>
      </c>
      <c r="C2379">
        <v>0.5</v>
      </c>
      <c r="D2379" t="s">
        <v>23</v>
      </c>
      <c r="E2379" t="s">
        <v>1332</v>
      </c>
      <c r="I2379" t="s">
        <v>289</v>
      </c>
    </row>
    <row r="2380" spans="1:9" x14ac:dyDescent="0.3">
      <c r="A2380" t="s">
        <v>5446</v>
      </c>
      <c r="B2380" t="s">
        <v>5447</v>
      </c>
      <c r="C2380">
        <v>0.5</v>
      </c>
      <c r="D2380" t="s">
        <v>23</v>
      </c>
      <c r="E2380" t="s">
        <v>5448</v>
      </c>
    </row>
    <row r="2381" spans="1:9" x14ac:dyDescent="0.3">
      <c r="A2381" t="s">
        <v>5449</v>
      </c>
      <c r="B2381" t="s">
        <v>5450</v>
      </c>
      <c r="C2381">
        <v>1</v>
      </c>
      <c r="D2381" t="s">
        <v>1843</v>
      </c>
      <c r="E2381" t="s">
        <v>456</v>
      </c>
    </row>
    <row r="2382" spans="1:9" x14ac:dyDescent="0.3">
      <c r="A2382" t="s">
        <v>3154</v>
      </c>
      <c r="B2382" t="s">
        <v>5451</v>
      </c>
      <c r="C2382">
        <v>1</v>
      </c>
      <c r="D2382" t="s">
        <v>426</v>
      </c>
      <c r="E2382" t="s">
        <v>979</v>
      </c>
    </row>
    <row r="2383" spans="1:9" x14ac:dyDescent="0.3">
      <c r="A2383" t="s">
        <v>5452</v>
      </c>
      <c r="B2383" t="s">
        <v>5453</v>
      </c>
      <c r="C2383">
        <v>0.25</v>
      </c>
      <c r="D2383" t="s">
        <v>284</v>
      </c>
      <c r="E2383" t="s">
        <v>2376</v>
      </c>
      <c r="G2383" t="s">
        <v>68</v>
      </c>
      <c r="I2383" t="s">
        <v>5454</v>
      </c>
    </row>
    <row r="2384" spans="1:9" x14ac:dyDescent="0.3">
      <c r="A2384" t="s">
        <v>5455</v>
      </c>
      <c r="B2384" t="s">
        <v>5456</v>
      </c>
      <c r="C2384">
        <v>1.5</v>
      </c>
      <c r="D2384" t="s">
        <v>345</v>
      </c>
      <c r="E2384" t="s">
        <v>5457</v>
      </c>
    </row>
    <row r="2385" spans="1:9" x14ac:dyDescent="0.3">
      <c r="A2385" t="s">
        <v>4173</v>
      </c>
      <c r="B2385" t="s">
        <v>5458</v>
      </c>
      <c r="C2385">
        <v>2</v>
      </c>
      <c r="D2385" t="s">
        <v>227</v>
      </c>
      <c r="E2385" t="s">
        <v>2324</v>
      </c>
    </row>
    <row r="2386" spans="1:9" x14ac:dyDescent="0.3">
      <c r="A2386" t="s">
        <v>3258</v>
      </c>
      <c r="B2386" t="s">
        <v>5459</v>
      </c>
      <c r="C2386">
        <v>2</v>
      </c>
      <c r="D2386" t="s">
        <v>23</v>
      </c>
      <c r="E2386" t="s">
        <v>5460</v>
      </c>
    </row>
    <row r="2387" spans="1:9" x14ac:dyDescent="0.3">
      <c r="A2387" t="s">
        <v>4834</v>
      </c>
      <c r="B2387" t="s">
        <v>5461</v>
      </c>
      <c r="C2387">
        <v>2</v>
      </c>
      <c r="D2387" t="s">
        <v>23</v>
      </c>
      <c r="E2387" t="s">
        <v>3071</v>
      </c>
    </row>
    <row r="2388" spans="1:9" x14ac:dyDescent="0.3">
      <c r="A2388" t="s">
        <v>5462</v>
      </c>
      <c r="B2388" t="s">
        <v>5463</v>
      </c>
      <c r="C2388">
        <v>0.75</v>
      </c>
      <c r="D2388" t="s">
        <v>37</v>
      </c>
      <c r="E2388" t="s">
        <v>5464</v>
      </c>
    </row>
    <row r="2389" spans="1:9" x14ac:dyDescent="0.3">
      <c r="A2389" t="s">
        <v>5465</v>
      </c>
      <c r="B2389" t="s">
        <v>5466</v>
      </c>
      <c r="C2389">
        <v>30</v>
      </c>
      <c r="D2389" t="s">
        <v>29</v>
      </c>
      <c r="E2389" t="s">
        <v>3962</v>
      </c>
    </row>
    <row r="2390" spans="1:9" x14ac:dyDescent="0.3">
      <c r="A2390" t="s">
        <v>5467</v>
      </c>
      <c r="B2390" t="s">
        <v>5468</v>
      </c>
      <c r="C2390">
        <v>4</v>
      </c>
      <c r="D2390" t="s">
        <v>189</v>
      </c>
      <c r="E2390" t="s">
        <v>5469</v>
      </c>
    </row>
    <row r="2391" spans="1:9" x14ac:dyDescent="0.3">
      <c r="A2391" t="s">
        <v>5470</v>
      </c>
      <c r="B2391" t="s">
        <v>5471</v>
      </c>
      <c r="C2391">
        <v>0.75</v>
      </c>
      <c r="D2391" t="s">
        <v>23</v>
      </c>
      <c r="E2391" t="s">
        <v>5472</v>
      </c>
    </row>
    <row r="2392" spans="1:9" x14ac:dyDescent="0.3">
      <c r="A2392" t="s">
        <v>5473</v>
      </c>
      <c r="B2392" t="s">
        <v>5474</v>
      </c>
      <c r="C2392">
        <v>1</v>
      </c>
      <c r="D2392" t="s">
        <v>18</v>
      </c>
      <c r="E2392" t="s">
        <v>3045</v>
      </c>
      <c r="I2392" t="s">
        <v>289</v>
      </c>
    </row>
    <row r="2393" spans="1:9" x14ac:dyDescent="0.3">
      <c r="A2393" t="s">
        <v>5475</v>
      </c>
      <c r="B2393" t="s">
        <v>1101</v>
      </c>
      <c r="C2393">
        <v>1</v>
      </c>
      <c r="D2393" t="s">
        <v>23</v>
      </c>
      <c r="E2393" t="s">
        <v>328</v>
      </c>
    </row>
    <row r="2394" spans="1:9" x14ac:dyDescent="0.3">
      <c r="A2394" t="s">
        <v>5476</v>
      </c>
      <c r="B2394" t="s">
        <v>5477</v>
      </c>
      <c r="E2394" t="s">
        <v>5478</v>
      </c>
      <c r="I2394" t="s">
        <v>1124</v>
      </c>
    </row>
    <row r="2395" spans="1:9" x14ac:dyDescent="0.3">
      <c r="A2395" t="s">
        <v>5479</v>
      </c>
      <c r="B2395" t="s">
        <v>5480</v>
      </c>
      <c r="C2395">
        <v>1</v>
      </c>
      <c r="D2395" t="s">
        <v>612</v>
      </c>
      <c r="E2395" t="s">
        <v>5481</v>
      </c>
    </row>
    <row r="2396" spans="1:9" x14ac:dyDescent="0.3">
      <c r="A2396" t="s">
        <v>5482</v>
      </c>
      <c r="B2396" t="s">
        <v>5483</v>
      </c>
      <c r="C2396">
        <v>4</v>
      </c>
      <c r="D2396" t="s">
        <v>23</v>
      </c>
      <c r="E2396" t="s">
        <v>5484</v>
      </c>
      <c r="I2396" t="s">
        <v>325</v>
      </c>
    </row>
    <row r="2397" spans="1:9" x14ac:dyDescent="0.3">
      <c r="A2397" t="s">
        <v>5485</v>
      </c>
      <c r="B2397" t="s">
        <v>5486</v>
      </c>
      <c r="C2397">
        <v>3</v>
      </c>
      <c r="D2397" t="s">
        <v>189</v>
      </c>
      <c r="E2397" t="s">
        <v>5487</v>
      </c>
      <c r="I2397" t="s">
        <v>5488</v>
      </c>
    </row>
    <row r="2398" spans="1:9" x14ac:dyDescent="0.3">
      <c r="A2398" t="s">
        <v>5489</v>
      </c>
      <c r="B2398" t="s">
        <v>5490</v>
      </c>
      <c r="C2398">
        <v>30</v>
      </c>
      <c r="D2398" t="s">
        <v>29</v>
      </c>
      <c r="E2398" t="s">
        <v>1142</v>
      </c>
    </row>
    <row r="2399" spans="1:9" x14ac:dyDescent="0.3">
      <c r="A2399" t="s">
        <v>5491</v>
      </c>
      <c r="B2399" t="s">
        <v>2944</v>
      </c>
      <c r="C2399">
        <v>0.5</v>
      </c>
      <c r="D2399" t="s">
        <v>23</v>
      </c>
      <c r="E2399" t="s">
        <v>1209</v>
      </c>
    </row>
    <row r="2400" spans="1:9" x14ac:dyDescent="0.3">
      <c r="A2400" t="s">
        <v>5492</v>
      </c>
      <c r="B2400" t="s">
        <v>716</v>
      </c>
      <c r="E2400" t="s">
        <v>716</v>
      </c>
    </row>
    <row r="2401" spans="1:7" x14ac:dyDescent="0.3">
      <c r="A2401" t="s">
        <v>5493</v>
      </c>
      <c r="B2401" t="s">
        <v>1567</v>
      </c>
      <c r="C2401">
        <v>3</v>
      </c>
      <c r="D2401" t="s">
        <v>1212</v>
      </c>
      <c r="E2401" t="s">
        <v>1568</v>
      </c>
    </row>
    <row r="2402" spans="1:7" x14ac:dyDescent="0.3">
      <c r="A2402" t="s">
        <v>5494</v>
      </c>
      <c r="B2402" t="s">
        <v>337</v>
      </c>
      <c r="C2402">
        <v>1</v>
      </c>
      <c r="D2402" t="s">
        <v>23</v>
      </c>
      <c r="E2402" t="s">
        <v>338</v>
      </c>
    </row>
    <row r="2403" spans="1:7" x14ac:dyDescent="0.3">
      <c r="A2403" t="s">
        <v>5495</v>
      </c>
      <c r="B2403" t="s">
        <v>5496</v>
      </c>
      <c r="C2403">
        <v>0.25</v>
      </c>
      <c r="D2403" t="s">
        <v>23</v>
      </c>
      <c r="E2403" t="s">
        <v>38</v>
      </c>
      <c r="G2403" t="s">
        <v>68</v>
      </c>
    </row>
    <row r="2404" spans="1:7" x14ac:dyDescent="0.3">
      <c r="A2404" t="s">
        <v>329</v>
      </c>
      <c r="B2404" t="s">
        <v>331</v>
      </c>
      <c r="E2404" t="s">
        <v>331</v>
      </c>
    </row>
    <row r="2405" spans="1:7" x14ac:dyDescent="0.3">
      <c r="A2405" t="s">
        <v>5497</v>
      </c>
      <c r="B2405" t="s">
        <v>1072</v>
      </c>
      <c r="C2405">
        <v>1</v>
      </c>
      <c r="D2405" t="s">
        <v>111</v>
      </c>
      <c r="E2405" t="s">
        <v>183</v>
      </c>
    </row>
    <row r="2406" spans="1:7" x14ac:dyDescent="0.3">
      <c r="A2406" t="s">
        <v>651</v>
      </c>
      <c r="B2406" t="s">
        <v>5498</v>
      </c>
      <c r="C2406">
        <v>3</v>
      </c>
      <c r="E2406" t="s">
        <v>5499</v>
      </c>
      <c r="F2406" t="s">
        <v>908</v>
      </c>
    </row>
    <row r="2407" spans="1:7" x14ac:dyDescent="0.3">
      <c r="A2407" t="s">
        <v>5500</v>
      </c>
      <c r="B2407" t="s">
        <v>5501</v>
      </c>
      <c r="C2407">
        <v>1</v>
      </c>
      <c r="D2407" t="s">
        <v>37</v>
      </c>
      <c r="E2407" t="s">
        <v>741</v>
      </c>
      <c r="F2407" t="s">
        <v>167</v>
      </c>
      <c r="G2407" t="s">
        <v>168</v>
      </c>
    </row>
    <row r="2408" spans="1:7" x14ac:dyDescent="0.3">
      <c r="A2408" t="s">
        <v>5502</v>
      </c>
      <c r="B2408" t="s">
        <v>5503</v>
      </c>
      <c r="C2408">
        <v>2.5</v>
      </c>
      <c r="D2408" t="s">
        <v>23</v>
      </c>
      <c r="E2408" t="s">
        <v>171</v>
      </c>
    </row>
    <row r="2409" spans="1:7" x14ac:dyDescent="0.3">
      <c r="A2409" t="s">
        <v>5504</v>
      </c>
      <c r="B2409" t="s">
        <v>5505</v>
      </c>
      <c r="C2409">
        <v>500</v>
      </c>
      <c r="D2409" t="s">
        <v>29</v>
      </c>
      <c r="E2409" t="s">
        <v>880</v>
      </c>
    </row>
    <row r="2410" spans="1:7" x14ac:dyDescent="0.3">
      <c r="A2410" t="s">
        <v>5506</v>
      </c>
      <c r="B2410" t="s">
        <v>5507</v>
      </c>
      <c r="C2410">
        <v>2</v>
      </c>
      <c r="D2410" t="s">
        <v>189</v>
      </c>
      <c r="E2410" t="s">
        <v>5508</v>
      </c>
    </row>
    <row r="2411" spans="1:7" x14ac:dyDescent="0.3">
      <c r="A2411" t="s">
        <v>5509</v>
      </c>
      <c r="B2411" t="s">
        <v>988</v>
      </c>
      <c r="C2411">
        <v>0.5</v>
      </c>
      <c r="D2411" t="s">
        <v>23</v>
      </c>
      <c r="E2411" t="s">
        <v>81</v>
      </c>
    </row>
    <row r="2412" spans="1:7" x14ac:dyDescent="0.3">
      <c r="A2412" t="s">
        <v>5510</v>
      </c>
      <c r="B2412" t="s">
        <v>4220</v>
      </c>
      <c r="C2412">
        <v>2</v>
      </c>
      <c r="D2412" t="s">
        <v>23</v>
      </c>
      <c r="E2412" t="s">
        <v>487</v>
      </c>
    </row>
    <row r="2413" spans="1:7" x14ac:dyDescent="0.3">
      <c r="A2413" t="s">
        <v>5511</v>
      </c>
      <c r="B2413" t="s">
        <v>5512</v>
      </c>
      <c r="C2413">
        <v>0.5</v>
      </c>
      <c r="D2413" t="s">
        <v>23</v>
      </c>
      <c r="E2413" t="s">
        <v>5513</v>
      </c>
    </row>
    <row r="2414" spans="1:7" x14ac:dyDescent="0.3">
      <c r="A2414" t="s">
        <v>5514</v>
      </c>
      <c r="B2414" t="s">
        <v>152</v>
      </c>
      <c r="E2414" t="s">
        <v>152</v>
      </c>
    </row>
    <row r="2415" spans="1:7" x14ac:dyDescent="0.3">
      <c r="A2415" t="s">
        <v>349</v>
      </c>
      <c r="B2415" t="s">
        <v>5100</v>
      </c>
      <c r="C2415">
        <v>1</v>
      </c>
      <c r="D2415" t="s">
        <v>11</v>
      </c>
      <c r="E2415" t="s">
        <v>2703</v>
      </c>
    </row>
    <row r="2416" spans="1:7" x14ac:dyDescent="0.3">
      <c r="A2416" t="s">
        <v>5515</v>
      </c>
      <c r="B2416" t="s">
        <v>2596</v>
      </c>
      <c r="C2416">
        <v>3</v>
      </c>
      <c r="D2416" t="s">
        <v>23</v>
      </c>
      <c r="E2416" t="s">
        <v>716</v>
      </c>
    </row>
    <row r="2417" spans="1:9" x14ac:dyDescent="0.3">
      <c r="A2417" t="s">
        <v>5516</v>
      </c>
      <c r="B2417" t="s">
        <v>1413</v>
      </c>
      <c r="C2417">
        <v>1</v>
      </c>
      <c r="D2417" t="s">
        <v>23</v>
      </c>
      <c r="E2417" t="s">
        <v>292</v>
      </c>
    </row>
    <row r="2418" spans="1:9" x14ac:dyDescent="0.3">
      <c r="A2418" t="s">
        <v>5517</v>
      </c>
      <c r="B2418" t="s">
        <v>333</v>
      </c>
      <c r="E2418" t="s">
        <v>333</v>
      </c>
    </row>
    <row r="2419" spans="1:9" x14ac:dyDescent="0.3">
      <c r="A2419" t="s">
        <v>5518</v>
      </c>
      <c r="B2419" t="s">
        <v>2194</v>
      </c>
      <c r="C2419">
        <v>0.5</v>
      </c>
      <c r="D2419" t="s">
        <v>23</v>
      </c>
      <c r="E2419" t="s">
        <v>1238</v>
      </c>
    </row>
    <row r="2420" spans="1:9" x14ac:dyDescent="0.3">
      <c r="A2420" t="s">
        <v>5519</v>
      </c>
      <c r="B2420" t="s">
        <v>2929</v>
      </c>
      <c r="C2420">
        <v>1</v>
      </c>
      <c r="D2420" t="s">
        <v>111</v>
      </c>
      <c r="E2420" t="s">
        <v>331</v>
      </c>
    </row>
    <row r="2421" spans="1:9" x14ac:dyDescent="0.3">
      <c r="A2421" t="s">
        <v>5520</v>
      </c>
      <c r="B2421" t="s">
        <v>2370</v>
      </c>
      <c r="C2421">
        <v>1</v>
      </c>
      <c r="D2421" t="s">
        <v>284</v>
      </c>
      <c r="E2421" t="s">
        <v>413</v>
      </c>
      <c r="F2421" t="s">
        <v>1571</v>
      </c>
    </row>
    <row r="2422" spans="1:9" x14ac:dyDescent="0.3">
      <c r="A2422" t="s">
        <v>610</v>
      </c>
      <c r="B2422" t="s">
        <v>5521</v>
      </c>
      <c r="C2422">
        <v>2</v>
      </c>
      <c r="D2422" t="s">
        <v>227</v>
      </c>
      <c r="E2422" t="s">
        <v>3745</v>
      </c>
    </row>
    <row r="2423" spans="1:9" x14ac:dyDescent="0.3">
      <c r="A2423" t="s">
        <v>5522</v>
      </c>
      <c r="B2423" t="s">
        <v>5523</v>
      </c>
      <c r="C2423">
        <v>1.5</v>
      </c>
      <c r="D2423" t="s">
        <v>227</v>
      </c>
      <c r="E2423" t="s">
        <v>5524</v>
      </c>
    </row>
    <row r="2424" spans="1:9" x14ac:dyDescent="0.3">
      <c r="A2424" t="s">
        <v>5525</v>
      </c>
      <c r="B2424" t="s">
        <v>5526</v>
      </c>
      <c r="E2424" t="s">
        <v>5527</v>
      </c>
      <c r="I2424" t="s">
        <v>1124</v>
      </c>
    </row>
    <row r="2425" spans="1:9" x14ac:dyDescent="0.3">
      <c r="A2425" t="s">
        <v>5528</v>
      </c>
      <c r="B2425" t="s">
        <v>5529</v>
      </c>
      <c r="C2425">
        <v>0.5</v>
      </c>
      <c r="D2425" t="s">
        <v>23</v>
      </c>
      <c r="E2425" t="s">
        <v>95</v>
      </c>
    </row>
    <row r="2426" spans="1:9" x14ac:dyDescent="0.3">
      <c r="A2426" t="s">
        <v>5530</v>
      </c>
      <c r="B2426" t="s">
        <v>5531</v>
      </c>
      <c r="C2426">
        <v>1</v>
      </c>
      <c r="D2426" t="s">
        <v>23</v>
      </c>
      <c r="E2426" t="s">
        <v>2207</v>
      </c>
      <c r="F2426" t="s">
        <v>5532</v>
      </c>
      <c r="G2426" t="s">
        <v>3391</v>
      </c>
    </row>
    <row r="2427" spans="1:9" x14ac:dyDescent="0.3">
      <c r="A2427" t="s">
        <v>5533</v>
      </c>
      <c r="B2427" t="s">
        <v>5534</v>
      </c>
      <c r="C2427">
        <v>1</v>
      </c>
      <c r="D2427" t="s">
        <v>23</v>
      </c>
      <c r="E2427" t="s">
        <v>1087</v>
      </c>
    </row>
    <row r="2428" spans="1:9" x14ac:dyDescent="0.3">
      <c r="A2428" t="s">
        <v>5535</v>
      </c>
      <c r="B2428" t="s">
        <v>5536</v>
      </c>
      <c r="C2428">
        <v>0.5</v>
      </c>
      <c r="D2428" t="s">
        <v>37</v>
      </c>
      <c r="E2428" t="s">
        <v>2984</v>
      </c>
      <c r="I2428" t="s">
        <v>5537</v>
      </c>
    </row>
    <row r="2429" spans="1:9" x14ac:dyDescent="0.3">
      <c r="A2429" t="s">
        <v>1001</v>
      </c>
      <c r="B2429" t="s">
        <v>5538</v>
      </c>
      <c r="C2429">
        <v>3</v>
      </c>
      <c r="D2429" t="s">
        <v>1338</v>
      </c>
      <c r="E2429" t="s">
        <v>3144</v>
      </c>
      <c r="I2429" t="s">
        <v>289</v>
      </c>
    </row>
    <row r="2430" spans="1:9" x14ac:dyDescent="0.3">
      <c r="A2430" t="s">
        <v>5539</v>
      </c>
      <c r="B2430" t="s">
        <v>5540</v>
      </c>
      <c r="C2430">
        <v>0.75</v>
      </c>
      <c r="D2430" t="s">
        <v>23</v>
      </c>
      <c r="E2430" t="s">
        <v>1209</v>
      </c>
    </row>
    <row r="2431" spans="1:9" x14ac:dyDescent="0.3">
      <c r="A2431" t="s">
        <v>5541</v>
      </c>
      <c r="B2431" t="s">
        <v>5542</v>
      </c>
      <c r="C2431">
        <v>2</v>
      </c>
      <c r="D2431" t="s">
        <v>23</v>
      </c>
      <c r="E2431" t="s">
        <v>4644</v>
      </c>
    </row>
    <row r="2432" spans="1:9" x14ac:dyDescent="0.3">
      <c r="A2432" t="s">
        <v>5543</v>
      </c>
      <c r="B2432" t="s">
        <v>3488</v>
      </c>
      <c r="D2432" t="s">
        <v>33</v>
      </c>
      <c r="E2432" t="s">
        <v>1056</v>
      </c>
    </row>
    <row r="2433" spans="1:9" x14ac:dyDescent="0.3">
      <c r="A2433" t="s">
        <v>4362</v>
      </c>
      <c r="B2433" t="s">
        <v>5544</v>
      </c>
      <c r="C2433">
        <v>6</v>
      </c>
      <c r="D2433" t="s">
        <v>345</v>
      </c>
      <c r="E2433" t="s">
        <v>581</v>
      </c>
      <c r="H2433" t="s">
        <v>3214</v>
      </c>
    </row>
    <row r="2434" spans="1:9" x14ac:dyDescent="0.3">
      <c r="A2434" t="s">
        <v>5545</v>
      </c>
      <c r="B2434" t="s">
        <v>5546</v>
      </c>
      <c r="C2434">
        <v>1</v>
      </c>
      <c r="D2434" t="s">
        <v>5547</v>
      </c>
      <c r="E2434" t="s">
        <v>1097</v>
      </c>
      <c r="I2434" t="s">
        <v>1352</v>
      </c>
    </row>
    <row r="2435" spans="1:9" x14ac:dyDescent="0.3">
      <c r="A2435" t="s">
        <v>5548</v>
      </c>
      <c r="B2435" t="s">
        <v>5549</v>
      </c>
      <c r="C2435">
        <v>1</v>
      </c>
      <c r="D2435" t="s">
        <v>23</v>
      </c>
      <c r="E2435" t="s">
        <v>112</v>
      </c>
    </row>
    <row r="2436" spans="1:9" x14ac:dyDescent="0.3">
      <c r="A2436" t="s">
        <v>5550</v>
      </c>
      <c r="B2436" t="s">
        <v>5551</v>
      </c>
      <c r="C2436">
        <v>1.5</v>
      </c>
      <c r="D2436" t="s">
        <v>227</v>
      </c>
      <c r="E2436" t="s">
        <v>581</v>
      </c>
      <c r="F2436" t="s">
        <v>5552</v>
      </c>
      <c r="H2436" t="s">
        <v>3062</v>
      </c>
    </row>
    <row r="2437" spans="1:9" x14ac:dyDescent="0.3">
      <c r="A2437" t="s">
        <v>5553</v>
      </c>
      <c r="B2437" t="s">
        <v>5554</v>
      </c>
      <c r="C2437">
        <v>0.5</v>
      </c>
      <c r="D2437" t="s">
        <v>37</v>
      </c>
      <c r="E2437" t="s">
        <v>4111</v>
      </c>
    </row>
    <row r="2438" spans="1:9" x14ac:dyDescent="0.3">
      <c r="A2438" t="s">
        <v>5555</v>
      </c>
      <c r="B2438" t="s">
        <v>489</v>
      </c>
      <c r="C2438">
        <v>1</v>
      </c>
      <c r="D2438" t="s">
        <v>23</v>
      </c>
      <c r="E2438" t="s">
        <v>233</v>
      </c>
    </row>
    <row r="2439" spans="1:9" x14ac:dyDescent="0.3">
      <c r="A2439" t="s">
        <v>5556</v>
      </c>
      <c r="B2439" t="s">
        <v>5557</v>
      </c>
      <c r="C2439">
        <v>25</v>
      </c>
      <c r="D2439" t="s">
        <v>29</v>
      </c>
      <c r="E2439" t="s">
        <v>399</v>
      </c>
    </row>
    <row r="2440" spans="1:9" x14ac:dyDescent="0.3">
      <c r="A2440" t="s">
        <v>5558</v>
      </c>
      <c r="B2440" t="s">
        <v>56</v>
      </c>
      <c r="C2440">
        <v>50</v>
      </c>
      <c r="D2440" t="s">
        <v>29</v>
      </c>
      <c r="E2440" t="s">
        <v>57</v>
      </c>
    </row>
    <row r="2441" spans="1:9" x14ac:dyDescent="0.3">
      <c r="A2441" t="s">
        <v>5559</v>
      </c>
      <c r="B2441" t="s">
        <v>5560</v>
      </c>
      <c r="E2441" t="s">
        <v>5560</v>
      </c>
    </row>
    <row r="2442" spans="1:9" x14ac:dyDescent="0.3">
      <c r="A2442" t="s">
        <v>5561</v>
      </c>
      <c r="B2442" t="s">
        <v>3849</v>
      </c>
      <c r="E2442" t="s">
        <v>776</v>
      </c>
      <c r="I2442" t="s">
        <v>164</v>
      </c>
    </row>
    <row r="2443" spans="1:9" x14ac:dyDescent="0.3">
      <c r="A2443" t="s">
        <v>424</v>
      </c>
      <c r="B2443" t="s">
        <v>889</v>
      </c>
      <c r="C2443">
        <v>1</v>
      </c>
      <c r="D2443" t="s">
        <v>23</v>
      </c>
      <c r="E2443" t="s">
        <v>524</v>
      </c>
    </row>
    <row r="2444" spans="1:9" x14ac:dyDescent="0.3">
      <c r="A2444" t="s">
        <v>5562</v>
      </c>
      <c r="B2444" t="s">
        <v>5563</v>
      </c>
      <c r="C2444">
        <v>1</v>
      </c>
      <c r="D2444" t="s">
        <v>23</v>
      </c>
      <c r="E2444" t="s">
        <v>5564</v>
      </c>
    </row>
    <row r="2445" spans="1:9" x14ac:dyDescent="0.3">
      <c r="A2445" t="s">
        <v>5565</v>
      </c>
      <c r="B2445" t="s">
        <v>5566</v>
      </c>
      <c r="C2445">
        <v>1.5</v>
      </c>
      <c r="D2445" t="s">
        <v>176</v>
      </c>
      <c r="E2445" t="s">
        <v>516</v>
      </c>
    </row>
    <row r="2446" spans="1:9" x14ac:dyDescent="0.3">
      <c r="A2446" t="s">
        <v>5567</v>
      </c>
      <c r="B2446" t="s">
        <v>5568</v>
      </c>
      <c r="C2446">
        <v>12.5</v>
      </c>
      <c r="D2446" t="s">
        <v>29</v>
      </c>
      <c r="E2446" t="s">
        <v>2039</v>
      </c>
    </row>
    <row r="2447" spans="1:9" x14ac:dyDescent="0.3">
      <c r="A2447" t="s">
        <v>5569</v>
      </c>
      <c r="B2447" t="s">
        <v>5570</v>
      </c>
      <c r="C2447">
        <v>1</v>
      </c>
      <c r="D2447" t="s">
        <v>612</v>
      </c>
      <c r="E2447" t="s">
        <v>5571</v>
      </c>
    </row>
    <row r="2448" spans="1:9" x14ac:dyDescent="0.3">
      <c r="A2448" t="s">
        <v>5572</v>
      </c>
      <c r="B2448" t="s">
        <v>5573</v>
      </c>
      <c r="C2448">
        <v>1.5</v>
      </c>
      <c r="D2448" t="s">
        <v>23</v>
      </c>
      <c r="E2448" t="s">
        <v>3679</v>
      </c>
    </row>
    <row r="2449" spans="1:9" x14ac:dyDescent="0.3">
      <c r="A2449" t="s">
        <v>4266</v>
      </c>
      <c r="B2449" t="s">
        <v>5574</v>
      </c>
      <c r="C2449">
        <v>1</v>
      </c>
      <c r="E2449" t="s">
        <v>152</v>
      </c>
    </row>
    <row r="2450" spans="1:9" x14ac:dyDescent="0.3">
      <c r="A2450" t="s">
        <v>5575</v>
      </c>
      <c r="B2450" t="s">
        <v>5576</v>
      </c>
      <c r="C2450">
        <v>1</v>
      </c>
      <c r="E2450" t="s">
        <v>3471</v>
      </c>
    </row>
    <row r="2451" spans="1:9" x14ac:dyDescent="0.3">
      <c r="A2451" t="s">
        <v>5577</v>
      </c>
      <c r="B2451" t="s">
        <v>3782</v>
      </c>
      <c r="C2451">
        <v>10</v>
      </c>
      <c r="D2451" t="s">
        <v>29</v>
      </c>
      <c r="E2451" t="s">
        <v>30</v>
      </c>
    </row>
    <row r="2452" spans="1:9" x14ac:dyDescent="0.3">
      <c r="A2452" t="s">
        <v>5578</v>
      </c>
      <c r="B2452" t="s">
        <v>5579</v>
      </c>
      <c r="C2452">
        <v>0.33</v>
      </c>
      <c r="D2452" t="s">
        <v>23</v>
      </c>
      <c r="E2452" t="s">
        <v>587</v>
      </c>
    </row>
    <row r="2453" spans="1:9" x14ac:dyDescent="0.3">
      <c r="A2453" t="s">
        <v>5580</v>
      </c>
      <c r="B2453" t="s">
        <v>5581</v>
      </c>
      <c r="C2453">
        <v>1.75</v>
      </c>
      <c r="D2453" t="s">
        <v>345</v>
      </c>
      <c r="E2453" t="s">
        <v>728</v>
      </c>
      <c r="I2453" t="s">
        <v>5582</v>
      </c>
    </row>
    <row r="2454" spans="1:9" x14ac:dyDescent="0.3">
      <c r="A2454" t="s">
        <v>5583</v>
      </c>
      <c r="B2454" t="s">
        <v>5574</v>
      </c>
      <c r="C2454">
        <v>1</v>
      </c>
      <c r="E2454" t="s">
        <v>152</v>
      </c>
    </row>
    <row r="2455" spans="1:9" x14ac:dyDescent="0.3">
      <c r="A2455" t="s">
        <v>5584</v>
      </c>
      <c r="B2455" t="s">
        <v>1714</v>
      </c>
      <c r="C2455">
        <v>1</v>
      </c>
      <c r="D2455" t="s">
        <v>23</v>
      </c>
      <c r="E2455" t="s">
        <v>1715</v>
      </c>
    </row>
    <row r="2456" spans="1:9" x14ac:dyDescent="0.3">
      <c r="A2456" t="s">
        <v>5585</v>
      </c>
      <c r="B2456" t="s">
        <v>5586</v>
      </c>
      <c r="C2456">
        <v>1</v>
      </c>
      <c r="D2456" t="s">
        <v>11</v>
      </c>
      <c r="E2456" t="s">
        <v>5587</v>
      </c>
      <c r="I2456" t="s">
        <v>5588</v>
      </c>
    </row>
    <row r="2457" spans="1:9" x14ac:dyDescent="0.3">
      <c r="A2457" t="s">
        <v>2876</v>
      </c>
      <c r="B2457" t="s">
        <v>4492</v>
      </c>
      <c r="C2457">
        <v>1</v>
      </c>
      <c r="D2457" t="s">
        <v>23</v>
      </c>
      <c r="E2457" t="s">
        <v>3447</v>
      </c>
    </row>
    <row r="2458" spans="1:9" x14ac:dyDescent="0.3">
      <c r="A2458" t="s">
        <v>5589</v>
      </c>
      <c r="B2458" t="s">
        <v>5590</v>
      </c>
      <c r="C2458">
        <v>1</v>
      </c>
      <c r="D2458" t="s">
        <v>23</v>
      </c>
      <c r="E2458" t="s">
        <v>81</v>
      </c>
    </row>
    <row r="2459" spans="1:9" x14ac:dyDescent="0.3">
      <c r="A2459" t="s">
        <v>5591</v>
      </c>
      <c r="B2459" t="s">
        <v>5592</v>
      </c>
      <c r="C2459">
        <v>50</v>
      </c>
      <c r="D2459" t="s">
        <v>29</v>
      </c>
      <c r="E2459" t="s">
        <v>3917</v>
      </c>
      <c r="I2459" t="s">
        <v>2464</v>
      </c>
    </row>
    <row r="2460" spans="1:9" x14ac:dyDescent="0.3">
      <c r="A2460" t="s">
        <v>2574</v>
      </c>
      <c r="B2460" t="s">
        <v>5593</v>
      </c>
      <c r="C2460">
        <v>3</v>
      </c>
      <c r="D2460" t="s">
        <v>345</v>
      </c>
      <c r="E2460" t="s">
        <v>1451</v>
      </c>
      <c r="H2460" t="s">
        <v>1078</v>
      </c>
      <c r="I2460" t="s">
        <v>325</v>
      </c>
    </row>
    <row r="2461" spans="1:9" x14ac:dyDescent="0.3">
      <c r="A2461" t="s">
        <v>5594</v>
      </c>
      <c r="B2461" t="s">
        <v>5595</v>
      </c>
      <c r="C2461">
        <v>1</v>
      </c>
      <c r="D2461" t="s">
        <v>585</v>
      </c>
      <c r="E2461" t="s">
        <v>163</v>
      </c>
      <c r="I2461" t="s">
        <v>5596</v>
      </c>
    </row>
    <row r="2462" spans="1:9" x14ac:dyDescent="0.3">
      <c r="A2462" t="s">
        <v>5597</v>
      </c>
      <c r="B2462" t="s">
        <v>5598</v>
      </c>
      <c r="C2462" t="s">
        <v>5599</v>
      </c>
      <c r="D2462" t="s">
        <v>23</v>
      </c>
      <c r="E2462" t="s">
        <v>2678</v>
      </c>
      <c r="I2462" t="s">
        <v>1177</v>
      </c>
    </row>
    <row r="2463" spans="1:9" x14ac:dyDescent="0.3">
      <c r="A2463" t="s">
        <v>5600</v>
      </c>
      <c r="B2463" t="s">
        <v>5601</v>
      </c>
      <c r="C2463">
        <v>0.5</v>
      </c>
      <c r="D2463" t="s">
        <v>23</v>
      </c>
      <c r="E2463" t="s">
        <v>3447</v>
      </c>
    </row>
    <row r="2464" spans="1:9" x14ac:dyDescent="0.3">
      <c r="A2464" t="s">
        <v>5602</v>
      </c>
      <c r="B2464" t="s">
        <v>5603</v>
      </c>
      <c r="E2464" t="s">
        <v>5604</v>
      </c>
      <c r="I2464" t="s">
        <v>5605</v>
      </c>
    </row>
    <row r="2465" spans="1:9" x14ac:dyDescent="0.3">
      <c r="A2465" t="s">
        <v>5606</v>
      </c>
      <c r="B2465" t="s">
        <v>1179</v>
      </c>
      <c r="C2465">
        <v>1</v>
      </c>
      <c r="D2465" t="s">
        <v>23</v>
      </c>
      <c r="E2465" t="s">
        <v>233</v>
      </c>
    </row>
    <row r="2466" spans="1:9" x14ac:dyDescent="0.3">
      <c r="A2466" t="s">
        <v>5607</v>
      </c>
      <c r="B2466" t="s">
        <v>1204</v>
      </c>
      <c r="E2466" t="s">
        <v>1204</v>
      </c>
    </row>
    <row r="2467" spans="1:9" x14ac:dyDescent="0.3">
      <c r="A2467" t="s">
        <v>5608</v>
      </c>
      <c r="B2467" t="s">
        <v>3626</v>
      </c>
      <c r="C2467">
        <v>2</v>
      </c>
      <c r="D2467" t="s">
        <v>23</v>
      </c>
      <c r="E2467" t="s">
        <v>1867</v>
      </c>
    </row>
    <row r="2468" spans="1:9" x14ac:dyDescent="0.3">
      <c r="A2468" t="s">
        <v>5609</v>
      </c>
      <c r="B2468" t="s">
        <v>5610</v>
      </c>
      <c r="C2468">
        <v>0.25</v>
      </c>
      <c r="D2468" t="s">
        <v>37</v>
      </c>
      <c r="E2468" t="s">
        <v>5611</v>
      </c>
    </row>
    <row r="2469" spans="1:9" x14ac:dyDescent="0.3">
      <c r="A2469" t="s">
        <v>5612</v>
      </c>
      <c r="B2469" t="s">
        <v>3560</v>
      </c>
      <c r="C2469">
        <v>0.25</v>
      </c>
      <c r="D2469" t="s">
        <v>23</v>
      </c>
      <c r="E2469" t="s">
        <v>1328</v>
      </c>
    </row>
    <row r="2470" spans="1:9" x14ac:dyDescent="0.3">
      <c r="A2470" t="s">
        <v>820</v>
      </c>
      <c r="B2470" t="s">
        <v>5161</v>
      </c>
      <c r="E2470" t="s">
        <v>5161</v>
      </c>
    </row>
    <row r="2471" spans="1:9" x14ac:dyDescent="0.3">
      <c r="A2471" t="s">
        <v>1986</v>
      </c>
      <c r="B2471" t="s">
        <v>2610</v>
      </c>
      <c r="C2471">
        <v>0.5</v>
      </c>
      <c r="D2471" t="s">
        <v>284</v>
      </c>
      <c r="E2471" t="s">
        <v>581</v>
      </c>
    </row>
    <row r="2472" spans="1:9" x14ac:dyDescent="0.3">
      <c r="A2472" t="s">
        <v>5613</v>
      </c>
      <c r="B2472" t="s">
        <v>5614</v>
      </c>
      <c r="D2472" t="s">
        <v>2689</v>
      </c>
      <c r="E2472" t="s">
        <v>591</v>
      </c>
      <c r="I2472" t="s">
        <v>1154</v>
      </c>
    </row>
    <row r="2473" spans="1:9" x14ac:dyDescent="0.3">
      <c r="A2473" t="s">
        <v>5615</v>
      </c>
      <c r="B2473" t="s">
        <v>5616</v>
      </c>
      <c r="C2473">
        <v>1</v>
      </c>
      <c r="D2473" t="s">
        <v>23</v>
      </c>
      <c r="E2473" t="s">
        <v>5464</v>
      </c>
      <c r="I2473" t="s">
        <v>289</v>
      </c>
    </row>
    <row r="2474" spans="1:9" x14ac:dyDescent="0.3">
      <c r="A2474" t="s">
        <v>5617</v>
      </c>
      <c r="B2474" t="s">
        <v>5618</v>
      </c>
      <c r="E2474" t="s">
        <v>1204</v>
      </c>
      <c r="I2474" t="s">
        <v>65</v>
      </c>
    </row>
    <row r="2475" spans="1:9" x14ac:dyDescent="0.3">
      <c r="A2475" t="s">
        <v>5619</v>
      </c>
      <c r="B2475" t="s">
        <v>5620</v>
      </c>
      <c r="C2475">
        <v>1</v>
      </c>
      <c r="E2475" t="s">
        <v>317</v>
      </c>
      <c r="I2475" t="s">
        <v>5621</v>
      </c>
    </row>
    <row r="2476" spans="1:9" x14ac:dyDescent="0.3">
      <c r="A2476" t="s">
        <v>5622</v>
      </c>
      <c r="B2476" t="s">
        <v>5623</v>
      </c>
      <c r="C2476">
        <v>15</v>
      </c>
      <c r="D2476" t="s">
        <v>23</v>
      </c>
      <c r="E2476" t="s">
        <v>1185</v>
      </c>
    </row>
    <row r="2477" spans="1:9" x14ac:dyDescent="0.3">
      <c r="A2477" t="s">
        <v>5624</v>
      </c>
      <c r="B2477" t="s">
        <v>5625</v>
      </c>
      <c r="C2477">
        <v>2</v>
      </c>
      <c r="D2477" t="s">
        <v>189</v>
      </c>
      <c r="E2477" t="s">
        <v>5626</v>
      </c>
    </row>
    <row r="2478" spans="1:9" x14ac:dyDescent="0.3">
      <c r="A2478" t="s">
        <v>1544</v>
      </c>
      <c r="B2478" t="s">
        <v>5627</v>
      </c>
      <c r="C2478">
        <v>0.5</v>
      </c>
      <c r="D2478" t="s">
        <v>23</v>
      </c>
      <c r="E2478" t="s">
        <v>738</v>
      </c>
    </row>
    <row r="2479" spans="1:9" x14ac:dyDescent="0.3">
      <c r="A2479" t="s">
        <v>5628</v>
      </c>
      <c r="B2479" t="s">
        <v>5629</v>
      </c>
      <c r="C2479">
        <v>1</v>
      </c>
      <c r="E2479" t="s">
        <v>5630</v>
      </c>
      <c r="I2479" t="s">
        <v>248</v>
      </c>
    </row>
    <row r="2480" spans="1:9" x14ac:dyDescent="0.3">
      <c r="A2480" t="s">
        <v>5631</v>
      </c>
      <c r="B2480" t="s">
        <v>3018</v>
      </c>
      <c r="C2480">
        <v>2</v>
      </c>
      <c r="D2480" t="s">
        <v>189</v>
      </c>
      <c r="E2480" t="s">
        <v>541</v>
      </c>
    </row>
    <row r="2481" spans="1:9" x14ac:dyDescent="0.3">
      <c r="A2481" t="s">
        <v>5632</v>
      </c>
      <c r="B2481" t="s">
        <v>2045</v>
      </c>
      <c r="C2481">
        <v>2</v>
      </c>
      <c r="D2481" t="s">
        <v>1338</v>
      </c>
      <c r="E2481" t="s">
        <v>1043</v>
      </c>
      <c r="I2481" t="s">
        <v>289</v>
      </c>
    </row>
    <row r="2482" spans="1:9" x14ac:dyDescent="0.3">
      <c r="A2482" t="s">
        <v>5633</v>
      </c>
      <c r="B2482" t="s">
        <v>5634</v>
      </c>
      <c r="C2482">
        <v>2</v>
      </c>
      <c r="D2482" t="s">
        <v>23</v>
      </c>
      <c r="E2482" t="s">
        <v>102</v>
      </c>
    </row>
    <row r="2483" spans="1:9" x14ac:dyDescent="0.3">
      <c r="A2483" t="s">
        <v>5635</v>
      </c>
      <c r="B2483" t="s">
        <v>5636</v>
      </c>
      <c r="C2483">
        <v>0.5</v>
      </c>
      <c r="D2483" t="s">
        <v>23</v>
      </c>
      <c r="E2483" t="s">
        <v>4212</v>
      </c>
    </row>
    <row r="2484" spans="1:9" x14ac:dyDescent="0.3">
      <c r="A2484" t="s">
        <v>1608</v>
      </c>
      <c r="B2484" t="s">
        <v>5637</v>
      </c>
      <c r="C2484">
        <v>2</v>
      </c>
      <c r="D2484" t="s">
        <v>151</v>
      </c>
      <c r="E2484" t="s">
        <v>1568</v>
      </c>
    </row>
    <row r="2485" spans="1:9" x14ac:dyDescent="0.3">
      <c r="A2485" t="s">
        <v>3880</v>
      </c>
      <c r="B2485" t="s">
        <v>3503</v>
      </c>
      <c r="C2485">
        <v>35</v>
      </c>
      <c r="D2485" t="s">
        <v>29</v>
      </c>
      <c r="E2485" t="s">
        <v>587</v>
      </c>
    </row>
    <row r="2486" spans="1:9" x14ac:dyDescent="0.3">
      <c r="A2486" t="s">
        <v>5638</v>
      </c>
      <c r="B2486" t="s">
        <v>5639</v>
      </c>
      <c r="C2486">
        <v>1</v>
      </c>
      <c r="D2486" t="s">
        <v>1671</v>
      </c>
      <c r="E2486" t="s">
        <v>1056</v>
      </c>
      <c r="I2486" t="s">
        <v>248</v>
      </c>
    </row>
    <row r="2487" spans="1:9" x14ac:dyDescent="0.3">
      <c r="A2487" t="s">
        <v>5640</v>
      </c>
      <c r="B2487" t="s">
        <v>5641</v>
      </c>
      <c r="E2487" t="s">
        <v>5641</v>
      </c>
    </row>
    <row r="2488" spans="1:9" x14ac:dyDescent="0.3">
      <c r="A2488" t="s">
        <v>5642</v>
      </c>
      <c r="B2488" t="s">
        <v>5643</v>
      </c>
      <c r="C2488">
        <v>0.5</v>
      </c>
      <c r="D2488" t="s">
        <v>23</v>
      </c>
      <c r="E2488" t="s">
        <v>4728</v>
      </c>
    </row>
    <row r="2489" spans="1:9" x14ac:dyDescent="0.3">
      <c r="A2489" t="s">
        <v>9</v>
      </c>
      <c r="B2489" t="s">
        <v>5644</v>
      </c>
      <c r="C2489">
        <v>10.5</v>
      </c>
      <c r="D2489" t="s">
        <v>91</v>
      </c>
      <c r="E2489" t="s">
        <v>2709</v>
      </c>
    </row>
    <row r="2490" spans="1:9" x14ac:dyDescent="0.3">
      <c r="A2490" t="s">
        <v>5645</v>
      </c>
      <c r="B2490" t="s">
        <v>5646</v>
      </c>
      <c r="C2490">
        <v>1</v>
      </c>
      <c r="D2490" t="s">
        <v>23</v>
      </c>
      <c r="E2490" t="s">
        <v>262</v>
      </c>
    </row>
    <row r="2491" spans="1:9" x14ac:dyDescent="0.3">
      <c r="A2491" t="s">
        <v>5647</v>
      </c>
      <c r="B2491" t="s">
        <v>2988</v>
      </c>
      <c r="C2491">
        <v>0.75</v>
      </c>
      <c r="D2491" t="s">
        <v>37</v>
      </c>
      <c r="E2491" t="s">
        <v>81</v>
      </c>
    </row>
    <row r="2492" spans="1:9" x14ac:dyDescent="0.3">
      <c r="A2492" t="s">
        <v>5648</v>
      </c>
      <c r="B2492" t="s">
        <v>5649</v>
      </c>
      <c r="C2492">
        <v>70</v>
      </c>
      <c r="D2492" t="s">
        <v>29</v>
      </c>
      <c r="E2492" t="s">
        <v>738</v>
      </c>
    </row>
    <row r="2493" spans="1:9" x14ac:dyDescent="0.3">
      <c r="A2493" t="s">
        <v>5650</v>
      </c>
      <c r="B2493" t="s">
        <v>3350</v>
      </c>
      <c r="E2493" t="s">
        <v>3350</v>
      </c>
    </row>
    <row r="2494" spans="1:9" x14ac:dyDescent="0.3">
      <c r="A2494" t="s">
        <v>619</v>
      </c>
      <c r="B2494" t="s">
        <v>5521</v>
      </c>
      <c r="C2494">
        <v>2</v>
      </c>
      <c r="D2494" t="s">
        <v>227</v>
      </c>
      <c r="E2494" t="s">
        <v>3745</v>
      </c>
    </row>
    <row r="2495" spans="1:9" x14ac:dyDescent="0.3">
      <c r="A2495" t="s">
        <v>4679</v>
      </c>
      <c r="B2495" t="s">
        <v>5651</v>
      </c>
      <c r="C2495">
        <v>10</v>
      </c>
      <c r="D2495" t="s">
        <v>835</v>
      </c>
      <c r="E2495" t="s">
        <v>5652</v>
      </c>
      <c r="I2495" t="s">
        <v>5653</v>
      </c>
    </row>
    <row r="2496" spans="1:9" x14ac:dyDescent="0.3">
      <c r="A2496" t="s">
        <v>5654</v>
      </c>
      <c r="B2496" t="s">
        <v>5655</v>
      </c>
      <c r="C2496">
        <v>1</v>
      </c>
      <c r="D2496" t="s">
        <v>23</v>
      </c>
      <c r="E2496" t="s">
        <v>220</v>
      </c>
    </row>
    <row r="2497" spans="1:9" x14ac:dyDescent="0.3">
      <c r="A2497" t="s">
        <v>5656</v>
      </c>
      <c r="B2497" t="s">
        <v>5657</v>
      </c>
      <c r="C2497">
        <v>1</v>
      </c>
      <c r="D2497" t="s">
        <v>37</v>
      </c>
      <c r="E2497" t="s">
        <v>5658</v>
      </c>
      <c r="I2497" t="s">
        <v>5659</v>
      </c>
    </row>
    <row r="2498" spans="1:9" x14ac:dyDescent="0.3">
      <c r="A2498" t="s">
        <v>5660</v>
      </c>
      <c r="B2498" t="s">
        <v>5661</v>
      </c>
      <c r="C2498">
        <v>0.5</v>
      </c>
      <c r="D2498" t="s">
        <v>23</v>
      </c>
      <c r="E2498" t="s">
        <v>160</v>
      </c>
      <c r="F2498" t="s">
        <v>167</v>
      </c>
      <c r="G2498" t="s">
        <v>168</v>
      </c>
    </row>
    <row r="2499" spans="1:9" x14ac:dyDescent="0.3">
      <c r="A2499" t="s">
        <v>5662</v>
      </c>
      <c r="B2499" t="s">
        <v>5663</v>
      </c>
      <c r="E2499" t="s">
        <v>5664</v>
      </c>
      <c r="F2499" t="s">
        <v>5665</v>
      </c>
      <c r="I2499" t="s">
        <v>1124</v>
      </c>
    </row>
    <row r="2500" spans="1:9" x14ac:dyDescent="0.3">
      <c r="A2500" t="s">
        <v>5666</v>
      </c>
      <c r="B2500" t="s">
        <v>5667</v>
      </c>
      <c r="C2500">
        <v>2</v>
      </c>
      <c r="D2500" t="s">
        <v>4110</v>
      </c>
      <c r="E2500" t="s">
        <v>1812</v>
      </c>
      <c r="F2500" t="s">
        <v>1813</v>
      </c>
    </row>
    <row r="2501" spans="1:9" x14ac:dyDescent="0.3">
      <c r="A2501" t="s">
        <v>5668</v>
      </c>
      <c r="B2501" t="s">
        <v>5669</v>
      </c>
      <c r="C2501">
        <v>2</v>
      </c>
      <c r="D2501" t="s">
        <v>91</v>
      </c>
      <c r="E2501" t="s">
        <v>2703</v>
      </c>
    </row>
    <row r="2502" spans="1:9" x14ac:dyDescent="0.3">
      <c r="A2502" t="s">
        <v>5670</v>
      </c>
      <c r="B2502" t="s">
        <v>5671</v>
      </c>
      <c r="C2502">
        <v>0.5</v>
      </c>
      <c r="D2502" t="s">
        <v>23</v>
      </c>
      <c r="E2502" t="s">
        <v>2449</v>
      </c>
    </row>
    <row r="2503" spans="1:9" x14ac:dyDescent="0.3">
      <c r="A2503" t="s">
        <v>5672</v>
      </c>
      <c r="B2503" t="s">
        <v>4555</v>
      </c>
      <c r="C2503">
        <v>0.25</v>
      </c>
      <c r="D2503" t="s">
        <v>11</v>
      </c>
      <c r="E2503" t="s">
        <v>88</v>
      </c>
    </row>
    <row r="2504" spans="1:9" x14ac:dyDescent="0.3">
      <c r="A2504" t="s">
        <v>5673</v>
      </c>
      <c r="B2504" t="s">
        <v>253</v>
      </c>
      <c r="E2504" t="s">
        <v>253</v>
      </c>
    </row>
    <row r="2505" spans="1:9" x14ac:dyDescent="0.3">
      <c r="A2505" t="s">
        <v>5674</v>
      </c>
      <c r="B2505" t="s">
        <v>5675</v>
      </c>
      <c r="C2505">
        <v>10.5</v>
      </c>
      <c r="D2505" t="s">
        <v>23</v>
      </c>
      <c r="E2505" t="s">
        <v>5676</v>
      </c>
    </row>
    <row r="2506" spans="1:9" x14ac:dyDescent="0.3">
      <c r="A2506" t="s">
        <v>5677</v>
      </c>
      <c r="B2506" t="s">
        <v>5678</v>
      </c>
      <c r="C2506">
        <v>1</v>
      </c>
      <c r="D2506" t="s">
        <v>284</v>
      </c>
      <c r="E2506" t="s">
        <v>5679</v>
      </c>
      <c r="F2506" t="s">
        <v>1813</v>
      </c>
    </row>
    <row r="2507" spans="1:9" x14ac:dyDescent="0.3">
      <c r="A2507" t="s">
        <v>3991</v>
      </c>
      <c r="B2507" t="s">
        <v>5680</v>
      </c>
      <c r="C2507">
        <v>50</v>
      </c>
      <c r="D2507" t="s">
        <v>29</v>
      </c>
      <c r="E2507" t="s">
        <v>3990</v>
      </c>
      <c r="I2507" t="s">
        <v>5681</v>
      </c>
    </row>
    <row r="2508" spans="1:9" x14ac:dyDescent="0.3">
      <c r="A2508" t="s">
        <v>5682</v>
      </c>
      <c r="B2508" t="s">
        <v>5683</v>
      </c>
      <c r="C2508">
        <v>1</v>
      </c>
      <c r="D2508" t="s">
        <v>18</v>
      </c>
      <c r="E2508" t="s">
        <v>487</v>
      </c>
    </row>
    <row r="2509" spans="1:9" x14ac:dyDescent="0.3">
      <c r="A2509" t="s">
        <v>5684</v>
      </c>
      <c r="B2509" t="s">
        <v>1141</v>
      </c>
      <c r="C2509">
        <v>50</v>
      </c>
      <c r="D2509" t="s">
        <v>29</v>
      </c>
      <c r="E2509" t="s">
        <v>1142</v>
      </c>
    </row>
    <row r="2510" spans="1:9" x14ac:dyDescent="0.3">
      <c r="A2510" t="s">
        <v>5685</v>
      </c>
      <c r="B2510" t="s">
        <v>743</v>
      </c>
      <c r="E2510" t="s">
        <v>743</v>
      </c>
    </row>
    <row r="2511" spans="1:9" x14ac:dyDescent="0.3">
      <c r="A2511" t="s">
        <v>5686</v>
      </c>
      <c r="B2511" t="s">
        <v>5687</v>
      </c>
      <c r="C2511">
        <v>2</v>
      </c>
      <c r="D2511" t="s">
        <v>91</v>
      </c>
      <c r="E2511" t="s">
        <v>5688</v>
      </c>
    </row>
    <row r="2512" spans="1:9" x14ac:dyDescent="0.3">
      <c r="A2512" t="s">
        <v>5689</v>
      </c>
      <c r="B2512" t="s">
        <v>5690</v>
      </c>
      <c r="C2512">
        <v>8</v>
      </c>
      <c r="D2512" t="s">
        <v>23</v>
      </c>
      <c r="E2512" t="s">
        <v>5691</v>
      </c>
    </row>
    <row r="2513" spans="1:9" x14ac:dyDescent="0.3">
      <c r="A2513" t="s">
        <v>5692</v>
      </c>
      <c r="B2513" t="s">
        <v>743</v>
      </c>
      <c r="E2513" t="s">
        <v>743</v>
      </c>
    </row>
    <row r="2514" spans="1:9" x14ac:dyDescent="0.3">
      <c r="A2514" t="s">
        <v>5693</v>
      </c>
      <c r="B2514" t="s">
        <v>2912</v>
      </c>
      <c r="C2514">
        <v>0.75</v>
      </c>
      <c r="D2514" t="s">
        <v>23</v>
      </c>
      <c r="E2514" t="s">
        <v>2913</v>
      </c>
    </row>
    <row r="2515" spans="1:9" x14ac:dyDescent="0.3">
      <c r="A2515" t="s">
        <v>5694</v>
      </c>
      <c r="B2515" t="s">
        <v>1838</v>
      </c>
      <c r="C2515">
        <v>1.5</v>
      </c>
      <c r="D2515" t="s">
        <v>345</v>
      </c>
      <c r="E2515" t="s">
        <v>41</v>
      </c>
    </row>
    <row r="2516" spans="1:9" x14ac:dyDescent="0.3">
      <c r="A2516" t="s">
        <v>5695</v>
      </c>
      <c r="B2516" t="s">
        <v>5696</v>
      </c>
      <c r="C2516">
        <v>0.5</v>
      </c>
      <c r="D2516" t="s">
        <v>23</v>
      </c>
      <c r="E2516" t="s">
        <v>1009</v>
      </c>
      <c r="I2516" t="s">
        <v>289</v>
      </c>
    </row>
    <row r="2517" spans="1:9" x14ac:dyDescent="0.3">
      <c r="A2517" t="s">
        <v>5697</v>
      </c>
      <c r="B2517" t="s">
        <v>4224</v>
      </c>
      <c r="C2517">
        <v>1</v>
      </c>
      <c r="D2517" t="s">
        <v>23</v>
      </c>
      <c r="E2517" t="s">
        <v>716</v>
      </c>
    </row>
    <row r="2518" spans="1:9" x14ac:dyDescent="0.3">
      <c r="A2518" t="s">
        <v>5698</v>
      </c>
      <c r="B2518" t="s">
        <v>5699</v>
      </c>
      <c r="C2518">
        <v>0.25</v>
      </c>
      <c r="E2518" t="s">
        <v>30</v>
      </c>
      <c r="I2518" t="s">
        <v>289</v>
      </c>
    </row>
    <row r="2519" spans="1:9" x14ac:dyDescent="0.3">
      <c r="A2519" t="s">
        <v>5700</v>
      </c>
      <c r="B2519" t="s">
        <v>5701</v>
      </c>
      <c r="C2519">
        <v>2</v>
      </c>
      <c r="D2519" t="s">
        <v>345</v>
      </c>
      <c r="E2519" t="s">
        <v>41</v>
      </c>
    </row>
    <row r="2520" spans="1:9" x14ac:dyDescent="0.3">
      <c r="A2520" t="s">
        <v>5702</v>
      </c>
      <c r="B2520" t="s">
        <v>5703</v>
      </c>
      <c r="C2520">
        <v>1</v>
      </c>
      <c r="D2520" t="s">
        <v>23</v>
      </c>
      <c r="E2520" t="s">
        <v>4589</v>
      </c>
    </row>
    <row r="2521" spans="1:9" x14ac:dyDescent="0.3">
      <c r="A2521" t="s">
        <v>5704</v>
      </c>
      <c r="B2521" t="s">
        <v>5705</v>
      </c>
      <c r="C2521">
        <v>1</v>
      </c>
      <c r="D2521" t="s">
        <v>284</v>
      </c>
      <c r="E2521" t="s">
        <v>5706</v>
      </c>
    </row>
    <row r="2522" spans="1:9" x14ac:dyDescent="0.3">
      <c r="A2522" t="s">
        <v>5707</v>
      </c>
      <c r="B2522" t="s">
        <v>5708</v>
      </c>
      <c r="C2522">
        <v>0.5</v>
      </c>
      <c r="D2522" t="s">
        <v>23</v>
      </c>
      <c r="E2522" t="s">
        <v>5709</v>
      </c>
    </row>
    <row r="2523" spans="1:9" x14ac:dyDescent="0.3">
      <c r="A2523" t="s">
        <v>5710</v>
      </c>
      <c r="B2523" t="s">
        <v>416</v>
      </c>
      <c r="E2523" t="s">
        <v>416</v>
      </c>
    </row>
    <row r="2524" spans="1:9" x14ac:dyDescent="0.3">
      <c r="A2524" t="s">
        <v>5711</v>
      </c>
      <c r="B2524" t="s">
        <v>711</v>
      </c>
      <c r="C2524">
        <v>1</v>
      </c>
      <c r="D2524" t="s">
        <v>23</v>
      </c>
      <c r="E2524" t="s">
        <v>712</v>
      </c>
    </row>
    <row r="2525" spans="1:9" x14ac:dyDescent="0.3">
      <c r="A2525" t="s">
        <v>1001</v>
      </c>
      <c r="B2525" t="s">
        <v>5712</v>
      </c>
      <c r="C2525">
        <v>0.5</v>
      </c>
      <c r="D2525" t="s">
        <v>23</v>
      </c>
      <c r="E2525" t="s">
        <v>88</v>
      </c>
    </row>
    <row r="2526" spans="1:9" x14ac:dyDescent="0.3">
      <c r="A2526" t="s">
        <v>5713</v>
      </c>
      <c r="B2526" t="s">
        <v>5714</v>
      </c>
      <c r="C2526">
        <v>0.5</v>
      </c>
      <c r="D2526" t="s">
        <v>37</v>
      </c>
      <c r="E2526" t="s">
        <v>3870</v>
      </c>
    </row>
    <row r="2527" spans="1:9" x14ac:dyDescent="0.3">
      <c r="A2527" t="s">
        <v>1199</v>
      </c>
      <c r="B2527" t="s">
        <v>1148</v>
      </c>
      <c r="C2527">
        <v>50</v>
      </c>
      <c r="D2527" t="s">
        <v>29</v>
      </c>
      <c r="E2527" t="s">
        <v>233</v>
      </c>
    </row>
    <row r="2528" spans="1:9" x14ac:dyDescent="0.3">
      <c r="A2528" t="s">
        <v>5715</v>
      </c>
      <c r="B2528" t="s">
        <v>5716</v>
      </c>
      <c r="C2528" t="s">
        <v>1577</v>
      </c>
      <c r="D2528" t="s">
        <v>23</v>
      </c>
      <c r="E2528" t="s">
        <v>444</v>
      </c>
    </row>
    <row r="2529" spans="1:9" x14ac:dyDescent="0.3">
      <c r="A2529" t="s">
        <v>2308</v>
      </c>
      <c r="B2529" t="s">
        <v>80</v>
      </c>
      <c r="C2529">
        <v>0.5</v>
      </c>
      <c r="D2529" t="s">
        <v>37</v>
      </c>
      <c r="E2529" t="s">
        <v>81</v>
      </c>
    </row>
    <row r="2530" spans="1:9" x14ac:dyDescent="0.3">
      <c r="A2530" t="s">
        <v>3722</v>
      </c>
      <c r="B2530" t="s">
        <v>1591</v>
      </c>
      <c r="C2530">
        <v>0.5</v>
      </c>
      <c r="D2530" t="s">
        <v>206</v>
      </c>
      <c r="E2530" t="s">
        <v>1009</v>
      </c>
    </row>
    <row r="2531" spans="1:9" x14ac:dyDescent="0.3">
      <c r="A2531" t="s">
        <v>1762</v>
      </c>
      <c r="B2531" t="s">
        <v>5717</v>
      </c>
      <c r="C2531">
        <v>2</v>
      </c>
      <c r="D2531" t="s">
        <v>91</v>
      </c>
      <c r="E2531" t="s">
        <v>1627</v>
      </c>
      <c r="I2531" t="s">
        <v>1628</v>
      </c>
    </row>
    <row r="2532" spans="1:9" x14ac:dyDescent="0.3">
      <c r="A2532" t="s">
        <v>5718</v>
      </c>
      <c r="B2532" t="s">
        <v>2225</v>
      </c>
      <c r="C2532">
        <v>1</v>
      </c>
      <c r="D2532" t="s">
        <v>23</v>
      </c>
      <c r="E2532" t="s">
        <v>183</v>
      </c>
    </row>
    <row r="2533" spans="1:9" x14ac:dyDescent="0.3">
      <c r="A2533" t="s">
        <v>4853</v>
      </c>
      <c r="B2533" t="s">
        <v>3218</v>
      </c>
      <c r="E2533" t="s">
        <v>3218</v>
      </c>
    </row>
    <row r="2534" spans="1:9" x14ac:dyDescent="0.3">
      <c r="A2534" t="s">
        <v>5719</v>
      </c>
      <c r="B2534" t="s">
        <v>5720</v>
      </c>
      <c r="C2534">
        <v>5</v>
      </c>
      <c r="D2534" t="s">
        <v>23</v>
      </c>
      <c r="E2534" t="s">
        <v>5721</v>
      </c>
      <c r="H2534" t="s">
        <v>3945</v>
      </c>
    </row>
    <row r="2535" spans="1:9" x14ac:dyDescent="0.3">
      <c r="A2535" t="s">
        <v>5722</v>
      </c>
      <c r="B2535" t="s">
        <v>5723</v>
      </c>
      <c r="C2535">
        <v>1</v>
      </c>
      <c r="D2535" t="s">
        <v>18</v>
      </c>
      <c r="E2535" t="s">
        <v>2214</v>
      </c>
    </row>
    <row r="2536" spans="1:9" x14ac:dyDescent="0.3">
      <c r="A2536" t="s">
        <v>5724</v>
      </c>
      <c r="B2536" t="s">
        <v>5725</v>
      </c>
      <c r="C2536">
        <v>150</v>
      </c>
      <c r="D2536" t="s">
        <v>29</v>
      </c>
      <c r="E2536" t="s">
        <v>5726</v>
      </c>
      <c r="I2536" t="s">
        <v>5727</v>
      </c>
    </row>
    <row r="2537" spans="1:9" x14ac:dyDescent="0.3">
      <c r="A2537" t="s">
        <v>5728</v>
      </c>
      <c r="B2537" t="s">
        <v>5729</v>
      </c>
      <c r="C2537">
        <v>0.5</v>
      </c>
      <c r="D2537" t="s">
        <v>37</v>
      </c>
      <c r="E2537" t="s">
        <v>1110</v>
      </c>
    </row>
    <row r="2538" spans="1:9" x14ac:dyDescent="0.3">
      <c r="A2538" t="s">
        <v>5730</v>
      </c>
      <c r="B2538" t="s">
        <v>5731</v>
      </c>
      <c r="C2538" t="s">
        <v>665</v>
      </c>
      <c r="D2538" t="s">
        <v>1338</v>
      </c>
      <c r="E2538" t="s">
        <v>936</v>
      </c>
    </row>
    <row r="2539" spans="1:9" x14ac:dyDescent="0.3">
      <c r="A2539" t="s">
        <v>5732</v>
      </c>
      <c r="B2539" t="s">
        <v>5161</v>
      </c>
      <c r="E2539" t="s">
        <v>5161</v>
      </c>
    </row>
    <row r="2540" spans="1:9" x14ac:dyDescent="0.3">
      <c r="A2540" t="s">
        <v>5733</v>
      </c>
      <c r="B2540" t="s">
        <v>5734</v>
      </c>
      <c r="C2540">
        <v>0.5</v>
      </c>
      <c r="D2540" t="s">
        <v>37</v>
      </c>
      <c r="E2540" t="s">
        <v>5735</v>
      </c>
      <c r="I2540" t="s">
        <v>5736</v>
      </c>
    </row>
    <row r="2541" spans="1:9" x14ac:dyDescent="0.3">
      <c r="A2541" t="s">
        <v>5737</v>
      </c>
      <c r="B2541" t="s">
        <v>486</v>
      </c>
      <c r="C2541">
        <v>1</v>
      </c>
      <c r="D2541" t="s">
        <v>23</v>
      </c>
      <c r="E2541" t="s">
        <v>487</v>
      </c>
    </row>
    <row r="2542" spans="1:9" x14ac:dyDescent="0.3">
      <c r="A2542" t="s">
        <v>5738</v>
      </c>
      <c r="B2542" t="s">
        <v>5739</v>
      </c>
      <c r="E2542" t="s">
        <v>5740</v>
      </c>
      <c r="I2542" t="s">
        <v>5741</v>
      </c>
    </row>
    <row r="2543" spans="1:9" x14ac:dyDescent="0.3">
      <c r="A2543" t="s">
        <v>5742</v>
      </c>
      <c r="B2543" t="s">
        <v>5743</v>
      </c>
      <c r="C2543">
        <v>1</v>
      </c>
      <c r="D2543" t="s">
        <v>18</v>
      </c>
      <c r="E2543" t="s">
        <v>5744</v>
      </c>
    </row>
    <row r="2544" spans="1:9" x14ac:dyDescent="0.3">
      <c r="A2544" t="s">
        <v>5745</v>
      </c>
      <c r="B2544" t="s">
        <v>5746</v>
      </c>
      <c r="C2544">
        <v>1</v>
      </c>
      <c r="D2544" t="s">
        <v>23</v>
      </c>
      <c r="E2544" t="s">
        <v>5747</v>
      </c>
    </row>
    <row r="2545" spans="1:9" x14ac:dyDescent="0.3">
      <c r="A2545" t="s">
        <v>5748</v>
      </c>
      <c r="B2545" t="s">
        <v>5749</v>
      </c>
      <c r="C2545">
        <v>0.75</v>
      </c>
      <c r="D2545" t="s">
        <v>23</v>
      </c>
      <c r="E2545" t="s">
        <v>558</v>
      </c>
      <c r="I2545" t="s">
        <v>289</v>
      </c>
    </row>
    <row r="2546" spans="1:9" x14ac:dyDescent="0.3">
      <c r="A2546" t="s">
        <v>5750</v>
      </c>
      <c r="B2546" t="s">
        <v>2663</v>
      </c>
      <c r="C2546">
        <v>15</v>
      </c>
      <c r="D2546" t="s">
        <v>29</v>
      </c>
      <c r="E2546" t="s">
        <v>30</v>
      </c>
    </row>
    <row r="2547" spans="1:9" x14ac:dyDescent="0.3">
      <c r="A2547" t="s">
        <v>5751</v>
      </c>
      <c r="B2547" t="s">
        <v>5752</v>
      </c>
      <c r="C2547">
        <v>0.5</v>
      </c>
      <c r="D2547" t="s">
        <v>23</v>
      </c>
      <c r="E2547" t="s">
        <v>1619</v>
      </c>
    </row>
    <row r="2548" spans="1:9" x14ac:dyDescent="0.3">
      <c r="A2548" t="s">
        <v>5753</v>
      </c>
      <c r="B2548" t="s">
        <v>5754</v>
      </c>
      <c r="C2548">
        <v>0.5</v>
      </c>
      <c r="D2548" t="s">
        <v>23</v>
      </c>
      <c r="E2548" t="s">
        <v>5755</v>
      </c>
    </row>
    <row r="2549" spans="1:9" x14ac:dyDescent="0.3">
      <c r="A2549" t="s">
        <v>5756</v>
      </c>
      <c r="B2549" t="s">
        <v>3153</v>
      </c>
      <c r="C2549">
        <v>2</v>
      </c>
      <c r="D2549" t="s">
        <v>345</v>
      </c>
      <c r="E2549" t="s">
        <v>220</v>
      </c>
    </row>
    <row r="2550" spans="1:9" x14ac:dyDescent="0.3">
      <c r="A2550" t="s">
        <v>5757</v>
      </c>
      <c r="B2550" t="s">
        <v>5758</v>
      </c>
      <c r="C2550">
        <v>2</v>
      </c>
      <c r="D2550" t="s">
        <v>227</v>
      </c>
      <c r="E2550" t="s">
        <v>2078</v>
      </c>
      <c r="F2550" t="s">
        <v>2079</v>
      </c>
    </row>
    <row r="2551" spans="1:9" x14ac:dyDescent="0.3">
      <c r="A2551" t="s">
        <v>3880</v>
      </c>
      <c r="B2551" t="s">
        <v>5759</v>
      </c>
      <c r="C2551">
        <v>1</v>
      </c>
      <c r="D2551" t="s">
        <v>23</v>
      </c>
      <c r="E2551" t="s">
        <v>5760</v>
      </c>
    </row>
    <row r="2552" spans="1:9" x14ac:dyDescent="0.3">
      <c r="A2552" t="s">
        <v>5761</v>
      </c>
      <c r="B2552" t="s">
        <v>5762</v>
      </c>
      <c r="C2552">
        <v>1</v>
      </c>
      <c r="D2552" t="s">
        <v>18</v>
      </c>
      <c r="E2552" t="s">
        <v>2214</v>
      </c>
      <c r="I2552" t="s">
        <v>5763</v>
      </c>
    </row>
    <row r="2553" spans="1:9" x14ac:dyDescent="0.3">
      <c r="A2553" t="s">
        <v>5764</v>
      </c>
      <c r="B2553" t="s">
        <v>5765</v>
      </c>
      <c r="C2553">
        <v>3</v>
      </c>
      <c r="D2553" t="s">
        <v>176</v>
      </c>
      <c r="E2553" t="s">
        <v>81</v>
      </c>
    </row>
    <row r="2554" spans="1:9" x14ac:dyDescent="0.3">
      <c r="A2554" t="s">
        <v>5766</v>
      </c>
      <c r="B2554" t="s">
        <v>5767</v>
      </c>
      <c r="C2554" t="s">
        <v>5125</v>
      </c>
      <c r="D2554" t="s">
        <v>23</v>
      </c>
      <c r="E2554" t="s">
        <v>1915</v>
      </c>
    </row>
    <row r="2555" spans="1:9" x14ac:dyDescent="0.3">
      <c r="A2555" t="s">
        <v>5768</v>
      </c>
      <c r="B2555" t="s">
        <v>5769</v>
      </c>
      <c r="C2555">
        <v>50</v>
      </c>
      <c r="D2555" t="s">
        <v>29</v>
      </c>
      <c r="E2555" t="s">
        <v>5770</v>
      </c>
      <c r="I2555" t="s">
        <v>917</v>
      </c>
    </row>
    <row r="2556" spans="1:9" x14ac:dyDescent="0.3">
      <c r="A2556" t="s">
        <v>2391</v>
      </c>
      <c r="B2556" t="s">
        <v>5771</v>
      </c>
      <c r="C2556">
        <v>1.5</v>
      </c>
      <c r="D2556" t="s">
        <v>23</v>
      </c>
      <c r="E2556" t="s">
        <v>177</v>
      </c>
      <c r="I2556" t="s">
        <v>5772</v>
      </c>
    </row>
    <row r="2557" spans="1:9" x14ac:dyDescent="0.3">
      <c r="A2557" t="s">
        <v>5773</v>
      </c>
      <c r="B2557" t="s">
        <v>615</v>
      </c>
      <c r="C2557">
        <v>1</v>
      </c>
      <c r="D2557" t="s">
        <v>23</v>
      </c>
      <c r="E2557" t="s">
        <v>616</v>
      </c>
    </row>
    <row r="2558" spans="1:9" x14ac:dyDescent="0.3">
      <c r="A2558" t="s">
        <v>5774</v>
      </c>
      <c r="B2558" t="s">
        <v>5775</v>
      </c>
      <c r="E2558" t="s">
        <v>5775</v>
      </c>
    </row>
    <row r="2559" spans="1:9" x14ac:dyDescent="0.3">
      <c r="A2559" t="s">
        <v>5776</v>
      </c>
      <c r="B2559" t="s">
        <v>5777</v>
      </c>
      <c r="C2559">
        <v>0.5</v>
      </c>
      <c r="D2559" t="s">
        <v>23</v>
      </c>
      <c r="E2559" t="s">
        <v>1231</v>
      </c>
    </row>
    <row r="2560" spans="1:9" x14ac:dyDescent="0.3">
      <c r="A2560" t="s">
        <v>5778</v>
      </c>
      <c r="B2560" t="s">
        <v>5779</v>
      </c>
      <c r="C2560">
        <v>1</v>
      </c>
      <c r="D2560" t="s">
        <v>23</v>
      </c>
      <c r="E2560" t="s">
        <v>5780</v>
      </c>
    </row>
    <row r="2561" spans="1:9" x14ac:dyDescent="0.3">
      <c r="A2561" t="s">
        <v>5781</v>
      </c>
      <c r="B2561" t="s">
        <v>5782</v>
      </c>
      <c r="C2561">
        <v>1</v>
      </c>
      <c r="D2561" t="s">
        <v>18</v>
      </c>
      <c r="E2561" t="s">
        <v>57</v>
      </c>
    </row>
    <row r="2562" spans="1:9" x14ac:dyDescent="0.3">
      <c r="A2562" t="s">
        <v>5783</v>
      </c>
      <c r="B2562" t="s">
        <v>5784</v>
      </c>
      <c r="C2562">
        <v>7.5</v>
      </c>
      <c r="D2562" t="s">
        <v>29</v>
      </c>
      <c r="E2562" t="s">
        <v>1126</v>
      </c>
    </row>
    <row r="2563" spans="1:9" x14ac:dyDescent="0.3">
      <c r="A2563" t="s">
        <v>5785</v>
      </c>
      <c r="B2563" t="s">
        <v>5786</v>
      </c>
      <c r="C2563">
        <v>3.5</v>
      </c>
      <c r="D2563" t="s">
        <v>23</v>
      </c>
      <c r="E2563" t="s">
        <v>4510</v>
      </c>
    </row>
    <row r="2564" spans="1:9" x14ac:dyDescent="0.3">
      <c r="A2564" t="s">
        <v>5787</v>
      </c>
      <c r="B2564" t="s">
        <v>5788</v>
      </c>
      <c r="C2564">
        <v>3</v>
      </c>
      <c r="E2564" t="s">
        <v>2607</v>
      </c>
      <c r="F2564" t="s">
        <v>5789</v>
      </c>
      <c r="I2564" t="s">
        <v>432</v>
      </c>
    </row>
    <row r="2565" spans="1:9" x14ac:dyDescent="0.3">
      <c r="A2565" t="s">
        <v>5790</v>
      </c>
      <c r="B2565" t="s">
        <v>5791</v>
      </c>
      <c r="C2565">
        <v>0.5</v>
      </c>
      <c r="D2565" t="s">
        <v>284</v>
      </c>
      <c r="E2565" t="s">
        <v>413</v>
      </c>
      <c r="F2565" t="s">
        <v>1014</v>
      </c>
    </row>
    <row r="2566" spans="1:9" x14ac:dyDescent="0.3">
      <c r="A2566" t="s">
        <v>5792</v>
      </c>
      <c r="B2566" t="s">
        <v>333</v>
      </c>
      <c r="E2566" t="s">
        <v>333</v>
      </c>
    </row>
    <row r="2567" spans="1:9" x14ac:dyDescent="0.3">
      <c r="A2567" t="s">
        <v>5793</v>
      </c>
      <c r="B2567" t="s">
        <v>5794</v>
      </c>
      <c r="C2567">
        <v>1</v>
      </c>
      <c r="D2567" t="s">
        <v>50</v>
      </c>
      <c r="E2567" t="s">
        <v>5795</v>
      </c>
    </row>
    <row r="2568" spans="1:9" x14ac:dyDescent="0.3">
      <c r="A2568" t="s">
        <v>5230</v>
      </c>
      <c r="B2568" t="s">
        <v>5796</v>
      </c>
      <c r="C2568">
        <v>1</v>
      </c>
      <c r="D2568" t="s">
        <v>1990</v>
      </c>
      <c r="E2568" t="s">
        <v>5797</v>
      </c>
      <c r="I2568" t="s">
        <v>5798</v>
      </c>
    </row>
    <row r="2569" spans="1:9" x14ac:dyDescent="0.3">
      <c r="A2569" t="s">
        <v>5799</v>
      </c>
      <c r="B2569" t="s">
        <v>4793</v>
      </c>
      <c r="C2569">
        <v>1.5</v>
      </c>
      <c r="D2569" t="s">
        <v>23</v>
      </c>
      <c r="E2569" t="s">
        <v>1003</v>
      </c>
    </row>
    <row r="2570" spans="1:9" x14ac:dyDescent="0.3">
      <c r="A2570" t="s">
        <v>5800</v>
      </c>
      <c r="B2570" t="s">
        <v>5801</v>
      </c>
      <c r="C2570">
        <v>1</v>
      </c>
      <c r="D2570" t="s">
        <v>368</v>
      </c>
      <c r="E2570" t="s">
        <v>2166</v>
      </c>
      <c r="F2570" t="s">
        <v>4383</v>
      </c>
      <c r="G2570" t="s">
        <v>168</v>
      </c>
    </row>
    <row r="2571" spans="1:9" x14ac:dyDescent="0.3">
      <c r="A2571" t="s">
        <v>5802</v>
      </c>
      <c r="B2571" t="s">
        <v>5803</v>
      </c>
      <c r="C2571">
        <v>0.25</v>
      </c>
      <c r="D2571" t="s">
        <v>50</v>
      </c>
      <c r="E2571" t="s">
        <v>233</v>
      </c>
    </row>
    <row r="2572" spans="1:9" x14ac:dyDescent="0.3">
      <c r="A2572" t="s">
        <v>5804</v>
      </c>
      <c r="B2572" t="s">
        <v>5805</v>
      </c>
      <c r="C2572">
        <v>1</v>
      </c>
      <c r="D2572" t="s">
        <v>1944</v>
      </c>
      <c r="E2572" t="s">
        <v>2376</v>
      </c>
      <c r="F2572" t="s">
        <v>5806</v>
      </c>
      <c r="G2572" t="s">
        <v>68</v>
      </c>
      <c r="I2572" t="s">
        <v>5807</v>
      </c>
    </row>
    <row r="2573" spans="1:9" x14ac:dyDescent="0.3">
      <c r="A2573" t="s">
        <v>2892</v>
      </c>
      <c r="B2573" t="s">
        <v>5808</v>
      </c>
      <c r="C2573">
        <v>1.5</v>
      </c>
      <c r="D2573" t="s">
        <v>71</v>
      </c>
      <c r="E2573" t="s">
        <v>183</v>
      </c>
    </row>
    <row r="2574" spans="1:9" x14ac:dyDescent="0.3">
      <c r="A2574" t="s">
        <v>4603</v>
      </c>
      <c r="B2574" t="s">
        <v>5809</v>
      </c>
      <c r="C2574">
        <v>1</v>
      </c>
      <c r="D2574" t="s">
        <v>23</v>
      </c>
      <c r="E2574" t="s">
        <v>88</v>
      </c>
    </row>
    <row r="2575" spans="1:9" x14ac:dyDescent="0.3">
      <c r="A2575" t="s">
        <v>5810</v>
      </c>
      <c r="B2575" t="s">
        <v>5811</v>
      </c>
      <c r="D2575" t="s">
        <v>2397</v>
      </c>
      <c r="E2575" t="s">
        <v>1984</v>
      </c>
      <c r="I2575" t="s">
        <v>1124</v>
      </c>
    </row>
    <row r="2576" spans="1:9" x14ac:dyDescent="0.3">
      <c r="A2576" t="s">
        <v>3180</v>
      </c>
      <c r="B2576" t="s">
        <v>472</v>
      </c>
      <c r="C2576">
        <v>2</v>
      </c>
      <c r="D2576" t="s">
        <v>473</v>
      </c>
      <c r="E2576" t="s">
        <v>160</v>
      </c>
    </row>
    <row r="2577" spans="1:9" x14ac:dyDescent="0.3">
      <c r="A2577" t="s">
        <v>5812</v>
      </c>
      <c r="B2577" t="s">
        <v>5813</v>
      </c>
      <c r="C2577">
        <v>3</v>
      </c>
      <c r="D2577" t="s">
        <v>91</v>
      </c>
      <c r="E2577" t="s">
        <v>5814</v>
      </c>
    </row>
    <row r="2578" spans="1:9" x14ac:dyDescent="0.3">
      <c r="A2578" t="s">
        <v>5815</v>
      </c>
      <c r="B2578" t="s">
        <v>1596</v>
      </c>
      <c r="C2578">
        <v>1</v>
      </c>
      <c r="D2578" t="s">
        <v>18</v>
      </c>
      <c r="E2578" t="s">
        <v>190</v>
      </c>
    </row>
    <row r="2579" spans="1:9" x14ac:dyDescent="0.3">
      <c r="A2579" t="s">
        <v>5816</v>
      </c>
      <c r="B2579" t="s">
        <v>5817</v>
      </c>
      <c r="C2579">
        <v>2</v>
      </c>
      <c r="D2579" t="s">
        <v>23</v>
      </c>
      <c r="E2579" t="s">
        <v>2602</v>
      </c>
    </row>
    <row r="2580" spans="1:9" x14ac:dyDescent="0.3">
      <c r="A2580" t="s">
        <v>5818</v>
      </c>
      <c r="B2580" t="s">
        <v>2846</v>
      </c>
      <c r="C2580">
        <v>1</v>
      </c>
      <c r="E2580" t="s">
        <v>1440</v>
      </c>
    </row>
    <row r="2581" spans="1:9" x14ac:dyDescent="0.3">
      <c r="A2581" t="s">
        <v>5819</v>
      </c>
      <c r="B2581" t="s">
        <v>5820</v>
      </c>
      <c r="C2581">
        <v>187</v>
      </c>
      <c r="D2581" t="s">
        <v>29</v>
      </c>
      <c r="E2581" t="s">
        <v>5821</v>
      </c>
      <c r="I2581" t="s">
        <v>5822</v>
      </c>
    </row>
    <row r="2582" spans="1:9" x14ac:dyDescent="0.3">
      <c r="A2582" t="s">
        <v>5823</v>
      </c>
      <c r="B2582" t="s">
        <v>5824</v>
      </c>
      <c r="C2582">
        <v>0.33</v>
      </c>
      <c r="D2582" t="s">
        <v>23</v>
      </c>
      <c r="E2582" t="s">
        <v>5825</v>
      </c>
      <c r="I2582" t="s">
        <v>289</v>
      </c>
    </row>
    <row r="2583" spans="1:9" x14ac:dyDescent="0.3">
      <c r="A2583" t="s">
        <v>5826</v>
      </c>
      <c r="B2583" t="s">
        <v>337</v>
      </c>
      <c r="C2583">
        <v>1</v>
      </c>
      <c r="D2583" t="s">
        <v>23</v>
      </c>
      <c r="E2583" t="s">
        <v>338</v>
      </c>
    </row>
    <row r="2584" spans="1:9" x14ac:dyDescent="0.3">
      <c r="A2584" t="s">
        <v>5827</v>
      </c>
      <c r="B2584" t="s">
        <v>1237</v>
      </c>
      <c r="C2584">
        <v>1</v>
      </c>
      <c r="D2584" t="s">
        <v>23</v>
      </c>
      <c r="E2584" t="s">
        <v>1238</v>
      </c>
    </row>
    <row r="2585" spans="1:9" x14ac:dyDescent="0.3">
      <c r="A2585" t="s">
        <v>5828</v>
      </c>
      <c r="B2585" t="s">
        <v>4377</v>
      </c>
      <c r="C2585">
        <v>5</v>
      </c>
      <c r="E2585" t="s">
        <v>950</v>
      </c>
      <c r="I2585" t="s">
        <v>951</v>
      </c>
    </row>
    <row r="2586" spans="1:9" x14ac:dyDescent="0.3">
      <c r="A2586" t="s">
        <v>5829</v>
      </c>
      <c r="B2586" t="s">
        <v>233</v>
      </c>
      <c r="E2586" t="s">
        <v>233</v>
      </c>
    </row>
    <row r="2587" spans="1:9" x14ac:dyDescent="0.3">
      <c r="A2587" t="s">
        <v>5830</v>
      </c>
      <c r="B2587" t="s">
        <v>2846</v>
      </c>
      <c r="C2587">
        <v>1</v>
      </c>
      <c r="E2587" t="s">
        <v>1440</v>
      </c>
    </row>
    <row r="2588" spans="1:9" x14ac:dyDescent="0.3">
      <c r="A2588" t="s">
        <v>5831</v>
      </c>
      <c r="B2588" t="s">
        <v>5832</v>
      </c>
      <c r="C2588">
        <v>1</v>
      </c>
      <c r="D2588" t="s">
        <v>33</v>
      </c>
      <c r="E2588" t="s">
        <v>377</v>
      </c>
      <c r="F2588" t="s">
        <v>5833</v>
      </c>
    </row>
    <row r="2589" spans="1:9" x14ac:dyDescent="0.3">
      <c r="A2589" t="s">
        <v>769</v>
      </c>
      <c r="B2589" t="s">
        <v>5834</v>
      </c>
      <c r="C2589">
        <v>4</v>
      </c>
      <c r="D2589" t="s">
        <v>1281</v>
      </c>
      <c r="E2589" t="s">
        <v>1056</v>
      </c>
    </row>
    <row r="2590" spans="1:9" x14ac:dyDescent="0.3">
      <c r="A2590" t="s">
        <v>5835</v>
      </c>
      <c r="B2590" t="s">
        <v>5836</v>
      </c>
      <c r="C2590">
        <v>3.5</v>
      </c>
      <c r="D2590" t="s">
        <v>23</v>
      </c>
      <c r="E2590" t="s">
        <v>64</v>
      </c>
    </row>
    <row r="2591" spans="1:9" x14ac:dyDescent="0.3">
      <c r="A2591" t="s">
        <v>5837</v>
      </c>
      <c r="B2591" t="s">
        <v>5838</v>
      </c>
      <c r="C2591">
        <v>5</v>
      </c>
      <c r="D2591" t="s">
        <v>29</v>
      </c>
      <c r="E2591" t="s">
        <v>1506</v>
      </c>
    </row>
    <row r="2592" spans="1:9" x14ac:dyDescent="0.3">
      <c r="A2592" t="s">
        <v>4030</v>
      </c>
      <c r="B2592" t="s">
        <v>5839</v>
      </c>
      <c r="C2592">
        <v>2</v>
      </c>
      <c r="D2592" t="s">
        <v>715</v>
      </c>
      <c r="E2592" t="s">
        <v>5840</v>
      </c>
    </row>
    <row r="2593" spans="1:9" x14ac:dyDescent="0.3">
      <c r="A2593" t="s">
        <v>5841</v>
      </c>
      <c r="B2593" t="s">
        <v>5842</v>
      </c>
      <c r="C2593">
        <v>50</v>
      </c>
      <c r="D2593" t="s">
        <v>29</v>
      </c>
      <c r="E2593" t="s">
        <v>1209</v>
      </c>
      <c r="I2593" t="s">
        <v>5843</v>
      </c>
    </row>
    <row r="2594" spans="1:9" x14ac:dyDescent="0.3">
      <c r="A2594" t="s">
        <v>5844</v>
      </c>
      <c r="B2594" t="s">
        <v>3655</v>
      </c>
      <c r="C2594">
        <v>1.5</v>
      </c>
      <c r="D2594" t="s">
        <v>23</v>
      </c>
      <c r="E2594" t="s">
        <v>299</v>
      </c>
    </row>
    <row r="2595" spans="1:9" x14ac:dyDescent="0.3">
      <c r="A2595" t="s">
        <v>5845</v>
      </c>
      <c r="B2595" t="s">
        <v>5846</v>
      </c>
      <c r="C2595">
        <v>4.5</v>
      </c>
      <c r="D2595" t="s">
        <v>23</v>
      </c>
      <c r="E2595" t="s">
        <v>5847</v>
      </c>
      <c r="I2595" t="s">
        <v>5848</v>
      </c>
    </row>
    <row r="2596" spans="1:9" x14ac:dyDescent="0.3">
      <c r="A2596" t="s">
        <v>5849</v>
      </c>
      <c r="B2596" t="s">
        <v>5850</v>
      </c>
      <c r="C2596">
        <v>40</v>
      </c>
      <c r="D2596" t="s">
        <v>29</v>
      </c>
      <c r="E2596" t="s">
        <v>5851</v>
      </c>
      <c r="I2596" t="s">
        <v>917</v>
      </c>
    </row>
    <row r="2597" spans="1:9" x14ac:dyDescent="0.3">
      <c r="A2597" t="s">
        <v>5852</v>
      </c>
      <c r="B2597" t="s">
        <v>5853</v>
      </c>
      <c r="C2597">
        <v>1</v>
      </c>
      <c r="D2597" t="s">
        <v>23</v>
      </c>
      <c r="E2597" t="s">
        <v>847</v>
      </c>
    </row>
    <row r="2598" spans="1:9" x14ac:dyDescent="0.3">
      <c r="A2598" t="s">
        <v>5053</v>
      </c>
      <c r="B2598" t="s">
        <v>5854</v>
      </c>
      <c r="C2598">
        <v>0.5</v>
      </c>
      <c r="D2598" t="s">
        <v>23</v>
      </c>
      <c r="E2598" t="s">
        <v>847</v>
      </c>
    </row>
    <row r="2599" spans="1:9" x14ac:dyDescent="0.3">
      <c r="A2599" t="s">
        <v>5855</v>
      </c>
      <c r="B2599" t="s">
        <v>5856</v>
      </c>
      <c r="C2599">
        <v>20</v>
      </c>
      <c r="D2599" t="s">
        <v>29</v>
      </c>
      <c r="E2599" t="s">
        <v>115</v>
      </c>
    </row>
    <row r="2600" spans="1:9" x14ac:dyDescent="0.3">
      <c r="A2600" t="s">
        <v>1082</v>
      </c>
      <c r="B2600" t="s">
        <v>5857</v>
      </c>
      <c r="C2600">
        <v>1</v>
      </c>
      <c r="D2600" t="s">
        <v>18</v>
      </c>
      <c r="E2600" t="s">
        <v>5858</v>
      </c>
      <c r="I2600" t="s">
        <v>654</v>
      </c>
    </row>
    <row r="2601" spans="1:9" x14ac:dyDescent="0.3">
      <c r="A2601" t="s">
        <v>5859</v>
      </c>
      <c r="B2601" t="s">
        <v>5860</v>
      </c>
      <c r="C2601">
        <v>3</v>
      </c>
      <c r="D2601" t="s">
        <v>23</v>
      </c>
      <c r="E2601" t="s">
        <v>1463</v>
      </c>
    </row>
    <row r="2602" spans="1:9" x14ac:dyDescent="0.3">
      <c r="A2602" t="s">
        <v>5861</v>
      </c>
      <c r="B2602" t="s">
        <v>5862</v>
      </c>
      <c r="C2602">
        <v>0.5</v>
      </c>
      <c r="D2602" t="s">
        <v>284</v>
      </c>
      <c r="E2602" t="s">
        <v>547</v>
      </c>
    </row>
    <row r="2603" spans="1:9" x14ac:dyDescent="0.3">
      <c r="A2603" t="s">
        <v>5863</v>
      </c>
      <c r="B2603" t="s">
        <v>5864</v>
      </c>
      <c r="E2603" t="s">
        <v>5865</v>
      </c>
      <c r="I2603" t="s">
        <v>1124</v>
      </c>
    </row>
    <row r="2604" spans="1:9" x14ac:dyDescent="0.3">
      <c r="A2604" t="s">
        <v>987</v>
      </c>
      <c r="B2604" t="s">
        <v>5866</v>
      </c>
      <c r="E2604" t="s">
        <v>1644</v>
      </c>
      <c r="H2604" t="s">
        <v>5867</v>
      </c>
    </row>
    <row r="2605" spans="1:9" x14ac:dyDescent="0.3">
      <c r="A2605" t="s">
        <v>5868</v>
      </c>
      <c r="B2605" t="s">
        <v>4224</v>
      </c>
      <c r="C2605">
        <v>1</v>
      </c>
      <c r="D2605" t="s">
        <v>23</v>
      </c>
      <c r="E2605" t="s">
        <v>716</v>
      </c>
    </row>
    <row r="2606" spans="1:9" x14ac:dyDescent="0.3">
      <c r="A2606" t="s">
        <v>5869</v>
      </c>
      <c r="B2606" t="s">
        <v>5870</v>
      </c>
      <c r="E2606" t="s">
        <v>333</v>
      </c>
      <c r="I2606" t="s">
        <v>5871</v>
      </c>
    </row>
    <row r="2607" spans="1:9" x14ac:dyDescent="0.3">
      <c r="A2607" t="s">
        <v>5872</v>
      </c>
      <c r="B2607" t="s">
        <v>3350</v>
      </c>
      <c r="E2607" t="s">
        <v>3350</v>
      </c>
    </row>
    <row r="2608" spans="1:9" x14ac:dyDescent="0.3">
      <c r="A2608" t="s">
        <v>5873</v>
      </c>
      <c r="B2608" t="s">
        <v>5874</v>
      </c>
      <c r="C2608">
        <v>25</v>
      </c>
      <c r="D2608" t="s">
        <v>29</v>
      </c>
      <c r="E2608" t="s">
        <v>716</v>
      </c>
    </row>
    <row r="2609" spans="1:9" x14ac:dyDescent="0.3">
      <c r="A2609" t="s">
        <v>5875</v>
      </c>
      <c r="B2609" t="s">
        <v>637</v>
      </c>
      <c r="C2609">
        <v>1</v>
      </c>
      <c r="D2609" t="s">
        <v>23</v>
      </c>
      <c r="E2609" t="s">
        <v>638</v>
      </c>
    </row>
    <row r="2610" spans="1:9" x14ac:dyDescent="0.3">
      <c r="A2610" t="s">
        <v>5876</v>
      </c>
      <c r="B2610" t="s">
        <v>5877</v>
      </c>
      <c r="C2610">
        <v>2</v>
      </c>
      <c r="D2610" t="s">
        <v>345</v>
      </c>
      <c r="E2610" t="s">
        <v>5878</v>
      </c>
    </row>
    <row r="2611" spans="1:9" x14ac:dyDescent="0.3">
      <c r="A2611" t="s">
        <v>5879</v>
      </c>
      <c r="B2611" t="s">
        <v>5880</v>
      </c>
      <c r="E2611" t="s">
        <v>5881</v>
      </c>
      <c r="I2611" t="s">
        <v>3287</v>
      </c>
    </row>
    <row r="2612" spans="1:9" x14ac:dyDescent="0.3">
      <c r="A2612" t="s">
        <v>5882</v>
      </c>
      <c r="B2612" t="s">
        <v>5883</v>
      </c>
      <c r="C2612">
        <v>50</v>
      </c>
      <c r="D2612" t="s">
        <v>29</v>
      </c>
      <c r="E2612" t="s">
        <v>41</v>
      </c>
      <c r="I2612" t="s">
        <v>917</v>
      </c>
    </row>
    <row r="2613" spans="1:9" x14ac:dyDescent="0.3">
      <c r="A2613" t="s">
        <v>5884</v>
      </c>
      <c r="B2613" t="s">
        <v>5885</v>
      </c>
      <c r="C2613">
        <v>2.5</v>
      </c>
      <c r="D2613" t="s">
        <v>91</v>
      </c>
      <c r="E2613" t="s">
        <v>3624</v>
      </c>
    </row>
    <row r="2614" spans="1:9" x14ac:dyDescent="0.3">
      <c r="A2614" t="s">
        <v>5886</v>
      </c>
      <c r="B2614" t="s">
        <v>5887</v>
      </c>
      <c r="C2614">
        <v>2</v>
      </c>
      <c r="D2614" t="s">
        <v>686</v>
      </c>
      <c r="E2614" t="s">
        <v>160</v>
      </c>
    </row>
    <row r="2615" spans="1:9" x14ac:dyDescent="0.3">
      <c r="A2615" t="s">
        <v>5888</v>
      </c>
      <c r="B2615" t="s">
        <v>5889</v>
      </c>
      <c r="C2615">
        <v>2.5</v>
      </c>
      <c r="D2615" t="s">
        <v>227</v>
      </c>
      <c r="E2615" t="s">
        <v>5890</v>
      </c>
      <c r="F2615" t="s">
        <v>5891</v>
      </c>
      <c r="I2615" t="s">
        <v>5892</v>
      </c>
    </row>
    <row r="2616" spans="1:9" x14ac:dyDescent="0.3">
      <c r="A2616" t="s">
        <v>5893</v>
      </c>
      <c r="B2616" t="s">
        <v>5894</v>
      </c>
      <c r="C2616">
        <v>0.5</v>
      </c>
      <c r="D2616" t="s">
        <v>151</v>
      </c>
      <c r="E2616" t="s">
        <v>1436</v>
      </c>
    </row>
    <row r="2617" spans="1:9" x14ac:dyDescent="0.3">
      <c r="A2617" t="s">
        <v>5895</v>
      </c>
      <c r="B2617" t="s">
        <v>5896</v>
      </c>
      <c r="C2617">
        <v>3</v>
      </c>
      <c r="D2617" t="s">
        <v>2712</v>
      </c>
      <c r="E2617" t="s">
        <v>5897</v>
      </c>
    </row>
    <row r="2618" spans="1:9" x14ac:dyDescent="0.3">
      <c r="A2618" t="s">
        <v>2020</v>
      </c>
      <c r="B2618" t="s">
        <v>407</v>
      </c>
      <c r="C2618">
        <v>1</v>
      </c>
      <c r="D2618" t="s">
        <v>23</v>
      </c>
      <c r="E2618" t="s">
        <v>171</v>
      </c>
    </row>
    <row r="2619" spans="1:9" x14ac:dyDescent="0.3">
      <c r="A2619" t="s">
        <v>5898</v>
      </c>
      <c r="B2619" t="s">
        <v>5899</v>
      </c>
      <c r="C2619">
        <v>0.75</v>
      </c>
      <c r="D2619" t="s">
        <v>23</v>
      </c>
      <c r="E2619" t="s">
        <v>5900</v>
      </c>
    </row>
    <row r="2620" spans="1:9" x14ac:dyDescent="0.3">
      <c r="A2620" t="s">
        <v>1007</v>
      </c>
      <c r="B2620" t="s">
        <v>5901</v>
      </c>
      <c r="C2620">
        <v>0.5</v>
      </c>
      <c r="D2620" t="s">
        <v>23</v>
      </c>
      <c r="E2620" t="s">
        <v>288</v>
      </c>
    </row>
    <row r="2621" spans="1:9" x14ac:dyDescent="0.3">
      <c r="A2621" t="s">
        <v>5902</v>
      </c>
      <c r="B2621" t="s">
        <v>5903</v>
      </c>
      <c r="C2621">
        <v>0.5</v>
      </c>
      <c r="D2621" t="s">
        <v>37</v>
      </c>
      <c r="E2621" t="s">
        <v>551</v>
      </c>
      <c r="F2621" t="s">
        <v>167</v>
      </c>
      <c r="G2621" t="s">
        <v>168</v>
      </c>
      <c r="I2621" t="s">
        <v>325</v>
      </c>
    </row>
    <row r="2622" spans="1:9" x14ac:dyDescent="0.3">
      <c r="A2622" t="s">
        <v>5904</v>
      </c>
      <c r="B2622" t="s">
        <v>5809</v>
      </c>
      <c r="C2622">
        <v>1</v>
      </c>
      <c r="D2622" t="s">
        <v>23</v>
      </c>
      <c r="E2622" t="s">
        <v>88</v>
      </c>
    </row>
    <row r="2623" spans="1:9" x14ac:dyDescent="0.3">
      <c r="A2623" t="s">
        <v>5905</v>
      </c>
      <c r="B2623" t="s">
        <v>5906</v>
      </c>
      <c r="C2623">
        <v>0.5</v>
      </c>
      <c r="D2623" t="s">
        <v>37</v>
      </c>
      <c r="E2623" t="s">
        <v>5907</v>
      </c>
    </row>
    <row r="2624" spans="1:9" x14ac:dyDescent="0.3">
      <c r="A2624" t="s">
        <v>5908</v>
      </c>
      <c r="B2624" t="s">
        <v>5909</v>
      </c>
      <c r="C2624">
        <v>75</v>
      </c>
      <c r="D2624" t="s">
        <v>29</v>
      </c>
      <c r="E2624" t="s">
        <v>1816</v>
      </c>
      <c r="H2624" t="s">
        <v>3058</v>
      </c>
    </row>
    <row r="2625" spans="1:9" x14ac:dyDescent="0.3">
      <c r="A2625" t="s">
        <v>5910</v>
      </c>
      <c r="B2625" t="s">
        <v>5911</v>
      </c>
      <c r="C2625">
        <v>1</v>
      </c>
      <c r="D2625" t="s">
        <v>37</v>
      </c>
      <c r="E2625" t="s">
        <v>5912</v>
      </c>
      <c r="I2625" t="s">
        <v>5913</v>
      </c>
    </row>
    <row r="2626" spans="1:9" x14ac:dyDescent="0.3">
      <c r="A2626" t="s">
        <v>5783</v>
      </c>
      <c r="B2626" t="s">
        <v>5914</v>
      </c>
      <c r="C2626">
        <v>2</v>
      </c>
      <c r="D2626" t="s">
        <v>1338</v>
      </c>
      <c r="E2626" t="s">
        <v>5915</v>
      </c>
      <c r="I2626" t="s">
        <v>289</v>
      </c>
    </row>
    <row r="2627" spans="1:9" x14ac:dyDescent="0.3">
      <c r="A2627" t="s">
        <v>5916</v>
      </c>
      <c r="B2627" t="s">
        <v>5917</v>
      </c>
      <c r="C2627">
        <v>1</v>
      </c>
      <c r="D2627" t="s">
        <v>37</v>
      </c>
      <c r="E2627" t="s">
        <v>5918</v>
      </c>
      <c r="I2627" t="s">
        <v>3730</v>
      </c>
    </row>
    <row r="2628" spans="1:9" x14ac:dyDescent="0.3">
      <c r="A2628" t="s">
        <v>5919</v>
      </c>
      <c r="B2628" t="s">
        <v>5920</v>
      </c>
      <c r="C2628">
        <v>1.25</v>
      </c>
      <c r="D2628" t="s">
        <v>37</v>
      </c>
      <c r="E2628" t="s">
        <v>2602</v>
      </c>
    </row>
    <row r="2629" spans="1:9" x14ac:dyDescent="0.3">
      <c r="A2629" t="s">
        <v>5921</v>
      </c>
      <c r="B2629" t="s">
        <v>5922</v>
      </c>
      <c r="C2629">
        <v>1.5</v>
      </c>
      <c r="D2629" t="s">
        <v>345</v>
      </c>
      <c r="E2629" t="s">
        <v>1644</v>
      </c>
      <c r="I2629" t="s">
        <v>5923</v>
      </c>
    </row>
    <row r="2630" spans="1:9" x14ac:dyDescent="0.3">
      <c r="A2630" t="s">
        <v>5924</v>
      </c>
      <c r="B2630" t="s">
        <v>3057</v>
      </c>
      <c r="C2630">
        <v>8</v>
      </c>
      <c r="D2630" t="s">
        <v>23</v>
      </c>
      <c r="E2630" t="s">
        <v>581</v>
      </c>
      <c r="H2630" t="s">
        <v>3058</v>
      </c>
    </row>
    <row r="2631" spans="1:9" x14ac:dyDescent="0.3">
      <c r="A2631" t="s">
        <v>5925</v>
      </c>
      <c r="B2631" t="s">
        <v>1299</v>
      </c>
      <c r="C2631">
        <v>4</v>
      </c>
      <c r="D2631" t="s">
        <v>23</v>
      </c>
      <c r="E2631" t="s">
        <v>199</v>
      </c>
    </row>
    <row r="2632" spans="1:9" x14ac:dyDescent="0.3">
      <c r="A2632" t="s">
        <v>5926</v>
      </c>
      <c r="B2632" t="s">
        <v>5927</v>
      </c>
      <c r="C2632">
        <v>1</v>
      </c>
      <c r="D2632" t="s">
        <v>361</v>
      </c>
      <c r="E2632" t="s">
        <v>81</v>
      </c>
    </row>
    <row r="2633" spans="1:9" x14ac:dyDescent="0.3">
      <c r="A2633" t="s">
        <v>5928</v>
      </c>
      <c r="B2633" t="s">
        <v>2700</v>
      </c>
      <c r="C2633">
        <v>0.5</v>
      </c>
      <c r="D2633" t="s">
        <v>23</v>
      </c>
      <c r="E2633" t="s">
        <v>233</v>
      </c>
    </row>
    <row r="2634" spans="1:9" x14ac:dyDescent="0.3">
      <c r="A2634" t="s">
        <v>5929</v>
      </c>
      <c r="B2634" t="s">
        <v>5930</v>
      </c>
      <c r="C2634">
        <v>25</v>
      </c>
      <c r="D2634" t="s">
        <v>23</v>
      </c>
      <c r="E2634" t="s">
        <v>638</v>
      </c>
    </row>
    <row r="2635" spans="1:9" x14ac:dyDescent="0.3">
      <c r="A2635" t="s">
        <v>5931</v>
      </c>
      <c r="B2635" t="s">
        <v>5932</v>
      </c>
      <c r="C2635">
        <v>1</v>
      </c>
      <c r="D2635" t="s">
        <v>37</v>
      </c>
      <c r="E2635" t="s">
        <v>1644</v>
      </c>
    </row>
    <row r="2636" spans="1:9" x14ac:dyDescent="0.3">
      <c r="A2636" t="s">
        <v>5933</v>
      </c>
      <c r="B2636" t="s">
        <v>804</v>
      </c>
      <c r="C2636">
        <v>1</v>
      </c>
      <c r="D2636" t="s">
        <v>37</v>
      </c>
      <c r="E2636" t="s">
        <v>160</v>
      </c>
    </row>
    <row r="2637" spans="1:9" x14ac:dyDescent="0.3">
      <c r="A2637" t="s">
        <v>5934</v>
      </c>
      <c r="B2637" t="s">
        <v>5207</v>
      </c>
      <c r="C2637">
        <v>2</v>
      </c>
      <c r="D2637" t="s">
        <v>23</v>
      </c>
      <c r="E2637" t="s">
        <v>1506</v>
      </c>
    </row>
    <row r="2638" spans="1:9" x14ac:dyDescent="0.3">
      <c r="A2638" t="s">
        <v>5935</v>
      </c>
      <c r="B2638" t="s">
        <v>5936</v>
      </c>
      <c r="C2638">
        <v>2</v>
      </c>
      <c r="D2638" t="s">
        <v>189</v>
      </c>
      <c r="E2638" t="s">
        <v>672</v>
      </c>
      <c r="I2638" t="s">
        <v>5937</v>
      </c>
    </row>
    <row r="2639" spans="1:9" x14ac:dyDescent="0.3">
      <c r="A2639" t="s">
        <v>5938</v>
      </c>
      <c r="B2639" t="s">
        <v>3259</v>
      </c>
      <c r="C2639">
        <v>2</v>
      </c>
      <c r="D2639" t="s">
        <v>23</v>
      </c>
      <c r="E2639" t="s">
        <v>383</v>
      </c>
    </row>
    <row r="2640" spans="1:9" x14ac:dyDescent="0.3">
      <c r="A2640" t="s">
        <v>5939</v>
      </c>
      <c r="B2640" t="s">
        <v>5940</v>
      </c>
      <c r="C2640">
        <v>0.5</v>
      </c>
      <c r="D2640" t="s">
        <v>23</v>
      </c>
      <c r="E2640" t="s">
        <v>5941</v>
      </c>
    </row>
    <row r="2641" spans="1:9" x14ac:dyDescent="0.3">
      <c r="A2641" t="s">
        <v>5942</v>
      </c>
      <c r="B2641" t="s">
        <v>5943</v>
      </c>
      <c r="C2641">
        <v>1.5</v>
      </c>
      <c r="D2641" t="s">
        <v>23</v>
      </c>
      <c r="E2641" t="s">
        <v>3426</v>
      </c>
    </row>
    <row r="2642" spans="1:9" x14ac:dyDescent="0.3">
      <c r="A2642" t="s">
        <v>5944</v>
      </c>
      <c r="B2642" t="s">
        <v>5945</v>
      </c>
      <c r="C2642">
        <v>2</v>
      </c>
      <c r="D2642" t="s">
        <v>2501</v>
      </c>
      <c r="E2642" t="s">
        <v>5946</v>
      </c>
    </row>
    <row r="2643" spans="1:9" x14ac:dyDescent="0.3">
      <c r="A2643" t="s">
        <v>5321</v>
      </c>
      <c r="B2643" t="s">
        <v>5947</v>
      </c>
      <c r="C2643">
        <v>0.5</v>
      </c>
      <c r="D2643" t="s">
        <v>23</v>
      </c>
      <c r="E2643" t="s">
        <v>5948</v>
      </c>
    </row>
    <row r="2644" spans="1:9" x14ac:dyDescent="0.3">
      <c r="A2644" t="s">
        <v>4401</v>
      </c>
      <c r="B2644" t="s">
        <v>5949</v>
      </c>
      <c r="C2644">
        <v>16</v>
      </c>
      <c r="D2644" t="s">
        <v>176</v>
      </c>
      <c r="E2644" t="s">
        <v>41</v>
      </c>
    </row>
    <row r="2645" spans="1:9" x14ac:dyDescent="0.3">
      <c r="A2645" t="s">
        <v>5950</v>
      </c>
      <c r="B2645" t="s">
        <v>5951</v>
      </c>
      <c r="C2645">
        <v>0.25</v>
      </c>
      <c r="D2645" t="s">
        <v>11</v>
      </c>
      <c r="E2645" t="s">
        <v>5952</v>
      </c>
    </row>
    <row r="2646" spans="1:9" x14ac:dyDescent="0.3">
      <c r="A2646" t="s">
        <v>5953</v>
      </c>
      <c r="B2646" t="s">
        <v>5954</v>
      </c>
      <c r="C2646">
        <v>2</v>
      </c>
      <c r="D2646" t="s">
        <v>23</v>
      </c>
      <c r="E2646" t="s">
        <v>524</v>
      </c>
    </row>
    <row r="2647" spans="1:9" x14ac:dyDescent="0.3">
      <c r="A2647" t="s">
        <v>5955</v>
      </c>
      <c r="B2647" t="s">
        <v>5956</v>
      </c>
      <c r="C2647">
        <v>1.67</v>
      </c>
      <c r="D2647" t="s">
        <v>284</v>
      </c>
      <c r="E2647" t="s">
        <v>497</v>
      </c>
    </row>
    <row r="2648" spans="1:9" x14ac:dyDescent="0.3">
      <c r="A2648" t="s">
        <v>5957</v>
      </c>
      <c r="B2648" t="s">
        <v>3116</v>
      </c>
      <c r="C2648">
        <v>1</v>
      </c>
      <c r="E2648" t="s">
        <v>704</v>
      </c>
    </row>
    <row r="2649" spans="1:9" x14ac:dyDescent="0.3">
      <c r="A2649" t="s">
        <v>5958</v>
      </c>
      <c r="B2649" t="s">
        <v>5959</v>
      </c>
      <c r="C2649">
        <v>2</v>
      </c>
      <c r="D2649" t="s">
        <v>23</v>
      </c>
      <c r="E2649" t="s">
        <v>5960</v>
      </c>
      <c r="I2649" t="s">
        <v>1931</v>
      </c>
    </row>
    <row r="2650" spans="1:9" x14ac:dyDescent="0.3">
      <c r="A2650" t="s">
        <v>5961</v>
      </c>
      <c r="B2650" t="s">
        <v>5962</v>
      </c>
      <c r="C2650">
        <v>1</v>
      </c>
      <c r="D2650" t="s">
        <v>37</v>
      </c>
      <c r="E2650" t="s">
        <v>5878</v>
      </c>
      <c r="I2650" t="s">
        <v>5963</v>
      </c>
    </row>
    <row r="2651" spans="1:9" x14ac:dyDescent="0.3">
      <c r="A2651" t="s">
        <v>5964</v>
      </c>
      <c r="B2651" t="s">
        <v>5965</v>
      </c>
      <c r="C2651">
        <v>1</v>
      </c>
      <c r="D2651" t="s">
        <v>11</v>
      </c>
      <c r="E2651" t="s">
        <v>1980</v>
      </c>
    </row>
    <row r="2652" spans="1:9" x14ac:dyDescent="0.3">
      <c r="A2652" t="s">
        <v>5966</v>
      </c>
      <c r="B2652" t="s">
        <v>5967</v>
      </c>
      <c r="C2652">
        <v>0.75</v>
      </c>
      <c r="D2652" t="s">
        <v>23</v>
      </c>
      <c r="E2652" t="s">
        <v>2443</v>
      </c>
      <c r="I2652" t="s">
        <v>5968</v>
      </c>
    </row>
    <row r="2653" spans="1:9" x14ac:dyDescent="0.3">
      <c r="A2653" t="s">
        <v>5969</v>
      </c>
      <c r="B2653" t="s">
        <v>5970</v>
      </c>
      <c r="C2653">
        <v>1</v>
      </c>
      <c r="D2653" t="s">
        <v>50</v>
      </c>
      <c r="E2653" t="s">
        <v>1506</v>
      </c>
    </row>
    <row r="2654" spans="1:9" x14ac:dyDescent="0.3">
      <c r="A2654" t="s">
        <v>5971</v>
      </c>
      <c r="B2654" t="s">
        <v>5972</v>
      </c>
      <c r="C2654">
        <v>1</v>
      </c>
      <c r="D2654" t="s">
        <v>11</v>
      </c>
      <c r="E2654" t="s">
        <v>5973</v>
      </c>
    </row>
    <row r="2655" spans="1:9" x14ac:dyDescent="0.3">
      <c r="A2655" t="s">
        <v>4426</v>
      </c>
      <c r="B2655" t="s">
        <v>5974</v>
      </c>
      <c r="C2655">
        <v>25</v>
      </c>
      <c r="D2655" t="s">
        <v>29</v>
      </c>
      <c r="E2655" t="s">
        <v>5975</v>
      </c>
      <c r="I2655" t="s">
        <v>4289</v>
      </c>
    </row>
    <row r="2656" spans="1:9" x14ac:dyDescent="0.3">
      <c r="A2656" t="s">
        <v>5976</v>
      </c>
      <c r="B2656" t="s">
        <v>5977</v>
      </c>
      <c r="C2656">
        <v>0.5</v>
      </c>
      <c r="D2656" t="s">
        <v>37</v>
      </c>
      <c r="E2656" t="s">
        <v>5978</v>
      </c>
    </row>
    <row r="2657" spans="1:9" x14ac:dyDescent="0.3">
      <c r="A2657" t="s">
        <v>5979</v>
      </c>
      <c r="B2657" t="s">
        <v>5980</v>
      </c>
      <c r="C2657" t="s">
        <v>5981</v>
      </c>
      <c r="D2657" t="s">
        <v>23</v>
      </c>
      <c r="E2657" t="s">
        <v>115</v>
      </c>
    </row>
    <row r="2658" spans="1:9" x14ac:dyDescent="0.3">
      <c r="A2658" t="s">
        <v>4152</v>
      </c>
      <c r="B2658" t="s">
        <v>5982</v>
      </c>
      <c r="C2658">
        <v>1</v>
      </c>
      <c r="D2658" t="s">
        <v>284</v>
      </c>
      <c r="E2658" t="s">
        <v>2376</v>
      </c>
      <c r="F2658" t="s">
        <v>3348</v>
      </c>
    </row>
    <row r="2659" spans="1:9" x14ac:dyDescent="0.3">
      <c r="A2659" t="s">
        <v>5983</v>
      </c>
      <c r="B2659" t="s">
        <v>5984</v>
      </c>
      <c r="C2659">
        <v>2</v>
      </c>
      <c r="D2659" t="s">
        <v>23</v>
      </c>
      <c r="E2659" t="s">
        <v>1003</v>
      </c>
    </row>
    <row r="2660" spans="1:9" x14ac:dyDescent="0.3">
      <c r="A2660" t="s">
        <v>5985</v>
      </c>
      <c r="B2660" t="s">
        <v>5986</v>
      </c>
      <c r="C2660">
        <v>1</v>
      </c>
      <c r="D2660" t="s">
        <v>33</v>
      </c>
      <c r="E2660" t="s">
        <v>377</v>
      </c>
      <c r="G2660" t="s">
        <v>814</v>
      </c>
      <c r="I2660" t="s">
        <v>248</v>
      </c>
    </row>
    <row r="2661" spans="1:9" x14ac:dyDescent="0.3">
      <c r="A2661" t="s">
        <v>1803</v>
      </c>
      <c r="B2661" t="s">
        <v>5987</v>
      </c>
      <c r="C2661">
        <v>6</v>
      </c>
      <c r="D2661" t="s">
        <v>71</v>
      </c>
      <c r="E2661" t="s">
        <v>41</v>
      </c>
      <c r="I2661" t="s">
        <v>5988</v>
      </c>
    </row>
    <row r="2662" spans="1:9" x14ac:dyDescent="0.3">
      <c r="A2662" t="s">
        <v>5989</v>
      </c>
      <c r="B2662" t="s">
        <v>5990</v>
      </c>
      <c r="C2662">
        <v>1</v>
      </c>
      <c r="D2662" t="s">
        <v>5991</v>
      </c>
      <c r="E2662" t="s">
        <v>5992</v>
      </c>
    </row>
    <row r="2663" spans="1:9" x14ac:dyDescent="0.3">
      <c r="A2663" t="s">
        <v>5993</v>
      </c>
      <c r="B2663" t="s">
        <v>5994</v>
      </c>
      <c r="C2663" t="s">
        <v>5995</v>
      </c>
      <c r="D2663" t="s">
        <v>345</v>
      </c>
      <c r="E2663" t="s">
        <v>547</v>
      </c>
      <c r="I2663" t="s">
        <v>2083</v>
      </c>
    </row>
    <row r="2664" spans="1:9" x14ac:dyDescent="0.3">
      <c r="A2664" t="s">
        <v>5996</v>
      </c>
      <c r="B2664" t="s">
        <v>5997</v>
      </c>
      <c r="C2664">
        <v>1</v>
      </c>
      <c r="D2664" t="s">
        <v>120</v>
      </c>
      <c r="E2664" t="s">
        <v>4270</v>
      </c>
    </row>
    <row r="2665" spans="1:9" x14ac:dyDescent="0.3">
      <c r="A2665" t="s">
        <v>5998</v>
      </c>
      <c r="B2665" t="s">
        <v>5999</v>
      </c>
      <c r="C2665">
        <v>25</v>
      </c>
      <c r="D2665" t="s">
        <v>29</v>
      </c>
      <c r="E2665" t="s">
        <v>3990</v>
      </c>
      <c r="I2665" t="s">
        <v>3962</v>
      </c>
    </row>
    <row r="2666" spans="1:9" x14ac:dyDescent="0.3">
      <c r="A2666" t="s">
        <v>6000</v>
      </c>
      <c r="B2666" t="s">
        <v>3436</v>
      </c>
      <c r="C2666">
        <v>1</v>
      </c>
      <c r="D2666" t="s">
        <v>23</v>
      </c>
      <c r="E2666" t="s">
        <v>3437</v>
      </c>
    </row>
    <row r="2667" spans="1:9" x14ac:dyDescent="0.3">
      <c r="A2667" t="s">
        <v>6001</v>
      </c>
      <c r="B2667" t="s">
        <v>6002</v>
      </c>
      <c r="C2667">
        <v>1</v>
      </c>
      <c r="D2667" t="s">
        <v>2689</v>
      </c>
      <c r="E2667" t="s">
        <v>6003</v>
      </c>
      <c r="I2667" t="s">
        <v>1931</v>
      </c>
    </row>
    <row r="2668" spans="1:9" x14ac:dyDescent="0.3">
      <c r="A2668" t="s">
        <v>2605</v>
      </c>
      <c r="B2668" t="s">
        <v>6004</v>
      </c>
      <c r="C2668">
        <v>0.5</v>
      </c>
      <c r="E2668" t="s">
        <v>237</v>
      </c>
      <c r="F2668" t="s">
        <v>324</v>
      </c>
      <c r="I2668" t="s">
        <v>325</v>
      </c>
    </row>
    <row r="2669" spans="1:9" x14ac:dyDescent="0.3">
      <c r="A2669" t="s">
        <v>4255</v>
      </c>
      <c r="B2669" t="s">
        <v>4534</v>
      </c>
      <c r="C2669">
        <v>1</v>
      </c>
      <c r="D2669" t="s">
        <v>37</v>
      </c>
      <c r="E2669" t="s">
        <v>160</v>
      </c>
      <c r="G2669" t="s">
        <v>68</v>
      </c>
    </row>
    <row r="2670" spans="1:9" x14ac:dyDescent="0.3">
      <c r="A2670" t="s">
        <v>4763</v>
      </c>
      <c r="B2670" t="s">
        <v>1204</v>
      </c>
      <c r="E2670" t="s">
        <v>1204</v>
      </c>
    </row>
    <row r="2671" spans="1:9" x14ac:dyDescent="0.3">
      <c r="A2671" t="s">
        <v>6005</v>
      </c>
      <c r="B2671" t="s">
        <v>152</v>
      </c>
      <c r="E2671" t="s">
        <v>152</v>
      </c>
    </row>
    <row r="2672" spans="1:9" x14ac:dyDescent="0.3">
      <c r="A2672" t="s">
        <v>6006</v>
      </c>
      <c r="B2672" t="s">
        <v>6007</v>
      </c>
      <c r="C2672">
        <v>0.25</v>
      </c>
      <c r="D2672" t="s">
        <v>284</v>
      </c>
      <c r="E2672" t="s">
        <v>6008</v>
      </c>
    </row>
    <row r="2673" spans="1:9" x14ac:dyDescent="0.3">
      <c r="A2673" t="s">
        <v>6009</v>
      </c>
      <c r="B2673" t="s">
        <v>6010</v>
      </c>
      <c r="C2673">
        <v>0.25</v>
      </c>
      <c r="D2673" t="s">
        <v>11</v>
      </c>
      <c r="E2673" t="s">
        <v>6011</v>
      </c>
    </row>
    <row r="2674" spans="1:9" x14ac:dyDescent="0.3">
      <c r="A2674" t="s">
        <v>6012</v>
      </c>
      <c r="B2674" t="s">
        <v>6013</v>
      </c>
      <c r="C2674">
        <v>12</v>
      </c>
      <c r="D2674" t="s">
        <v>345</v>
      </c>
      <c r="E2674" t="s">
        <v>6014</v>
      </c>
      <c r="H2674" t="s">
        <v>1078</v>
      </c>
    </row>
    <row r="2675" spans="1:9" x14ac:dyDescent="0.3">
      <c r="A2675" t="s">
        <v>6015</v>
      </c>
      <c r="B2675" t="s">
        <v>6016</v>
      </c>
      <c r="C2675">
        <v>2</v>
      </c>
      <c r="E2675" t="s">
        <v>6017</v>
      </c>
      <c r="I2675" t="s">
        <v>248</v>
      </c>
    </row>
    <row r="2676" spans="1:9" x14ac:dyDescent="0.3">
      <c r="A2676" t="s">
        <v>6018</v>
      </c>
      <c r="B2676" t="s">
        <v>6019</v>
      </c>
      <c r="E2676" t="s">
        <v>413</v>
      </c>
      <c r="F2676" t="s">
        <v>1571</v>
      </c>
    </row>
    <row r="2677" spans="1:9" x14ac:dyDescent="0.3">
      <c r="A2677" t="s">
        <v>6020</v>
      </c>
      <c r="B2677" t="s">
        <v>1369</v>
      </c>
      <c r="C2677">
        <v>1</v>
      </c>
      <c r="D2677" t="s">
        <v>460</v>
      </c>
      <c r="E2677" t="s">
        <v>331</v>
      </c>
    </row>
    <row r="2678" spans="1:9" x14ac:dyDescent="0.3">
      <c r="A2678" t="s">
        <v>6021</v>
      </c>
      <c r="B2678" t="s">
        <v>6022</v>
      </c>
      <c r="C2678">
        <v>1</v>
      </c>
      <c r="D2678" t="s">
        <v>23</v>
      </c>
      <c r="E2678" t="s">
        <v>4670</v>
      </c>
    </row>
    <row r="2679" spans="1:9" x14ac:dyDescent="0.3">
      <c r="A2679" t="s">
        <v>467</v>
      </c>
      <c r="B2679" t="s">
        <v>6023</v>
      </c>
      <c r="C2679">
        <v>50</v>
      </c>
      <c r="D2679" t="s">
        <v>29</v>
      </c>
      <c r="E2679" t="s">
        <v>233</v>
      </c>
      <c r="I2679" t="s">
        <v>917</v>
      </c>
    </row>
    <row r="2680" spans="1:9" x14ac:dyDescent="0.3">
      <c r="A2680" t="s">
        <v>6024</v>
      </c>
      <c r="B2680" t="s">
        <v>6025</v>
      </c>
      <c r="C2680">
        <v>1</v>
      </c>
      <c r="D2680" t="s">
        <v>284</v>
      </c>
      <c r="E2680" t="s">
        <v>1445</v>
      </c>
    </row>
    <row r="2681" spans="1:9" x14ac:dyDescent="0.3">
      <c r="A2681" t="s">
        <v>6026</v>
      </c>
      <c r="B2681" t="s">
        <v>6027</v>
      </c>
      <c r="C2681">
        <v>4</v>
      </c>
      <c r="D2681" t="s">
        <v>23</v>
      </c>
      <c r="E2681" t="s">
        <v>64</v>
      </c>
    </row>
    <row r="2682" spans="1:9" x14ac:dyDescent="0.3">
      <c r="A2682" t="s">
        <v>5884</v>
      </c>
      <c r="B2682" t="s">
        <v>6028</v>
      </c>
      <c r="E2682" t="s">
        <v>3530</v>
      </c>
      <c r="I2682" t="s">
        <v>6029</v>
      </c>
    </row>
    <row r="2683" spans="1:9" x14ac:dyDescent="0.3">
      <c r="A2683" t="s">
        <v>4557</v>
      </c>
      <c r="B2683" t="s">
        <v>6030</v>
      </c>
      <c r="C2683">
        <v>1</v>
      </c>
      <c r="D2683" t="s">
        <v>585</v>
      </c>
      <c r="E2683" t="s">
        <v>152</v>
      </c>
      <c r="I2683" t="s">
        <v>248</v>
      </c>
    </row>
    <row r="2684" spans="1:9" x14ac:dyDescent="0.3">
      <c r="A2684" t="s">
        <v>6031</v>
      </c>
      <c r="B2684" t="s">
        <v>2298</v>
      </c>
      <c r="C2684">
        <v>3</v>
      </c>
      <c r="D2684" t="s">
        <v>91</v>
      </c>
      <c r="E2684" t="s">
        <v>2299</v>
      </c>
    </row>
    <row r="2685" spans="1:9" x14ac:dyDescent="0.3">
      <c r="A2685" t="s">
        <v>6032</v>
      </c>
      <c r="B2685" t="s">
        <v>6033</v>
      </c>
      <c r="C2685">
        <v>2</v>
      </c>
      <c r="D2685" t="s">
        <v>6034</v>
      </c>
      <c r="E2685" t="s">
        <v>6035</v>
      </c>
    </row>
    <row r="2686" spans="1:9" x14ac:dyDescent="0.3">
      <c r="A2686" t="s">
        <v>6036</v>
      </c>
      <c r="B2686" t="s">
        <v>1555</v>
      </c>
      <c r="C2686">
        <v>1</v>
      </c>
      <c r="D2686" t="s">
        <v>206</v>
      </c>
      <c r="E2686" t="s">
        <v>81</v>
      </c>
    </row>
    <row r="2687" spans="1:9" x14ac:dyDescent="0.3">
      <c r="A2687" t="s">
        <v>6037</v>
      </c>
      <c r="B2687" t="s">
        <v>6038</v>
      </c>
      <c r="C2687">
        <v>0.75</v>
      </c>
      <c r="D2687" t="s">
        <v>23</v>
      </c>
      <c r="E2687" t="s">
        <v>3267</v>
      </c>
    </row>
    <row r="2688" spans="1:9" x14ac:dyDescent="0.3">
      <c r="A2688" t="s">
        <v>6039</v>
      </c>
      <c r="B2688" t="s">
        <v>4002</v>
      </c>
      <c r="C2688">
        <v>1</v>
      </c>
      <c r="D2688" t="s">
        <v>23</v>
      </c>
      <c r="E2688" t="s">
        <v>1003</v>
      </c>
    </row>
    <row r="2689" spans="1:9" x14ac:dyDescent="0.3">
      <c r="A2689" t="s">
        <v>6040</v>
      </c>
      <c r="B2689" t="s">
        <v>6041</v>
      </c>
      <c r="C2689">
        <v>2</v>
      </c>
      <c r="D2689" t="s">
        <v>29</v>
      </c>
      <c r="E2689" t="s">
        <v>6042</v>
      </c>
      <c r="I2689" t="s">
        <v>6043</v>
      </c>
    </row>
    <row r="2690" spans="1:9" x14ac:dyDescent="0.3">
      <c r="A2690" t="s">
        <v>6044</v>
      </c>
      <c r="B2690" t="s">
        <v>6045</v>
      </c>
      <c r="C2690">
        <v>4</v>
      </c>
      <c r="E2690" t="s">
        <v>6046</v>
      </c>
      <c r="I2690" t="s">
        <v>6047</v>
      </c>
    </row>
    <row r="2691" spans="1:9" x14ac:dyDescent="0.3">
      <c r="A2691" t="s">
        <v>6048</v>
      </c>
      <c r="B2691" t="s">
        <v>3488</v>
      </c>
      <c r="D2691" t="s">
        <v>33</v>
      </c>
      <c r="E2691" t="s">
        <v>1056</v>
      </c>
    </row>
    <row r="2692" spans="1:9" x14ac:dyDescent="0.3">
      <c r="A2692" t="s">
        <v>6049</v>
      </c>
      <c r="B2692" t="s">
        <v>6050</v>
      </c>
      <c r="C2692">
        <v>1</v>
      </c>
      <c r="D2692" t="s">
        <v>11</v>
      </c>
      <c r="E2692" t="s">
        <v>6051</v>
      </c>
    </row>
    <row r="2693" spans="1:9" x14ac:dyDescent="0.3">
      <c r="A2693" t="s">
        <v>4551</v>
      </c>
      <c r="B2693" t="s">
        <v>6052</v>
      </c>
      <c r="C2693">
        <v>1</v>
      </c>
      <c r="D2693" t="s">
        <v>284</v>
      </c>
      <c r="E2693" t="s">
        <v>333</v>
      </c>
      <c r="F2693" t="s">
        <v>1014</v>
      </c>
      <c r="I2693" t="s">
        <v>325</v>
      </c>
    </row>
    <row r="2694" spans="1:9" x14ac:dyDescent="0.3">
      <c r="A2694" t="s">
        <v>6053</v>
      </c>
      <c r="B2694" t="s">
        <v>6054</v>
      </c>
      <c r="C2694">
        <v>0.5</v>
      </c>
      <c r="D2694" t="s">
        <v>6055</v>
      </c>
      <c r="E2694" t="s">
        <v>5161</v>
      </c>
      <c r="F2694" t="s">
        <v>1813</v>
      </c>
    </row>
    <row r="2695" spans="1:9" x14ac:dyDescent="0.3">
      <c r="A2695" t="s">
        <v>6056</v>
      </c>
      <c r="B2695" t="s">
        <v>6057</v>
      </c>
      <c r="C2695">
        <v>2</v>
      </c>
      <c r="D2695" t="s">
        <v>120</v>
      </c>
      <c r="E2695" t="s">
        <v>5897</v>
      </c>
      <c r="I2695" t="s">
        <v>6058</v>
      </c>
    </row>
    <row r="2696" spans="1:9" x14ac:dyDescent="0.3">
      <c r="A2696" t="s">
        <v>6059</v>
      </c>
      <c r="B2696" t="s">
        <v>6060</v>
      </c>
      <c r="C2696">
        <v>5</v>
      </c>
      <c r="D2696" t="s">
        <v>23</v>
      </c>
      <c r="E2696" t="s">
        <v>6061</v>
      </c>
      <c r="I2696" t="s">
        <v>289</v>
      </c>
    </row>
    <row r="2697" spans="1:9" x14ac:dyDescent="0.3">
      <c r="A2697" t="s">
        <v>6062</v>
      </c>
      <c r="B2697" t="s">
        <v>6063</v>
      </c>
      <c r="C2697">
        <v>0.75</v>
      </c>
      <c r="D2697" t="s">
        <v>37</v>
      </c>
      <c r="E2697" t="s">
        <v>6064</v>
      </c>
    </row>
    <row r="2698" spans="1:9" x14ac:dyDescent="0.3">
      <c r="A2698" t="s">
        <v>6065</v>
      </c>
      <c r="B2698" t="s">
        <v>6066</v>
      </c>
      <c r="C2698">
        <v>1</v>
      </c>
      <c r="D2698" t="s">
        <v>151</v>
      </c>
      <c r="E2698" t="s">
        <v>85</v>
      </c>
    </row>
    <row r="2699" spans="1:9" x14ac:dyDescent="0.3">
      <c r="A2699" t="s">
        <v>2422</v>
      </c>
      <c r="B2699" t="s">
        <v>3655</v>
      </c>
      <c r="C2699">
        <v>1.5</v>
      </c>
      <c r="D2699" t="s">
        <v>23</v>
      </c>
      <c r="E2699" t="s">
        <v>299</v>
      </c>
    </row>
    <row r="2700" spans="1:9" x14ac:dyDescent="0.3">
      <c r="A2700" t="s">
        <v>6067</v>
      </c>
      <c r="B2700" t="s">
        <v>6068</v>
      </c>
      <c r="C2700">
        <v>1</v>
      </c>
      <c r="D2700" t="s">
        <v>23</v>
      </c>
      <c r="E2700" t="s">
        <v>6069</v>
      </c>
      <c r="I2700" t="s">
        <v>6070</v>
      </c>
    </row>
    <row r="2701" spans="1:9" x14ac:dyDescent="0.3">
      <c r="A2701" t="s">
        <v>6071</v>
      </c>
      <c r="B2701" t="s">
        <v>6072</v>
      </c>
      <c r="C2701">
        <v>0.75</v>
      </c>
      <c r="D2701" t="s">
        <v>11</v>
      </c>
      <c r="E2701" t="s">
        <v>6073</v>
      </c>
      <c r="I2701" t="s">
        <v>654</v>
      </c>
    </row>
    <row r="2702" spans="1:9" x14ac:dyDescent="0.3">
      <c r="A2702" t="s">
        <v>6074</v>
      </c>
      <c r="B2702" t="s">
        <v>6075</v>
      </c>
      <c r="C2702">
        <v>0.12</v>
      </c>
      <c r="D2702" t="s">
        <v>460</v>
      </c>
      <c r="E2702" t="s">
        <v>6076</v>
      </c>
    </row>
    <row r="2703" spans="1:9" x14ac:dyDescent="0.3">
      <c r="A2703" t="s">
        <v>6077</v>
      </c>
      <c r="B2703" t="s">
        <v>6078</v>
      </c>
      <c r="E2703" t="s">
        <v>1173</v>
      </c>
      <c r="I2703" t="s">
        <v>6079</v>
      </c>
    </row>
    <row r="2704" spans="1:9" x14ac:dyDescent="0.3">
      <c r="A2704" t="s">
        <v>5191</v>
      </c>
      <c r="B2704" t="s">
        <v>6080</v>
      </c>
      <c r="C2704">
        <v>25</v>
      </c>
      <c r="D2704" t="s">
        <v>29</v>
      </c>
      <c r="E2704" t="s">
        <v>98</v>
      </c>
    </row>
    <row r="2705" spans="1:9" x14ac:dyDescent="0.3">
      <c r="A2705" t="s">
        <v>6081</v>
      </c>
      <c r="B2705" t="s">
        <v>6082</v>
      </c>
      <c r="C2705">
        <v>0.5</v>
      </c>
      <c r="D2705" t="s">
        <v>23</v>
      </c>
      <c r="E2705" t="s">
        <v>183</v>
      </c>
      <c r="G2705" t="s">
        <v>814</v>
      </c>
    </row>
    <row r="2706" spans="1:9" x14ac:dyDescent="0.3">
      <c r="A2706" t="s">
        <v>6083</v>
      </c>
      <c r="B2706" t="s">
        <v>6084</v>
      </c>
      <c r="C2706">
        <v>3</v>
      </c>
      <c r="D2706" t="s">
        <v>189</v>
      </c>
      <c r="E2706" t="s">
        <v>6085</v>
      </c>
    </row>
    <row r="2707" spans="1:9" x14ac:dyDescent="0.3">
      <c r="A2707" t="s">
        <v>4624</v>
      </c>
      <c r="B2707" t="s">
        <v>3370</v>
      </c>
      <c r="C2707">
        <v>8</v>
      </c>
      <c r="D2707" t="s">
        <v>23</v>
      </c>
      <c r="E2707" t="s">
        <v>262</v>
      </c>
    </row>
    <row r="2708" spans="1:9" x14ac:dyDescent="0.3">
      <c r="A2708" t="s">
        <v>6086</v>
      </c>
      <c r="B2708" t="s">
        <v>5056</v>
      </c>
      <c r="C2708">
        <v>30</v>
      </c>
      <c r="D2708" t="s">
        <v>29</v>
      </c>
      <c r="E2708" t="s">
        <v>30</v>
      </c>
    </row>
    <row r="2709" spans="1:9" x14ac:dyDescent="0.3">
      <c r="A2709" t="s">
        <v>6087</v>
      </c>
      <c r="B2709" t="s">
        <v>6088</v>
      </c>
      <c r="C2709">
        <v>2</v>
      </c>
      <c r="D2709" t="s">
        <v>189</v>
      </c>
      <c r="E2709" t="s">
        <v>6089</v>
      </c>
    </row>
    <row r="2710" spans="1:9" x14ac:dyDescent="0.3">
      <c r="A2710" t="s">
        <v>4353</v>
      </c>
      <c r="B2710" t="s">
        <v>163</v>
      </c>
      <c r="E2710" t="s">
        <v>163</v>
      </c>
    </row>
    <row r="2711" spans="1:9" x14ac:dyDescent="0.3">
      <c r="A2711" t="s">
        <v>6090</v>
      </c>
      <c r="B2711" t="s">
        <v>6091</v>
      </c>
      <c r="E2711" t="s">
        <v>6091</v>
      </c>
    </row>
    <row r="2712" spans="1:9" x14ac:dyDescent="0.3">
      <c r="A2712" t="s">
        <v>6092</v>
      </c>
      <c r="B2712" t="s">
        <v>6093</v>
      </c>
      <c r="C2712">
        <v>3</v>
      </c>
      <c r="D2712" t="s">
        <v>1983</v>
      </c>
      <c r="E2712" t="s">
        <v>377</v>
      </c>
    </row>
    <row r="2713" spans="1:9" x14ac:dyDescent="0.3">
      <c r="A2713" t="s">
        <v>4744</v>
      </c>
      <c r="B2713" t="s">
        <v>261</v>
      </c>
      <c r="C2713">
        <v>1</v>
      </c>
      <c r="D2713" t="s">
        <v>111</v>
      </c>
      <c r="E2713" t="s">
        <v>262</v>
      </c>
    </row>
    <row r="2714" spans="1:9" x14ac:dyDescent="0.3">
      <c r="A2714" t="s">
        <v>6094</v>
      </c>
      <c r="B2714" t="s">
        <v>674</v>
      </c>
      <c r="C2714">
        <v>0.5</v>
      </c>
      <c r="D2714" t="s">
        <v>23</v>
      </c>
      <c r="E2714" t="s">
        <v>38</v>
      </c>
      <c r="G2714" t="s">
        <v>68</v>
      </c>
    </row>
    <row r="2715" spans="1:9" x14ac:dyDescent="0.3">
      <c r="A2715" t="s">
        <v>2616</v>
      </c>
      <c r="B2715" t="s">
        <v>6095</v>
      </c>
      <c r="C2715">
        <v>1</v>
      </c>
      <c r="D2715" t="s">
        <v>60</v>
      </c>
      <c r="E2715" t="s">
        <v>2214</v>
      </c>
      <c r="I2715" t="s">
        <v>289</v>
      </c>
    </row>
    <row r="2716" spans="1:9" x14ac:dyDescent="0.3">
      <c r="A2716" t="s">
        <v>6096</v>
      </c>
      <c r="B2716" t="s">
        <v>6097</v>
      </c>
      <c r="C2716">
        <v>10</v>
      </c>
      <c r="D2716" t="s">
        <v>345</v>
      </c>
      <c r="E2716" t="s">
        <v>6098</v>
      </c>
      <c r="F2716" t="s">
        <v>1813</v>
      </c>
    </row>
    <row r="2717" spans="1:9" x14ac:dyDescent="0.3">
      <c r="A2717" t="s">
        <v>6099</v>
      </c>
      <c r="B2717" t="s">
        <v>6100</v>
      </c>
      <c r="C2717" t="s">
        <v>6101</v>
      </c>
      <c r="D2717" t="s">
        <v>23</v>
      </c>
      <c r="E2717" t="s">
        <v>299</v>
      </c>
    </row>
    <row r="2718" spans="1:9" x14ac:dyDescent="0.3">
      <c r="A2718" t="s">
        <v>6102</v>
      </c>
      <c r="B2718" t="s">
        <v>6103</v>
      </c>
      <c r="C2718">
        <v>1.5</v>
      </c>
      <c r="D2718" t="s">
        <v>23</v>
      </c>
      <c r="E2718" t="s">
        <v>6104</v>
      </c>
      <c r="I2718" t="s">
        <v>289</v>
      </c>
    </row>
    <row r="2719" spans="1:9" x14ac:dyDescent="0.3">
      <c r="A2719" t="s">
        <v>6105</v>
      </c>
      <c r="B2719" t="s">
        <v>2231</v>
      </c>
      <c r="C2719">
        <v>25</v>
      </c>
      <c r="D2719" t="s">
        <v>29</v>
      </c>
      <c r="E2719" t="s">
        <v>738</v>
      </c>
    </row>
    <row r="2720" spans="1:9" x14ac:dyDescent="0.3">
      <c r="A2720" t="s">
        <v>6106</v>
      </c>
      <c r="B2720" t="s">
        <v>6107</v>
      </c>
      <c r="C2720">
        <v>1.75</v>
      </c>
      <c r="D2720" t="s">
        <v>345</v>
      </c>
      <c r="E2720" t="s">
        <v>6108</v>
      </c>
      <c r="I2720" t="s">
        <v>6109</v>
      </c>
    </row>
    <row r="2721" spans="1:9" x14ac:dyDescent="0.3">
      <c r="A2721" t="s">
        <v>6110</v>
      </c>
      <c r="B2721" t="s">
        <v>3118</v>
      </c>
      <c r="C2721">
        <v>0.25</v>
      </c>
      <c r="D2721" t="s">
        <v>23</v>
      </c>
      <c r="E2721" t="s">
        <v>880</v>
      </c>
    </row>
    <row r="2722" spans="1:9" x14ac:dyDescent="0.3">
      <c r="A2722" t="s">
        <v>6111</v>
      </c>
      <c r="B2722" t="s">
        <v>6112</v>
      </c>
      <c r="C2722">
        <v>0.25</v>
      </c>
      <c r="D2722" t="s">
        <v>37</v>
      </c>
      <c r="E2722" t="s">
        <v>160</v>
      </c>
    </row>
    <row r="2723" spans="1:9" x14ac:dyDescent="0.3">
      <c r="A2723" t="s">
        <v>6113</v>
      </c>
      <c r="B2723" t="s">
        <v>6114</v>
      </c>
      <c r="C2723">
        <v>0.25</v>
      </c>
      <c r="D2723" t="s">
        <v>11</v>
      </c>
      <c r="E2723" t="s">
        <v>183</v>
      </c>
    </row>
    <row r="2724" spans="1:9" x14ac:dyDescent="0.3">
      <c r="A2724" t="s">
        <v>6115</v>
      </c>
      <c r="B2724" t="s">
        <v>1000</v>
      </c>
      <c r="C2724">
        <v>10</v>
      </c>
      <c r="D2724" t="s">
        <v>29</v>
      </c>
      <c r="E2724" t="s">
        <v>793</v>
      </c>
    </row>
    <row r="2725" spans="1:9" x14ac:dyDescent="0.3">
      <c r="A2725" t="s">
        <v>3549</v>
      </c>
      <c r="B2725" t="s">
        <v>6116</v>
      </c>
      <c r="C2725">
        <v>0.5</v>
      </c>
      <c r="D2725" t="s">
        <v>11</v>
      </c>
      <c r="E2725" t="s">
        <v>6117</v>
      </c>
    </row>
    <row r="2726" spans="1:9" x14ac:dyDescent="0.3">
      <c r="A2726" t="s">
        <v>6118</v>
      </c>
      <c r="B2726" t="s">
        <v>333</v>
      </c>
      <c r="E2726" t="s">
        <v>333</v>
      </c>
    </row>
    <row r="2727" spans="1:9" x14ac:dyDescent="0.3">
      <c r="A2727" t="s">
        <v>6119</v>
      </c>
      <c r="B2727" t="s">
        <v>5100</v>
      </c>
      <c r="C2727">
        <v>1</v>
      </c>
      <c r="D2727" t="s">
        <v>11</v>
      </c>
      <c r="E2727" t="s">
        <v>2703</v>
      </c>
    </row>
    <row r="2728" spans="1:9" x14ac:dyDescent="0.3">
      <c r="A2728" t="s">
        <v>5950</v>
      </c>
      <c r="B2728" t="s">
        <v>6120</v>
      </c>
      <c r="D2728" t="s">
        <v>1281</v>
      </c>
      <c r="E2728" t="s">
        <v>163</v>
      </c>
      <c r="I2728" t="s">
        <v>790</v>
      </c>
    </row>
    <row r="2729" spans="1:9" x14ac:dyDescent="0.3">
      <c r="A2729" t="s">
        <v>6121</v>
      </c>
      <c r="B2729" t="s">
        <v>5384</v>
      </c>
      <c r="C2729">
        <v>5</v>
      </c>
      <c r="D2729" t="s">
        <v>23</v>
      </c>
      <c r="E2729" t="s">
        <v>320</v>
      </c>
    </row>
    <row r="2730" spans="1:9" x14ac:dyDescent="0.3">
      <c r="A2730" t="s">
        <v>6122</v>
      </c>
      <c r="B2730" t="s">
        <v>333</v>
      </c>
      <c r="E2730" t="s">
        <v>333</v>
      </c>
    </row>
    <row r="2731" spans="1:9" x14ac:dyDescent="0.3">
      <c r="A2731" t="s">
        <v>6123</v>
      </c>
      <c r="B2731" t="s">
        <v>6124</v>
      </c>
      <c r="C2731">
        <v>5</v>
      </c>
      <c r="D2731" t="s">
        <v>29</v>
      </c>
      <c r="E2731" t="s">
        <v>115</v>
      </c>
      <c r="I2731" t="s">
        <v>6125</v>
      </c>
    </row>
    <row r="2732" spans="1:9" x14ac:dyDescent="0.3">
      <c r="A2732" t="s">
        <v>6126</v>
      </c>
      <c r="B2732" t="s">
        <v>2160</v>
      </c>
      <c r="C2732">
        <v>0.5</v>
      </c>
      <c r="D2732" t="s">
        <v>23</v>
      </c>
      <c r="E2732" t="s">
        <v>355</v>
      </c>
    </row>
    <row r="2733" spans="1:9" x14ac:dyDescent="0.3">
      <c r="A2733" t="s">
        <v>6127</v>
      </c>
      <c r="B2733" t="s">
        <v>6128</v>
      </c>
      <c r="C2733">
        <v>2</v>
      </c>
      <c r="D2733" t="s">
        <v>189</v>
      </c>
      <c r="E2733" t="s">
        <v>6129</v>
      </c>
    </row>
    <row r="2734" spans="1:9" x14ac:dyDescent="0.3">
      <c r="A2734" t="s">
        <v>6130</v>
      </c>
      <c r="B2734" t="s">
        <v>6131</v>
      </c>
      <c r="C2734">
        <v>1</v>
      </c>
      <c r="D2734" t="s">
        <v>18</v>
      </c>
      <c r="E2734" t="s">
        <v>61</v>
      </c>
    </row>
    <row r="2735" spans="1:9" x14ac:dyDescent="0.3">
      <c r="A2735" t="s">
        <v>6132</v>
      </c>
      <c r="B2735" t="s">
        <v>6133</v>
      </c>
      <c r="C2735">
        <v>1</v>
      </c>
      <c r="D2735" t="s">
        <v>460</v>
      </c>
      <c r="E2735" t="s">
        <v>796</v>
      </c>
    </row>
    <row r="2736" spans="1:9" x14ac:dyDescent="0.3">
      <c r="A2736" t="s">
        <v>127</v>
      </c>
      <c r="B2736" t="s">
        <v>6134</v>
      </c>
      <c r="C2736">
        <v>1.5</v>
      </c>
      <c r="D2736" t="s">
        <v>4627</v>
      </c>
      <c r="E2736" t="s">
        <v>1594</v>
      </c>
      <c r="I2736" t="s">
        <v>289</v>
      </c>
    </row>
    <row r="2737" spans="1:6" x14ac:dyDescent="0.3">
      <c r="A2737" t="s">
        <v>6135</v>
      </c>
      <c r="B2737" t="s">
        <v>2225</v>
      </c>
      <c r="C2737">
        <v>1</v>
      </c>
      <c r="D2737" t="s">
        <v>23</v>
      </c>
      <c r="E2737" t="s">
        <v>183</v>
      </c>
    </row>
    <row r="2738" spans="1:6" x14ac:dyDescent="0.3">
      <c r="A2738" t="s">
        <v>6136</v>
      </c>
      <c r="B2738" t="s">
        <v>6137</v>
      </c>
      <c r="C2738">
        <v>1</v>
      </c>
      <c r="D2738" t="s">
        <v>2646</v>
      </c>
      <c r="E2738" t="s">
        <v>265</v>
      </c>
    </row>
    <row r="2739" spans="1:6" x14ac:dyDescent="0.3">
      <c r="A2739" t="s">
        <v>6138</v>
      </c>
      <c r="B2739" t="s">
        <v>6139</v>
      </c>
      <c r="C2739">
        <v>1</v>
      </c>
      <c r="D2739" t="s">
        <v>37</v>
      </c>
      <c r="E2739" t="s">
        <v>6140</v>
      </c>
    </row>
    <row r="2740" spans="1:6" x14ac:dyDescent="0.3">
      <c r="A2740" t="s">
        <v>6141</v>
      </c>
      <c r="B2740" t="s">
        <v>6142</v>
      </c>
      <c r="C2740">
        <v>5</v>
      </c>
      <c r="D2740" t="s">
        <v>29</v>
      </c>
      <c r="E2740" t="s">
        <v>115</v>
      </c>
    </row>
    <row r="2741" spans="1:6" x14ac:dyDescent="0.3">
      <c r="A2741" t="s">
        <v>2788</v>
      </c>
      <c r="B2741" t="s">
        <v>6143</v>
      </c>
      <c r="C2741">
        <v>0.25</v>
      </c>
      <c r="D2741" t="s">
        <v>37</v>
      </c>
      <c r="E2741" t="s">
        <v>1558</v>
      </c>
    </row>
    <row r="2742" spans="1:6" x14ac:dyDescent="0.3">
      <c r="A2742" t="s">
        <v>3696</v>
      </c>
      <c r="B2742" t="s">
        <v>1274</v>
      </c>
      <c r="C2742">
        <v>0.75</v>
      </c>
      <c r="D2742" t="s">
        <v>11</v>
      </c>
      <c r="E2742" t="s">
        <v>88</v>
      </c>
    </row>
    <row r="2743" spans="1:6" x14ac:dyDescent="0.3">
      <c r="A2743" t="s">
        <v>6144</v>
      </c>
      <c r="B2743" t="s">
        <v>6145</v>
      </c>
      <c r="C2743">
        <v>1</v>
      </c>
      <c r="D2743" t="s">
        <v>120</v>
      </c>
      <c r="E2743" t="s">
        <v>6146</v>
      </c>
    </row>
    <row r="2744" spans="1:6" x14ac:dyDescent="0.3">
      <c r="A2744" t="s">
        <v>6147</v>
      </c>
      <c r="B2744" t="s">
        <v>2045</v>
      </c>
      <c r="C2744">
        <v>2</v>
      </c>
      <c r="D2744" t="s">
        <v>1338</v>
      </c>
      <c r="E2744" t="s">
        <v>1043</v>
      </c>
    </row>
    <row r="2745" spans="1:6" x14ac:dyDescent="0.3">
      <c r="A2745" t="s">
        <v>6148</v>
      </c>
      <c r="B2745" t="s">
        <v>743</v>
      </c>
      <c r="E2745" t="s">
        <v>743</v>
      </c>
    </row>
    <row r="2746" spans="1:6" x14ac:dyDescent="0.3">
      <c r="A2746" t="s">
        <v>6149</v>
      </c>
      <c r="B2746" t="s">
        <v>6150</v>
      </c>
      <c r="C2746">
        <v>1</v>
      </c>
      <c r="D2746" t="s">
        <v>11</v>
      </c>
      <c r="E2746" t="s">
        <v>6151</v>
      </c>
    </row>
    <row r="2747" spans="1:6" x14ac:dyDescent="0.3">
      <c r="A2747" t="s">
        <v>6152</v>
      </c>
      <c r="B2747" t="s">
        <v>6153</v>
      </c>
      <c r="C2747">
        <v>3</v>
      </c>
      <c r="D2747" t="s">
        <v>23</v>
      </c>
      <c r="E2747" t="s">
        <v>102</v>
      </c>
    </row>
    <row r="2748" spans="1:6" x14ac:dyDescent="0.3">
      <c r="A2748" t="s">
        <v>6154</v>
      </c>
      <c r="B2748" t="s">
        <v>6023</v>
      </c>
      <c r="C2748">
        <v>50</v>
      </c>
      <c r="D2748" t="s">
        <v>29</v>
      </c>
      <c r="E2748" t="s">
        <v>6155</v>
      </c>
    </row>
    <row r="2749" spans="1:6" x14ac:dyDescent="0.3">
      <c r="A2749" t="s">
        <v>2285</v>
      </c>
      <c r="B2749" t="s">
        <v>6156</v>
      </c>
      <c r="C2749">
        <v>2</v>
      </c>
      <c r="D2749" t="s">
        <v>176</v>
      </c>
      <c r="E2749" t="s">
        <v>6157</v>
      </c>
    </row>
    <row r="2750" spans="1:6" x14ac:dyDescent="0.3">
      <c r="A2750" t="s">
        <v>6158</v>
      </c>
      <c r="B2750" t="s">
        <v>6159</v>
      </c>
      <c r="C2750">
        <v>4</v>
      </c>
      <c r="D2750" t="s">
        <v>60</v>
      </c>
      <c r="E2750" t="s">
        <v>1431</v>
      </c>
    </row>
    <row r="2751" spans="1:6" x14ac:dyDescent="0.3">
      <c r="A2751" t="s">
        <v>6160</v>
      </c>
      <c r="B2751" t="s">
        <v>6019</v>
      </c>
      <c r="E2751" t="s">
        <v>413</v>
      </c>
      <c r="F2751" t="s">
        <v>1571</v>
      </c>
    </row>
    <row r="2752" spans="1:6" x14ac:dyDescent="0.3">
      <c r="A2752" t="s">
        <v>6161</v>
      </c>
      <c r="B2752" t="s">
        <v>6162</v>
      </c>
      <c r="C2752">
        <v>1</v>
      </c>
      <c r="D2752" t="s">
        <v>23</v>
      </c>
      <c r="E2752" t="s">
        <v>6163</v>
      </c>
    </row>
    <row r="2753" spans="1:9" x14ac:dyDescent="0.3">
      <c r="A2753" t="s">
        <v>6164</v>
      </c>
      <c r="B2753" t="s">
        <v>491</v>
      </c>
      <c r="E2753" t="s">
        <v>491</v>
      </c>
    </row>
    <row r="2754" spans="1:9" x14ac:dyDescent="0.3">
      <c r="A2754" t="s">
        <v>6165</v>
      </c>
      <c r="B2754" t="s">
        <v>6166</v>
      </c>
      <c r="C2754">
        <v>4</v>
      </c>
      <c r="D2754" t="s">
        <v>23</v>
      </c>
      <c r="E2754" t="s">
        <v>1077</v>
      </c>
    </row>
    <row r="2755" spans="1:9" x14ac:dyDescent="0.3">
      <c r="A2755" t="s">
        <v>6167</v>
      </c>
      <c r="B2755" t="s">
        <v>6168</v>
      </c>
      <c r="C2755">
        <v>37.5</v>
      </c>
      <c r="D2755" t="s">
        <v>29</v>
      </c>
      <c r="E2755" t="s">
        <v>1627</v>
      </c>
      <c r="I2755" t="s">
        <v>4636</v>
      </c>
    </row>
    <row r="2756" spans="1:9" x14ac:dyDescent="0.3">
      <c r="A2756" t="s">
        <v>6169</v>
      </c>
      <c r="B2756" t="s">
        <v>6170</v>
      </c>
      <c r="E2756" t="s">
        <v>6170</v>
      </c>
    </row>
    <row r="2757" spans="1:9" x14ac:dyDescent="0.3">
      <c r="A2757" t="s">
        <v>6171</v>
      </c>
      <c r="B2757" t="s">
        <v>6172</v>
      </c>
      <c r="C2757">
        <v>0.75</v>
      </c>
      <c r="D2757" t="s">
        <v>23</v>
      </c>
      <c r="E2757" t="s">
        <v>6173</v>
      </c>
    </row>
    <row r="2758" spans="1:9" x14ac:dyDescent="0.3">
      <c r="A2758" t="s">
        <v>6174</v>
      </c>
      <c r="B2758" t="s">
        <v>3724</v>
      </c>
      <c r="E2758" t="s">
        <v>3724</v>
      </c>
    </row>
    <row r="2759" spans="1:9" x14ac:dyDescent="0.3">
      <c r="A2759" t="s">
        <v>6175</v>
      </c>
      <c r="B2759" t="s">
        <v>6176</v>
      </c>
      <c r="C2759">
        <v>1.5</v>
      </c>
      <c r="D2759" t="s">
        <v>91</v>
      </c>
      <c r="E2759" t="s">
        <v>6177</v>
      </c>
    </row>
    <row r="2760" spans="1:9" x14ac:dyDescent="0.3">
      <c r="A2760" t="s">
        <v>6178</v>
      </c>
      <c r="B2760" t="s">
        <v>3977</v>
      </c>
      <c r="E2760" t="s">
        <v>3977</v>
      </c>
    </row>
    <row r="2761" spans="1:9" x14ac:dyDescent="0.3">
      <c r="A2761" t="s">
        <v>6179</v>
      </c>
      <c r="B2761" t="s">
        <v>2138</v>
      </c>
      <c r="E2761" t="s">
        <v>2138</v>
      </c>
    </row>
    <row r="2762" spans="1:9" x14ac:dyDescent="0.3">
      <c r="A2762" t="s">
        <v>6065</v>
      </c>
      <c r="B2762" t="s">
        <v>6180</v>
      </c>
      <c r="C2762">
        <v>1</v>
      </c>
      <c r="D2762" t="s">
        <v>1338</v>
      </c>
      <c r="E2762" t="s">
        <v>61</v>
      </c>
    </row>
    <row r="2763" spans="1:9" x14ac:dyDescent="0.3">
      <c r="A2763" t="s">
        <v>6181</v>
      </c>
      <c r="B2763" t="s">
        <v>6182</v>
      </c>
      <c r="C2763">
        <v>1</v>
      </c>
      <c r="D2763" t="s">
        <v>23</v>
      </c>
      <c r="E2763" t="s">
        <v>3679</v>
      </c>
    </row>
    <row r="2764" spans="1:9" x14ac:dyDescent="0.3">
      <c r="A2764" t="s">
        <v>6183</v>
      </c>
      <c r="B2764" t="s">
        <v>6184</v>
      </c>
      <c r="C2764">
        <v>2</v>
      </c>
      <c r="D2764" t="s">
        <v>1212</v>
      </c>
      <c r="E2764" t="s">
        <v>237</v>
      </c>
    </row>
    <row r="2765" spans="1:9" x14ac:dyDescent="0.3">
      <c r="A2765" t="s">
        <v>6185</v>
      </c>
      <c r="B2765" t="s">
        <v>6186</v>
      </c>
      <c r="C2765">
        <v>1</v>
      </c>
      <c r="E2765" t="s">
        <v>6187</v>
      </c>
      <c r="I2765" t="s">
        <v>248</v>
      </c>
    </row>
    <row r="2766" spans="1:9" x14ac:dyDescent="0.3">
      <c r="A2766" t="s">
        <v>6188</v>
      </c>
      <c r="B2766" t="s">
        <v>6189</v>
      </c>
      <c r="C2766">
        <v>1</v>
      </c>
      <c r="D2766" t="s">
        <v>11</v>
      </c>
      <c r="E2766" t="s">
        <v>2446</v>
      </c>
    </row>
    <row r="2767" spans="1:9" x14ac:dyDescent="0.3">
      <c r="A2767" t="s">
        <v>6190</v>
      </c>
      <c r="B2767" t="s">
        <v>6191</v>
      </c>
      <c r="E2767" t="s">
        <v>413</v>
      </c>
      <c r="I2767" t="s">
        <v>1572</v>
      </c>
    </row>
    <row r="2768" spans="1:9" x14ac:dyDescent="0.3">
      <c r="A2768" t="s">
        <v>5761</v>
      </c>
      <c r="B2768" t="s">
        <v>1959</v>
      </c>
      <c r="C2768">
        <v>1</v>
      </c>
      <c r="D2768" t="s">
        <v>18</v>
      </c>
      <c r="E2768" t="s">
        <v>1223</v>
      </c>
    </row>
    <row r="2769" spans="1:9" x14ac:dyDescent="0.3">
      <c r="A2769" t="s">
        <v>6192</v>
      </c>
      <c r="B2769" t="s">
        <v>6193</v>
      </c>
      <c r="C2769">
        <v>2</v>
      </c>
      <c r="D2769" t="s">
        <v>189</v>
      </c>
      <c r="E2769" t="s">
        <v>3576</v>
      </c>
    </row>
    <row r="2770" spans="1:9" x14ac:dyDescent="0.3">
      <c r="A2770" t="s">
        <v>6194</v>
      </c>
      <c r="B2770" t="s">
        <v>6195</v>
      </c>
      <c r="C2770">
        <v>1</v>
      </c>
      <c r="D2770" t="s">
        <v>23</v>
      </c>
      <c r="E2770" t="s">
        <v>6196</v>
      </c>
    </row>
    <row r="2771" spans="1:9" x14ac:dyDescent="0.3">
      <c r="A2771" t="s">
        <v>392</v>
      </c>
      <c r="B2771" t="s">
        <v>6197</v>
      </c>
      <c r="C2771">
        <v>1</v>
      </c>
      <c r="D2771" t="s">
        <v>111</v>
      </c>
      <c r="E2771" t="s">
        <v>6198</v>
      </c>
    </row>
    <row r="2772" spans="1:9" x14ac:dyDescent="0.3">
      <c r="A2772" t="s">
        <v>6199</v>
      </c>
      <c r="B2772" t="s">
        <v>6200</v>
      </c>
      <c r="C2772">
        <v>5</v>
      </c>
      <c r="E2772" t="s">
        <v>538</v>
      </c>
    </row>
    <row r="2773" spans="1:9" x14ac:dyDescent="0.3">
      <c r="A2773" t="s">
        <v>6201</v>
      </c>
      <c r="B2773" t="s">
        <v>6202</v>
      </c>
      <c r="C2773">
        <v>6</v>
      </c>
      <c r="E2773" t="s">
        <v>1506</v>
      </c>
    </row>
    <row r="2774" spans="1:9" x14ac:dyDescent="0.3">
      <c r="A2774" t="s">
        <v>6203</v>
      </c>
      <c r="B2774" t="s">
        <v>6204</v>
      </c>
      <c r="C2774">
        <v>0.5</v>
      </c>
      <c r="D2774" t="s">
        <v>23</v>
      </c>
      <c r="E2774" t="s">
        <v>641</v>
      </c>
    </row>
    <row r="2775" spans="1:9" x14ac:dyDescent="0.3">
      <c r="A2775" t="s">
        <v>6205</v>
      </c>
      <c r="B2775" t="s">
        <v>4458</v>
      </c>
      <c r="C2775">
        <v>0.5</v>
      </c>
      <c r="D2775" t="s">
        <v>37</v>
      </c>
      <c r="E2775" t="s">
        <v>38</v>
      </c>
    </row>
    <row r="2776" spans="1:9" x14ac:dyDescent="0.3">
      <c r="A2776" t="s">
        <v>6206</v>
      </c>
      <c r="B2776" t="s">
        <v>6207</v>
      </c>
      <c r="C2776">
        <v>30</v>
      </c>
      <c r="D2776" t="s">
        <v>29</v>
      </c>
      <c r="E2776" t="s">
        <v>233</v>
      </c>
    </row>
    <row r="2777" spans="1:9" x14ac:dyDescent="0.3">
      <c r="A2777" t="s">
        <v>6208</v>
      </c>
      <c r="B2777" t="s">
        <v>6209</v>
      </c>
      <c r="C2777">
        <v>1</v>
      </c>
      <c r="D2777" t="s">
        <v>23</v>
      </c>
      <c r="E2777" t="s">
        <v>877</v>
      </c>
      <c r="I2777" t="s">
        <v>6210</v>
      </c>
    </row>
    <row r="2778" spans="1:9" x14ac:dyDescent="0.3">
      <c r="A2778" t="s">
        <v>6211</v>
      </c>
      <c r="B2778" t="s">
        <v>6212</v>
      </c>
      <c r="C2778">
        <v>2.5</v>
      </c>
      <c r="D2778" t="s">
        <v>227</v>
      </c>
      <c r="E2778" t="s">
        <v>1476</v>
      </c>
    </row>
    <row r="2779" spans="1:9" x14ac:dyDescent="0.3">
      <c r="A2779" t="s">
        <v>6213</v>
      </c>
      <c r="B2779" t="s">
        <v>6214</v>
      </c>
      <c r="C2779">
        <v>1</v>
      </c>
      <c r="D2779" t="s">
        <v>284</v>
      </c>
      <c r="E2779" t="s">
        <v>413</v>
      </c>
      <c r="F2779" t="s">
        <v>1571</v>
      </c>
      <c r="I2779" t="s">
        <v>4067</v>
      </c>
    </row>
    <row r="2780" spans="1:9" x14ac:dyDescent="0.3">
      <c r="A2780" t="s">
        <v>1127</v>
      </c>
      <c r="B2780" t="s">
        <v>5717</v>
      </c>
      <c r="C2780">
        <v>2</v>
      </c>
      <c r="D2780" t="s">
        <v>91</v>
      </c>
      <c r="E2780" t="s">
        <v>1627</v>
      </c>
      <c r="I2780" t="s">
        <v>1628</v>
      </c>
    </row>
    <row r="2781" spans="1:9" x14ac:dyDescent="0.3">
      <c r="A2781" t="s">
        <v>6215</v>
      </c>
      <c r="B2781" t="s">
        <v>6216</v>
      </c>
      <c r="E2781" t="s">
        <v>6217</v>
      </c>
      <c r="I2781" t="s">
        <v>6218</v>
      </c>
    </row>
    <row r="2782" spans="1:9" x14ac:dyDescent="0.3">
      <c r="A2782" t="s">
        <v>6219</v>
      </c>
      <c r="B2782" t="s">
        <v>6220</v>
      </c>
      <c r="C2782">
        <v>0.5</v>
      </c>
      <c r="D2782" t="s">
        <v>361</v>
      </c>
      <c r="E2782" t="s">
        <v>626</v>
      </c>
      <c r="G2782" t="s">
        <v>2655</v>
      </c>
    </row>
    <row r="2783" spans="1:9" x14ac:dyDescent="0.3">
      <c r="A2783" t="s">
        <v>4015</v>
      </c>
      <c r="B2783" t="s">
        <v>6221</v>
      </c>
      <c r="C2783">
        <v>60</v>
      </c>
      <c r="D2783" t="s">
        <v>29</v>
      </c>
      <c r="E2783" t="s">
        <v>6222</v>
      </c>
      <c r="I2783" t="s">
        <v>342</v>
      </c>
    </row>
    <row r="2784" spans="1:9" x14ac:dyDescent="0.3">
      <c r="A2784" t="s">
        <v>5240</v>
      </c>
      <c r="B2784" t="s">
        <v>6223</v>
      </c>
      <c r="C2784">
        <v>1</v>
      </c>
      <c r="D2784" t="s">
        <v>270</v>
      </c>
      <c r="E2784" t="s">
        <v>6224</v>
      </c>
      <c r="I2784" t="s">
        <v>6225</v>
      </c>
    </row>
    <row r="2785" spans="1:9" x14ac:dyDescent="0.3">
      <c r="A2785" t="s">
        <v>6226</v>
      </c>
      <c r="B2785" t="s">
        <v>6227</v>
      </c>
      <c r="C2785">
        <v>2</v>
      </c>
      <c r="D2785" t="s">
        <v>23</v>
      </c>
      <c r="E2785" t="s">
        <v>712</v>
      </c>
    </row>
    <row r="2786" spans="1:9" x14ac:dyDescent="0.3">
      <c r="A2786" t="s">
        <v>6228</v>
      </c>
      <c r="B2786" t="s">
        <v>6229</v>
      </c>
      <c r="C2786" t="s">
        <v>6230</v>
      </c>
      <c r="D2786" t="s">
        <v>23</v>
      </c>
      <c r="E2786" t="s">
        <v>1436</v>
      </c>
      <c r="I2786" t="s">
        <v>289</v>
      </c>
    </row>
    <row r="2787" spans="1:9" x14ac:dyDescent="0.3">
      <c r="A2787" t="s">
        <v>6231</v>
      </c>
      <c r="B2787" t="s">
        <v>5563</v>
      </c>
      <c r="C2787">
        <v>1</v>
      </c>
      <c r="D2787" t="s">
        <v>23</v>
      </c>
      <c r="E2787" t="s">
        <v>5564</v>
      </c>
    </row>
    <row r="2788" spans="1:9" x14ac:dyDescent="0.3">
      <c r="A2788" t="s">
        <v>6232</v>
      </c>
      <c r="B2788" t="s">
        <v>6233</v>
      </c>
      <c r="C2788">
        <v>2</v>
      </c>
      <c r="D2788" t="s">
        <v>23</v>
      </c>
      <c r="E2788" t="s">
        <v>230</v>
      </c>
    </row>
    <row r="2789" spans="1:9" x14ac:dyDescent="0.3">
      <c r="A2789" t="s">
        <v>6234</v>
      </c>
      <c r="B2789" t="s">
        <v>6235</v>
      </c>
      <c r="C2789">
        <v>2</v>
      </c>
      <c r="D2789" t="s">
        <v>91</v>
      </c>
      <c r="E2789" t="s">
        <v>6236</v>
      </c>
      <c r="I2789" t="s">
        <v>654</v>
      </c>
    </row>
    <row r="2790" spans="1:9" x14ac:dyDescent="0.3">
      <c r="A2790" t="s">
        <v>6237</v>
      </c>
      <c r="B2790" t="s">
        <v>5192</v>
      </c>
      <c r="C2790">
        <v>2</v>
      </c>
      <c r="D2790" t="s">
        <v>23</v>
      </c>
      <c r="E2790" t="s">
        <v>233</v>
      </c>
    </row>
    <row r="2791" spans="1:9" x14ac:dyDescent="0.3">
      <c r="A2791" t="s">
        <v>6238</v>
      </c>
      <c r="B2791" t="s">
        <v>1179</v>
      </c>
      <c r="C2791">
        <v>1</v>
      </c>
      <c r="D2791" t="s">
        <v>23</v>
      </c>
      <c r="E2791" t="s">
        <v>233</v>
      </c>
    </row>
    <row r="2792" spans="1:9" x14ac:dyDescent="0.3">
      <c r="A2792" t="s">
        <v>6239</v>
      </c>
      <c r="B2792" t="s">
        <v>6240</v>
      </c>
      <c r="C2792">
        <v>2</v>
      </c>
      <c r="D2792" t="s">
        <v>189</v>
      </c>
      <c r="E2792" t="s">
        <v>2214</v>
      </c>
      <c r="I2792" t="s">
        <v>6241</v>
      </c>
    </row>
    <row r="2793" spans="1:9" x14ac:dyDescent="0.3">
      <c r="A2793" t="s">
        <v>6242</v>
      </c>
      <c r="B2793" t="s">
        <v>3655</v>
      </c>
      <c r="C2793">
        <v>1.5</v>
      </c>
      <c r="D2793" t="s">
        <v>23</v>
      </c>
      <c r="E2793" t="s">
        <v>299</v>
      </c>
    </row>
    <row r="2794" spans="1:9" x14ac:dyDescent="0.3">
      <c r="A2794" t="s">
        <v>2333</v>
      </c>
      <c r="B2794" t="s">
        <v>6243</v>
      </c>
      <c r="C2794">
        <v>0.5</v>
      </c>
      <c r="D2794" t="s">
        <v>23</v>
      </c>
      <c r="E2794" t="s">
        <v>6244</v>
      </c>
      <c r="I2794" t="s">
        <v>289</v>
      </c>
    </row>
    <row r="2795" spans="1:9" x14ac:dyDescent="0.3">
      <c r="A2795" t="s">
        <v>6245</v>
      </c>
      <c r="B2795" t="s">
        <v>6246</v>
      </c>
      <c r="E2795" t="s">
        <v>6246</v>
      </c>
    </row>
    <row r="2796" spans="1:9" x14ac:dyDescent="0.3">
      <c r="A2796" t="s">
        <v>6247</v>
      </c>
      <c r="B2796" t="s">
        <v>6248</v>
      </c>
      <c r="C2796">
        <v>0.5</v>
      </c>
      <c r="D2796" t="s">
        <v>23</v>
      </c>
      <c r="E2796" t="s">
        <v>6249</v>
      </c>
    </row>
    <row r="2797" spans="1:9" x14ac:dyDescent="0.3">
      <c r="A2797" t="s">
        <v>6250</v>
      </c>
      <c r="B2797" t="s">
        <v>6251</v>
      </c>
      <c r="C2797">
        <v>0.5</v>
      </c>
      <c r="D2797" t="s">
        <v>11</v>
      </c>
      <c r="E2797" t="s">
        <v>2115</v>
      </c>
    </row>
    <row r="2798" spans="1:9" x14ac:dyDescent="0.3">
      <c r="A2798" t="s">
        <v>6252</v>
      </c>
      <c r="B2798" t="s">
        <v>6253</v>
      </c>
      <c r="C2798">
        <v>0.5</v>
      </c>
      <c r="D2798" t="s">
        <v>23</v>
      </c>
      <c r="E2798" t="s">
        <v>108</v>
      </c>
    </row>
    <row r="2799" spans="1:9" x14ac:dyDescent="0.3">
      <c r="A2799" t="s">
        <v>6254</v>
      </c>
      <c r="B2799" t="s">
        <v>6255</v>
      </c>
      <c r="C2799">
        <v>20</v>
      </c>
      <c r="D2799" t="s">
        <v>29</v>
      </c>
      <c r="E2799" t="s">
        <v>6256</v>
      </c>
    </row>
    <row r="2800" spans="1:9" x14ac:dyDescent="0.3">
      <c r="A2800" t="s">
        <v>6257</v>
      </c>
      <c r="B2800" t="s">
        <v>3488</v>
      </c>
      <c r="D2800" t="s">
        <v>33</v>
      </c>
      <c r="E2800" t="s">
        <v>1056</v>
      </c>
    </row>
    <row r="2801" spans="1:9" x14ac:dyDescent="0.3">
      <c r="A2801" t="s">
        <v>6258</v>
      </c>
      <c r="B2801" t="s">
        <v>1976</v>
      </c>
      <c r="C2801">
        <v>1</v>
      </c>
      <c r="E2801" t="s">
        <v>1977</v>
      </c>
    </row>
    <row r="2802" spans="1:9" x14ac:dyDescent="0.3">
      <c r="A2802" t="s">
        <v>4566</v>
      </c>
      <c r="B2802" t="s">
        <v>6259</v>
      </c>
      <c r="C2802">
        <v>1</v>
      </c>
      <c r="E2802" t="s">
        <v>4142</v>
      </c>
    </row>
    <row r="2803" spans="1:9" x14ac:dyDescent="0.3">
      <c r="A2803" t="s">
        <v>6260</v>
      </c>
      <c r="B2803" t="s">
        <v>6261</v>
      </c>
      <c r="C2803">
        <v>2</v>
      </c>
      <c r="D2803" t="s">
        <v>345</v>
      </c>
    </row>
    <row r="2804" spans="1:9" x14ac:dyDescent="0.3">
      <c r="A2804" t="s">
        <v>6262</v>
      </c>
      <c r="B2804" t="s">
        <v>3320</v>
      </c>
      <c r="C2804">
        <v>1</v>
      </c>
      <c r="D2804" t="s">
        <v>460</v>
      </c>
      <c r="E2804" t="s">
        <v>2348</v>
      </c>
      <c r="I2804" t="s">
        <v>20</v>
      </c>
    </row>
    <row r="2805" spans="1:9" x14ac:dyDescent="0.3">
      <c r="A2805" t="s">
        <v>6263</v>
      </c>
      <c r="B2805" t="s">
        <v>518</v>
      </c>
      <c r="E2805" t="s">
        <v>518</v>
      </c>
    </row>
    <row r="2806" spans="1:9" x14ac:dyDescent="0.3">
      <c r="A2806" t="s">
        <v>6264</v>
      </c>
      <c r="B2806" t="s">
        <v>4793</v>
      </c>
      <c r="C2806">
        <v>1.5</v>
      </c>
      <c r="D2806" t="s">
        <v>23</v>
      </c>
      <c r="E2806" t="s">
        <v>1003</v>
      </c>
    </row>
    <row r="2807" spans="1:9" x14ac:dyDescent="0.3">
      <c r="A2807" t="s">
        <v>6265</v>
      </c>
      <c r="B2807" t="s">
        <v>607</v>
      </c>
      <c r="C2807">
        <v>0.5</v>
      </c>
      <c r="D2807" t="s">
        <v>23</v>
      </c>
      <c r="E2807" t="s">
        <v>292</v>
      </c>
    </row>
    <row r="2808" spans="1:9" x14ac:dyDescent="0.3">
      <c r="A2808" t="s">
        <v>6266</v>
      </c>
      <c r="B2808" t="s">
        <v>6267</v>
      </c>
      <c r="C2808">
        <v>3</v>
      </c>
      <c r="D2808" t="s">
        <v>189</v>
      </c>
      <c r="E2808" t="s">
        <v>6268</v>
      </c>
    </row>
    <row r="2809" spans="1:9" x14ac:dyDescent="0.3">
      <c r="A2809" t="s">
        <v>6269</v>
      </c>
      <c r="B2809" t="s">
        <v>4579</v>
      </c>
      <c r="C2809">
        <v>1</v>
      </c>
      <c r="E2809" t="s">
        <v>4580</v>
      </c>
    </row>
    <row r="2810" spans="1:9" x14ac:dyDescent="0.3">
      <c r="A2810" t="s">
        <v>6270</v>
      </c>
      <c r="B2810" t="s">
        <v>1002</v>
      </c>
      <c r="C2810">
        <v>2</v>
      </c>
      <c r="D2810" t="s">
        <v>23</v>
      </c>
      <c r="E2810" t="s">
        <v>1003</v>
      </c>
    </row>
    <row r="2811" spans="1:9" x14ac:dyDescent="0.3">
      <c r="A2811" t="s">
        <v>6271</v>
      </c>
      <c r="B2811" t="s">
        <v>6272</v>
      </c>
      <c r="C2811">
        <v>90</v>
      </c>
      <c r="D2811" t="s">
        <v>29</v>
      </c>
      <c r="E2811" t="s">
        <v>6273</v>
      </c>
    </row>
    <row r="2812" spans="1:9" x14ac:dyDescent="0.3">
      <c r="A2812" t="s">
        <v>492</v>
      </c>
      <c r="B2812" t="s">
        <v>5496</v>
      </c>
      <c r="C2812">
        <v>0.25</v>
      </c>
      <c r="D2812" t="s">
        <v>23</v>
      </c>
      <c r="E2812" t="s">
        <v>38</v>
      </c>
    </row>
    <row r="2813" spans="1:9" x14ac:dyDescent="0.3">
      <c r="A2813" t="s">
        <v>6274</v>
      </c>
      <c r="B2813" t="s">
        <v>6275</v>
      </c>
      <c r="C2813">
        <v>1.5</v>
      </c>
      <c r="D2813" t="s">
        <v>23</v>
      </c>
      <c r="E2813" t="s">
        <v>6276</v>
      </c>
    </row>
    <row r="2814" spans="1:9" x14ac:dyDescent="0.3">
      <c r="A2814" t="s">
        <v>6277</v>
      </c>
      <c r="B2814" t="s">
        <v>3019</v>
      </c>
      <c r="C2814">
        <v>1.5</v>
      </c>
      <c r="D2814" t="s">
        <v>23</v>
      </c>
      <c r="E2814" t="s">
        <v>1209</v>
      </c>
    </row>
    <row r="2815" spans="1:9" x14ac:dyDescent="0.3">
      <c r="A2815" t="s">
        <v>2029</v>
      </c>
      <c r="B2815" t="s">
        <v>6278</v>
      </c>
      <c r="C2815">
        <v>12</v>
      </c>
      <c r="D2815" t="s">
        <v>23</v>
      </c>
      <c r="E2815" t="s">
        <v>6279</v>
      </c>
    </row>
    <row r="2816" spans="1:9" x14ac:dyDescent="0.3">
      <c r="A2816" t="s">
        <v>6280</v>
      </c>
      <c r="B2816" t="s">
        <v>6281</v>
      </c>
      <c r="C2816">
        <v>10.5</v>
      </c>
      <c r="D2816" t="s">
        <v>91</v>
      </c>
      <c r="E2816" t="s">
        <v>6282</v>
      </c>
      <c r="I2816" t="s">
        <v>654</v>
      </c>
    </row>
    <row r="2817" spans="1:9" x14ac:dyDescent="0.3">
      <c r="A2817" t="s">
        <v>5677</v>
      </c>
      <c r="B2817" t="s">
        <v>6283</v>
      </c>
      <c r="C2817">
        <v>1.5</v>
      </c>
      <c r="D2817" t="s">
        <v>23</v>
      </c>
      <c r="E2817" t="s">
        <v>292</v>
      </c>
    </row>
    <row r="2818" spans="1:9" x14ac:dyDescent="0.3">
      <c r="A2818" t="s">
        <v>6284</v>
      </c>
      <c r="B2818" t="s">
        <v>6285</v>
      </c>
      <c r="C2818">
        <v>10.5</v>
      </c>
      <c r="D2818" t="s">
        <v>91</v>
      </c>
      <c r="E2818" t="s">
        <v>6286</v>
      </c>
      <c r="I2818" t="s">
        <v>1565</v>
      </c>
    </row>
    <row r="2819" spans="1:9" x14ac:dyDescent="0.3">
      <c r="A2819" t="s">
        <v>6287</v>
      </c>
      <c r="B2819" t="s">
        <v>6288</v>
      </c>
      <c r="C2819">
        <v>4</v>
      </c>
      <c r="D2819" t="s">
        <v>91</v>
      </c>
      <c r="E2819" t="s">
        <v>3442</v>
      </c>
      <c r="H2819" t="s">
        <v>3058</v>
      </c>
    </row>
    <row r="2820" spans="1:9" x14ac:dyDescent="0.3">
      <c r="A2820" t="s">
        <v>6289</v>
      </c>
      <c r="B2820" t="s">
        <v>6290</v>
      </c>
      <c r="C2820">
        <v>1.5</v>
      </c>
      <c r="D2820" t="s">
        <v>23</v>
      </c>
      <c r="E2820" t="s">
        <v>6291</v>
      </c>
    </row>
    <row r="2821" spans="1:9" x14ac:dyDescent="0.3">
      <c r="A2821" t="s">
        <v>710</v>
      </c>
      <c r="B2821" t="s">
        <v>935</v>
      </c>
      <c r="C2821">
        <v>1</v>
      </c>
      <c r="D2821" t="s">
        <v>23</v>
      </c>
      <c r="E2821" t="s">
        <v>936</v>
      </c>
    </row>
    <row r="2822" spans="1:9" x14ac:dyDescent="0.3">
      <c r="A2822" t="s">
        <v>6292</v>
      </c>
      <c r="B2822" t="s">
        <v>6293</v>
      </c>
      <c r="C2822">
        <v>0.5</v>
      </c>
      <c r="E2822" t="s">
        <v>3366</v>
      </c>
    </row>
    <row r="2823" spans="1:9" x14ac:dyDescent="0.3">
      <c r="A2823" t="s">
        <v>6294</v>
      </c>
      <c r="B2823" t="s">
        <v>6295</v>
      </c>
      <c r="C2823">
        <v>1</v>
      </c>
      <c r="D2823" t="s">
        <v>23</v>
      </c>
      <c r="E2823" t="s">
        <v>6296</v>
      </c>
      <c r="I2823" t="s">
        <v>6297</v>
      </c>
    </row>
    <row r="2824" spans="1:9" x14ac:dyDescent="0.3">
      <c r="A2824" t="s">
        <v>6298</v>
      </c>
      <c r="B2824" t="s">
        <v>4467</v>
      </c>
      <c r="C2824">
        <v>0.5</v>
      </c>
      <c r="D2824" t="s">
        <v>23</v>
      </c>
      <c r="E2824" t="s">
        <v>936</v>
      </c>
    </row>
    <row r="2825" spans="1:9" x14ac:dyDescent="0.3">
      <c r="A2825" t="s">
        <v>6299</v>
      </c>
      <c r="B2825" t="s">
        <v>6300</v>
      </c>
      <c r="C2825">
        <v>2</v>
      </c>
      <c r="D2825" t="s">
        <v>91</v>
      </c>
      <c r="E2825" t="s">
        <v>3092</v>
      </c>
      <c r="I2825" t="s">
        <v>654</v>
      </c>
    </row>
    <row r="2826" spans="1:9" x14ac:dyDescent="0.3">
      <c r="A2826" t="s">
        <v>6301</v>
      </c>
      <c r="B2826" t="s">
        <v>6302</v>
      </c>
      <c r="C2826">
        <v>15</v>
      </c>
      <c r="D2826" t="s">
        <v>29</v>
      </c>
      <c r="E2826" t="s">
        <v>6303</v>
      </c>
    </row>
    <row r="2827" spans="1:9" x14ac:dyDescent="0.3">
      <c r="A2827" t="s">
        <v>6304</v>
      </c>
      <c r="B2827" t="s">
        <v>6305</v>
      </c>
      <c r="C2827">
        <v>2</v>
      </c>
      <c r="D2827" t="s">
        <v>71</v>
      </c>
      <c r="E2827" t="s">
        <v>183</v>
      </c>
    </row>
    <row r="2828" spans="1:9" x14ac:dyDescent="0.3">
      <c r="A2828" t="s">
        <v>6306</v>
      </c>
      <c r="B2828" t="s">
        <v>5496</v>
      </c>
      <c r="C2828">
        <v>0.25</v>
      </c>
      <c r="D2828" t="s">
        <v>23</v>
      </c>
      <c r="E2828" t="s">
        <v>38</v>
      </c>
    </row>
    <row r="2829" spans="1:9" x14ac:dyDescent="0.3">
      <c r="A2829" t="s">
        <v>6307</v>
      </c>
      <c r="B2829" t="s">
        <v>6308</v>
      </c>
      <c r="C2829">
        <v>1</v>
      </c>
      <c r="D2829" t="s">
        <v>6309</v>
      </c>
      <c r="E2829" t="s">
        <v>6310</v>
      </c>
      <c r="I2829" t="s">
        <v>289</v>
      </c>
    </row>
    <row r="2830" spans="1:9" x14ac:dyDescent="0.3">
      <c r="A2830" t="s">
        <v>2105</v>
      </c>
      <c r="B2830" t="s">
        <v>6311</v>
      </c>
      <c r="C2830">
        <v>1</v>
      </c>
      <c r="D2830" t="s">
        <v>18</v>
      </c>
      <c r="E2830" t="s">
        <v>6312</v>
      </c>
    </row>
    <row r="2831" spans="1:9" x14ac:dyDescent="0.3">
      <c r="A2831" t="s">
        <v>6313</v>
      </c>
      <c r="B2831" t="s">
        <v>6314</v>
      </c>
      <c r="C2831">
        <v>1</v>
      </c>
      <c r="D2831" t="s">
        <v>612</v>
      </c>
      <c r="E2831" t="s">
        <v>108</v>
      </c>
      <c r="I2831" t="s">
        <v>6315</v>
      </c>
    </row>
    <row r="2832" spans="1:9" x14ac:dyDescent="0.3">
      <c r="A2832" t="s">
        <v>6316</v>
      </c>
      <c r="B2832" t="s">
        <v>6317</v>
      </c>
      <c r="C2832">
        <v>1</v>
      </c>
      <c r="D2832" t="s">
        <v>18</v>
      </c>
      <c r="E2832" t="s">
        <v>6318</v>
      </c>
      <c r="I2832" t="s">
        <v>20</v>
      </c>
    </row>
    <row r="2833" spans="1:9" x14ac:dyDescent="0.3">
      <c r="A2833" t="s">
        <v>6319</v>
      </c>
      <c r="B2833" t="s">
        <v>6320</v>
      </c>
      <c r="C2833">
        <v>7</v>
      </c>
      <c r="D2833" t="s">
        <v>23</v>
      </c>
      <c r="E2833" t="s">
        <v>1816</v>
      </c>
      <c r="H2833" t="s">
        <v>3058</v>
      </c>
    </row>
    <row r="2834" spans="1:9" x14ac:dyDescent="0.3">
      <c r="A2834" t="s">
        <v>6321</v>
      </c>
      <c r="B2834" t="s">
        <v>6322</v>
      </c>
      <c r="D2834" t="s">
        <v>1212</v>
      </c>
      <c r="E2834" t="s">
        <v>163</v>
      </c>
      <c r="I2834" t="s">
        <v>2932</v>
      </c>
    </row>
    <row r="2835" spans="1:9" x14ac:dyDescent="0.3">
      <c r="A2835" t="s">
        <v>6323</v>
      </c>
      <c r="B2835" t="s">
        <v>6324</v>
      </c>
      <c r="C2835">
        <v>0.5</v>
      </c>
      <c r="E2835" t="s">
        <v>30</v>
      </c>
      <c r="I2835" t="s">
        <v>289</v>
      </c>
    </row>
    <row r="2836" spans="1:9" x14ac:dyDescent="0.3">
      <c r="A2836" t="s">
        <v>6325</v>
      </c>
      <c r="B2836" t="s">
        <v>6326</v>
      </c>
      <c r="C2836">
        <v>0.5</v>
      </c>
      <c r="D2836" t="s">
        <v>11</v>
      </c>
      <c r="E2836" t="s">
        <v>6327</v>
      </c>
    </row>
    <row r="2837" spans="1:9" x14ac:dyDescent="0.3">
      <c r="A2837" t="s">
        <v>6328</v>
      </c>
      <c r="B2837" t="s">
        <v>2955</v>
      </c>
      <c r="E2837" t="s">
        <v>2955</v>
      </c>
    </row>
    <row r="2838" spans="1:9" x14ac:dyDescent="0.3">
      <c r="A2838" t="s">
        <v>6329</v>
      </c>
      <c r="B2838" t="s">
        <v>6330</v>
      </c>
      <c r="C2838">
        <v>3</v>
      </c>
      <c r="D2838" t="s">
        <v>91</v>
      </c>
      <c r="E2838" t="s">
        <v>3366</v>
      </c>
      <c r="I2838" t="s">
        <v>5923</v>
      </c>
    </row>
    <row r="2839" spans="1:9" x14ac:dyDescent="0.3">
      <c r="A2839" t="s">
        <v>6331</v>
      </c>
      <c r="B2839" t="s">
        <v>4087</v>
      </c>
      <c r="C2839">
        <v>2</v>
      </c>
      <c r="D2839" t="s">
        <v>23</v>
      </c>
      <c r="E2839" t="s">
        <v>349</v>
      </c>
    </row>
    <row r="2840" spans="1:9" x14ac:dyDescent="0.3">
      <c r="A2840" t="s">
        <v>6332</v>
      </c>
      <c r="B2840" t="s">
        <v>6333</v>
      </c>
      <c r="C2840">
        <v>50</v>
      </c>
      <c r="D2840" t="s">
        <v>29</v>
      </c>
      <c r="E2840" t="s">
        <v>6334</v>
      </c>
    </row>
    <row r="2841" spans="1:9" x14ac:dyDescent="0.3">
      <c r="A2841" t="s">
        <v>6335</v>
      </c>
      <c r="B2841" t="s">
        <v>6336</v>
      </c>
      <c r="C2841">
        <v>0.25</v>
      </c>
      <c r="D2841" t="s">
        <v>37</v>
      </c>
      <c r="E2841" t="s">
        <v>38</v>
      </c>
    </row>
    <row r="2842" spans="1:9" x14ac:dyDescent="0.3">
      <c r="A2842" t="s">
        <v>6337</v>
      </c>
      <c r="B2842" t="s">
        <v>1173</v>
      </c>
      <c r="E2842" t="s">
        <v>1173</v>
      </c>
    </row>
    <row r="2843" spans="1:9" x14ac:dyDescent="0.3">
      <c r="A2843" t="s">
        <v>6338</v>
      </c>
      <c r="B2843" t="s">
        <v>6339</v>
      </c>
      <c r="C2843">
        <v>50</v>
      </c>
      <c r="D2843" t="s">
        <v>29</v>
      </c>
      <c r="E2843" t="s">
        <v>6340</v>
      </c>
    </row>
    <row r="2844" spans="1:9" x14ac:dyDescent="0.3">
      <c r="A2844" t="s">
        <v>6341</v>
      </c>
      <c r="B2844" t="s">
        <v>188</v>
      </c>
      <c r="C2844">
        <v>2</v>
      </c>
      <c r="D2844" t="s">
        <v>189</v>
      </c>
      <c r="E2844" t="s">
        <v>190</v>
      </c>
    </row>
    <row r="2845" spans="1:9" x14ac:dyDescent="0.3">
      <c r="A2845" t="s">
        <v>161</v>
      </c>
      <c r="B2845" t="s">
        <v>6342</v>
      </c>
      <c r="C2845">
        <v>1</v>
      </c>
      <c r="D2845" t="s">
        <v>33</v>
      </c>
      <c r="E2845" t="s">
        <v>1984</v>
      </c>
    </row>
    <row r="2846" spans="1:9" x14ac:dyDescent="0.3">
      <c r="A2846" t="s">
        <v>6343</v>
      </c>
      <c r="B2846" t="s">
        <v>6344</v>
      </c>
      <c r="E2846" t="s">
        <v>743</v>
      </c>
      <c r="I2846" t="s">
        <v>164</v>
      </c>
    </row>
    <row r="2847" spans="1:9" x14ac:dyDescent="0.3">
      <c r="A2847" t="s">
        <v>6345</v>
      </c>
      <c r="B2847" t="s">
        <v>6300</v>
      </c>
      <c r="C2847">
        <v>2</v>
      </c>
      <c r="D2847" t="s">
        <v>91</v>
      </c>
      <c r="E2847" t="s">
        <v>3092</v>
      </c>
      <c r="I2847" t="s">
        <v>654</v>
      </c>
    </row>
    <row r="2848" spans="1:9" x14ac:dyDescent="0.3">
      <c r="A2848" t="s">
        <v>6346</v>
      </c>
      <c r="B2848" t="s">
        <v>6347</v>
      </c>
      <c r="C2848">
        <v>5</v>
      </c>
      <c r="D2848" t="s">
        <v>120</v>
      </c>
      <c r="E2848" t="s">
        <v>2424</v>
      </c>
    </row>
    <row r="2849" spans="1:9" x14ac:dyDescent="0.3">
      <c r="A2849" t="s">
        <v>1734</v>
      </c>
      <c r="B2849" t="s">
        <v>6348</v>
      </c>
      <c r="C2849">
        <v>0.5</v>
      </c>
      <c r="D2849" t="s">
        <v>37</v>
      </c>
      <c r="E2849" t="s">
        <v>6349</v>
      </c>
    </row>
    <row r="2850" spans="1:9" x14ac:dyDescent="0.3">
      <c r="A2850" t="s">
        <v>6350</v>
      </c>
      <c r="B2850" t="s">
        <v>6351</v>
      </c>
      <c r="C2850">
        <v>1</v>
      </c>
      <c r="E2850" t="s">
        <v>6352</v>
      </c>
      <c r="I2850" t="s">
        <v>248</v>
      </c>
    </row>
    <row r="2851" spans="1:9" x14ac:dyDescent="0.3">
      <c r="A2851" t="s">
        <v>6353</v>
      </c>
      <c r="B2851" t="s">
        <v>6354</v>
      </c>
      <c r="C2851">
        <v>1.25</v>
      </c>
      <c r="D2851" t="s">
        <v>23</v>
      </c>
      <c r="E2851" t="s">
        <v>1328</v>
      </c>
    </row>
    <row r="2852" spans="1:9" x14ac:dyDescent="0.3">
      <c r="A2852" t="s">
        <v>6355</v>
      </c>
      <c r="B2852" t="s">
        <v>6356</v>
      </c>
      <c r="C2852">
        <v>1</v>
      </c>
      <c r="E2852" t="s">
        <v>6357</v>
      </c>
      <c r="I2852" t="s">
        <v>654</v>
      </c>
    </row>
    <row r="2853" spans="1:9" x14ac:dyDescent="0.3">
      <c r="A2853" t="s">
        <v>6358</v>
      </c>
      <c r="B2853" t="s">
        <v>6359</v>
      </c>
      <c r="C2853" t="s">
        <v>665</v>
      </c>
      <c r="D2853" t="s">
        <v>345</v>
      </c>
      <c r="E2853" t="s">
        <v>3745</v>
      </c>
      <c r="H2853" t="s">
        <v>1078</v>
      </c>
      <c r="I2853" t="s">
        <v>6360</v>
      </c>
    </row>
    <row r="2854" spans="1:9" x14ac:dyDescent="0.3">
      <c r="A2854" t="s">
        <v>6361</v>
      </c>
      <c r="B2854" t="s">
        <v>6362</v>
      </c>
      <c r="C2854">
        <v>10</v>
      </c>
      <c r="D2854" t="s">
        <v>29</v>
      </c>
      <c r="E2854" t="s">
        <v>2776</v>
      </c>
    </row>
    <row r="2855" spans="1:9" x14ac:dyDescent="0.3">
      <c r="A2855" t="s">
        <v>6363</v>
      </c>
      <c r="B2855" t="s">
        <v>6364</v>
      </c>
      <c r="C2855">
        <v>60</v>
      </c>
      <c r="D2855" t="s">
        <v>29</v>
      </c>
      <c r="E2855" t="s">
        <v>6365</v>
      </c>
    </row>
    <row r="2856" spans="1:9" x14ac:dyDescent="0.3">
      <c r="A2856" t="s">
        <v>6366</v>
      </c>
      <c r="B2856" t="s">
        <v>5437</v>
      </c>
      <c r="E2856" t="s">
        <v>262</v>
      </c>
      <c r="I2856" t="s">
        <v>65</v>
      </c>
    </row>
    <row r="2857" spans="1:9" x14ac:dyDescent="0.3">
      <c r="A2857" t="s">
        <v>6367</v>
      </c>
      <c r="B2857" t="s">
        <v>6368</v>
      </c>
      <c r="E2857" t="s">
        <v>6368</v>
      </c>
    </row>
    <row r="2858" spans="1:9" x14ac:dyDescent="0.3">
      <c r="A2858" t="s">
        <v>6369</v>
      </c>
      <c r="B2858" t="s">
        <v>6370</v>
      </c>
      <c r="C2858">
        <v>1</v>
      </c>
      <c r="D2858" t="s">
        <v>23</v>
      </c>
      <c r="E2858" t="s">
        <v>6371</v>
      </c>
    </row>
    <row r="2859" spans="1:9" x14ac:dyDescent="0.3">
      <c r="A2859" t="s">
        <v>6372</v>
      </c>
      <c r="B2859" t="s">
        <v>6373</v>
      </c>
      <c r="C2859">
        <v>4</v>
      </c>
      <c r="D2859" t="s">
        <v>23</v>
      </c>
      <c r="E2859" t="s">
        <v>6374</v>
      </c>
    </row>
    <row r="2860" spans="1:9" x14ac:dyDescent="0.3">
      <c r="A2860" t="s">
        <v>6375</v>
      </c>
      <c r="B2860" t="s">
        <v>3496</v>
      </c>
      <c r="C2860">
        <v>2</v>
      </c>
      <c r="D2860" t="s">
        <v>23</v>
      </c>
      <c r="E2860" t="s">
        <v>281</v>
      </c>
    </row>
    <row r="2861" spans="1:9" x14ac:dyDescent="0.3">
      <c r="A2861" t="s">
        <v>902</v>
      </c>
      <c r="B2861" t="s">
        <v>1274</v>
      </c>
      <c r="C2861">
        <v>0.75</v>
      </c>
      <c r="D2861" t="s">
        <v>11</v>
      </c>
      <c r="E2861" t="s">
        <v>88</v>
      </c>
    </row>
    <row r="2862" spans="1:9" x14ac:dyDescent="0.3">
      <c r="A2862" t="s">
        <v>6376</v>
      </c>
      <c r="B2862" t="s">
        <v>6377</v>
      </c>
      <c r="C2862">
        <v>1</v>
      </c>
      <c r="D2862" t="s">
        <v>206</v>
      </c>
      <c r="E2862" t="s">
        <v>6378</v>
      </c>
    </row>
    <row r="2863" spans="1:9" x14ac:dyDescent="0.3">
      <c r="A2863" t="s">
        <v>6379</v>
      </c>
      <c r="B2863" t="s">
        <v>6380</v>
      </c>
      <c r="C2863">
        <v>2</v>
      </c>
      <c r="D2863" t="s">
        <v>23</v>
      </c>
      <c r="E2863" t="s">
        <v>6381</v>
      </c>
    </row>
    <row r="2864" spans="1:9" x14ac:dyDescent="0.3">
      <c r="A2864" t="s">
        <v>6382</v>
      </c>
      <c r="B2864" t="s">
        <v>4742</v>
      </c>
      <c r="C2864">
        <v>0.5</v>
      </c>
      <c r="D2864" t="s">
        <v>23</v>
      </c>
      <c r="E2864" t="s">
        <v>2496</v>
      </c>
    </row>
    <row r="2865" spans="1:9" x14ac:dyDescent="0.3">
      <c r="A2865" t="s">
        <v>6383</v>
      </c>
      <c r="B2865" t="s">
        <v>6384</v>
      </c>
      <c r="C2865" t="s">
        <v>1577</v>
      </c>
      <c r="D2865" t="s">
        <v>227</v>
      </c>
      <c r="E2865" t="s">
        <v>1594</v>
      </c>
      <c r="I2865" t="s">
        <v>1177</v>
      </c>
    </row>
    <row r="2866" spans="1:9" x14ac:dyDescent="0.3">
      <c r="A2866" t="s">
        <v>6385</v>
      </c>
      <c r="B2866" t="s">
        <v>6386</v>
      </c>
      <c r="C2866">
        <v>3</v>
      </c>
      <c r="D2866" t="s">
        <v>23</v>
      </c>
      <c r="E2866" t="s">
        <v>95</v>
      </c>
    </row>
    <row r="2867" spans="1:9" x14ac:dyDescent="0.3">
      <c r="A2867" t="s">
        <v>6387</v>
      </c>
      <c r="B2867" t="s">
        <v>1392</v>
      </c>
      <c r="C2867">
        <v>1</v>
      </c>
      <c r="D2867" t="s">
        <v>151</v>
      </c>
      <c r="E2867" t="s">
        <v>152</v>
      </c>
    </row>
    <row r="2868" spans="1:9" x14ac:dyDescent="0.3">
      <c r="A2868" t="s">
        <v>2265</v>
      </c>
      <c r="B2868" t="s">
        <v>6388</v>
      </c>
      <c r="C2868">
        <v>2</v>
      </c>
      <c r="D2868" t="s">
        <v>2267</v>
      </c>
      <c r="E2868" t="s">
        <v>6389</v>
      </c>
    </row>
    <row r="2869" spans="1:9" x14ac:dyDescent="0.3">
      <c r="A2869" t="s">
        <v>6390</v>
      </c>
      <c r="B2869" t="s">
        <v>6391</v>
      </c>
      <c r="C2869">
        <v>0.33</v>
      </c>
      <c r="D2869" t="s">
        <v>1785</v>
      </c>
      <c r="E2869" t="s">
        <v>2496</v>
      </c>
    </row>
    <row r="2870" spans="1:9" x14ac:dyDescent="0.3">
      <c r="A2870" t="s">
        <v>5694</v>
      </c>
      <c r="B2870" t="s">
        <v>6392</v>
      </c>
      <c r="C2870">
        <v>2</v>
      </c>
      <c r="D2870" t="s">
        <v>189</v>
      </c>
      <c r="E2870" t="s">
        <v>2214</v>
      </c>
    </row>
    <row r="2871" spans="1:9" x14ac:dyDescent="0.3">
      <c r="A2871" t="s">
        <v>6393</v>
      </c>
      <c r="B2871" t="s">
        <v>6394</v>
      </c>
      <c r="C2871">
        <v>1</v>
      </c>
      <c r="D2871" t="s">
        <v>361</v>
      </c>
      <c r="E2871" t="s">
        <v>2178</v>
      </c>
    </row>
    <row r="2872" spans="1:9" x14ac:dyDescent="0.3">
      <c r="A2872" t="s">
        <v>6264</v>
      </c>
      <c r="B2872" t="s">
        <v>743</v>
      </c>
      <c r="E2872" t="s">
        <v>743</v>
      </c>
    </row>
    <row r="2873" spans="1:9" x14ac:dyDescent="0.3">
      <c r="A2873" t="s">
        <v>6395</v>
      </c>
      <c r="B2873" t="s">
        <v>6396</v>
      </c>
      <c r="C2873">
        <v>0.75</v>
      </c>
      <c r="D2873" t="s">
        <v>37</v>
      </c>
      <c r="E2873" t="s">
        <v>6397</v>
      </c>
      <c r="I2873" t="s">
        <v>6398</v>
      </c>
    </row>
    <row r="2874" spans="1:9" x14ac:dyDescent="0.3">
      <c r="A2874" t="s">
        <v>6399</v>
      </c>
      <c r="B2874" t="s">
        <v>6400</v>
      </c>
      <c r="C2874">
        <v>0.25</v>
      </c>
      <c r="D2874" t="s">
        <v>11</v>
      </c>
      <c r="E2874" t="s">
        <v>605</v>
      </c>
      <c r="I2874" t="s">
        <v>20</v>
      </c>
    </row>
    <row r="2875" spans="1:9" x14ac:dyDescent="0.3">
      <c r="A2875" t="s">
        <v>6401</v>
      </c>
      <c r="B2875" t="s">
        <v>6402</v>
      </c>
      <c r="C2875">
        <v>1</v>
      </c>
      <c r="D2875" t="s">
        <v>23</v>
      </c>
      <c r="E2875" t="s">
        <v>3269</v>
      </c>
    </row>
    <row r="2876" spans="1:9" x14ac:dyDescent="0.3">
      <c r="A2876" t="s">
        <v>6403</v>
      </c>
      <c r="B2876" t="s">
        <v>6404</v>
      </c>
      <c r="E2876" t="s">
        <v>1087</v>
      </c>
      <c r="I2876" t="s">
        <v>65</v>
      </c>
    </row>
    <row r="2877" spans="1:9" x14ac:dyDescent="0.3">
      <c r="A2877" t="s">
        <v>3871</v>
      </c>
      <c r="B2877" t="s">
        <v>6405</v>
      </c>
      <c r="C2877">
        <v>1</v>
      </c>
      <c r="D2877" t="s">
        <v>23</v>
      </c>
      <c r="E2877" t="s">
        <v>6406</v>
      </c>
    </row>
    <row r="2878" spans="1:9" x14ac:dyDescent="0.3">
      <c r="A2878" t="s">
        <v>1174</v>
      </c>
      <c r="B2878" t="s">
        <v>5192</v>
      </c>
      <c r="C2878">
        <v>2</v>
      </c>
      <c r="D2878" t="s">
        <v>23</v>
      </c>
      <c r="E2878" t="s">
        <v>233</v>
      </c>
    </row>
    <row r="2879" spans="1:9" x14ac:dyDescent="0.3">
      <c r="A2879" t="s">
        <v>5131</v>
      </c>
      <c r="B2879" t="s">
        <v>6407</v>
      </c>
      <c r="C2879">
        <v>1</v>
      </c>
      <c r="D2879" t="s">
        <v>460</v>
      </c>
      <c r="E2879" t="s">
        <v>704</v>
      </c>
    </row>
    <row r="2880" spans="1:9" x14ac:dyDescent="0.3">
      <c r="A2880" t="s">
        <v>6408</v>
      </c>
      <c r="B2880" t="s">
        <v>1055</v>
      </c>
      <c r="C2880">
        <v>1</v>
      </c>
      <c r="D2880" t="s">
        <v>585</v>
      </c>
      <c r="E2880" t="s">
        <v>1056</v>
      </c>
      <c r="I2880" t="s">
        <v>248</v>
      </c>
    </row>
    <row r="2881" spans="1:9" x14ac:dyDescent="0.3">
      <c r="A2881" t="s">
        <v>6409</v>
      </c>
      <c r="B2881" t="s">
        <v>3975</v>
      </c>
      <c r="E2881" t="s">
        <v>253</v>
      </c>
      <c r="I2881" t="s">
        <v>3223</v>
      </c>
    </row>
    <row r="2882" spans="1:9" x14ac:dyDescent="0.3">
      <c r="A2882" t="s">
        <v>6410</v>
      </c>
      <c r="B2882" t="s">
        <v>6411</v>
      </c>
      <c r="C2882">
        <v>0.5</v>
      </c>
      <c r="D2882" t="s">
        <v>23</v>
      </c>
      <c r="E2882" t="s">
        <v>6412</v>
      </c>
    </row>
    <row r="2883" spans="1:9" x14ac:dyDescent="0.3">
      <c r="A2883" t="s">
        <v>6413</v>
      </c>
      <c r="B2883" t="s">
        <v>6414</v>
      </c>
      <c r="C2883">
        <v>20</v>
      </c>
      <c r="D2883" t="s">
        <v>29</v>
      </c>
      <c r="E2883" t="s">
        <v>4470</v>
      </c>
    </row>
    <row r="2884" spans="1:9" x14ac:dyDescent="0.3">
      <c r="A2884" t="s">
        <v>6415</v>
      </c>
      <c r="B2884" t="s">
        <v>1274</v>
      </c>
      <c r="C2884">
        <v>0.75</v>
      </c>
      <c r="D2884" t="s">
        <v>11</v>
      </c>
      <c r="E2884" t="s">
        <v>88</v>
      </c>
    </row>
    <row r="2885" spans="1:9" x14ac:dyDescent="0.3">
      <c r="A2885" t="s">
        <v>6416</v>
      </c>
      <c r="B2885" t="s">
        <v>3737</v>
      </c>
      <c r="C2885">
        <v>1</v>
      </c>
      <c r="D2885" t="s">
        <v>111</v>
      </c>
      <c r="E2885" t="s">
        <v>716</v>
      </c>
    </row>
    <row r="2886" spans="1:9" x14ac:dyDescent="0.3">
      <c r="A2886" t="s">
        <v>6417</v>
      </c>
      <c r="B2886" t="s">
        <v>6418</v>
      </c>
      <c r="D2886" t="s">
        <v>33</v>
      </c>
      <c r="E2886" t="s">
        <v>1056</v>
      </c>
      <c r="I2886" t="s">
        <v>1968</v>
      </c>
    </row>
    <row r="2887" spans="1:9" x14ac:dyDescent="0.3">
      <c r="A2887" t="s">
        <v>6419</v>
      </c>
      <c r="B2887" t="s">
        <v>1190</v>
      </c>
      <c r="C2887">
        <v>0.5</v>
      </c>
      <c r="D2887" t="s">
        <v>23</v>
      </c>
      <c r="E2887" t="s">
        <v>199</v>
      </c>
    </row>
    <row r="2888" spans="1:9" x14ac:dyDescent="0.3">
      <c r="A2888" t="s">
        <v>6420</v>
      </c>
      <c r="B2888" t="s">
        <v>6421</v>
      </c>
      <c r="C2888">
        <v>1</v>
      </c>
      <c r="D2888" t="s">
        <v>11</v>
      </c>
      <c r="E2888" t="s">
        <v>6422</v>
      </c>
    </row>
    <row r="2889" spans="1:9" x14ac:dyDescent="0.3">
      <c r="A2889" t="s">
        <v>4731</v>
      </c>
      <c r="B2889" t="s">
        <v>4224</v>
      </c>
      <c r="C2889">
        <v>1</v>
      </c>
      <c r="D2889" t="s">
        <v>23</v>
      </c>
      <c r="E2889" t="s">
        <v>716</v>
      </c>
    </row>
    <row r="2890" spans="1:9" x14ac:dyDescent="0.3">
      <c r="A2890" t="s">
        <v>6423</v>
      </c>
      <c r="B2890" t="s">
        <v>540</v>
      </c>
      <c r="C2890">
        <v>1</v>
      </c>
      <c r="D2890" t="s">
        <v>18</v>
      </c>
      <c r="E2890" t="s">
        <v>541</v>
      </c>
    </row>
    <row r="2891" spans="1:9" x14ac:dyDescent="0.3">
      <c r="A2891" t="s">
        <v>3074</v>
      </c>
      <c r="B2891" t="s">
        <v>6424</v>
      </c>
      <c r="C2891">
        <v>1.5</v>
      </c>
      <c r="D2891" t="s">
        <v>23</v>
      </c>
      <c r="E2891" t="s">
        <v>6425</v>
      </c>
    </row>
    <row r="2892" spans="1:9" x14ac:dyDescent="0.3">
      <c r="A2892" t="s">
        <v>6426</v>
      </c>
      <c r="B2892" t="s">
        <v>6427</v>
      </c>
      <c r="C2892">
        <v>0.5</v>
      </c>
      <c r="D2892" t="s">
        <v>37</v>
      </c>
      <c r="E2892" t="s">
        <v>6428</v>
      </c>
    </row>
    <row r="2893" spans="1:9" x14ac:dyDescent="0.3">
      <c r="A2893" t="s">
        <v>6429</v>
      </c>
      <c r="B2893" t="s">
        <v>6430</v>
      </c>
      <c r="C2893">
        <v>0.5</v>
      </c>
      <c r="D2893" t="s">
        <v>6431</v>
      </c>
      <c r="E2893" t="s">
        <v>57</v>
      </c>
    </row>
    <row r="2894" spans="1:9" x14ac:dyDescent="0.3">
      <c r="A2894" t="s">
        <v>6432</v>
      </c>
      <c r="B2894" t="s">
        <v>6433</v>
      </c>
      <c r="C2894">
        <v>1</v>
      </c>
      <c r="D2894" t="s">
        <v>23</v>
      </c>
      <c r="E2894" t="s">
        <v>6434</v>
      </c>
    </row>
    <row r="2895" spans="1:9" x14ac:dyDescent="0.3">
      <c r="A2895" t="s">
        <v>6435</v>
      </c>
      <c r="B2895" t="s">
        <v>4926</v>
      </c>
      <c r="C2895">
        <v>2</v>
      </c>
      <c r="D2895" t="s">
        <v>23</v>
      </c>
      <c r="E2895" t="s">
        <v>880</v>
      </c>
    </row>
    <row r="2896" spans="1:9" x14ac:dyDescent="0.3">
      <c r="A2896" t="s">
        <v>6436</v>
      </c>
      <c r="B2896" t="s">
        <v>6437</v>
      </c>
      <c r="C2896">
        <v>0.75</v>
      </c>
      <c r="D2896" t="s">
        <v>91</v>
      </c>
      <c r="E2896" t="s">
        <v>4433</v>
      </c>
    </row>
    <row r="2897" spans="1:9" x14ac:dyDescent="0.3">
      <c r="A2897" t="s">
        <v>6438</v>
      </c>
      <c r="B2897" t="s">
        <v>6439</v>
      </c>
      <c r="C2897">
        <v>10.5</v>
      </c>
      <c r="D2897" t="s">
        <v>11</v>
      </c>
      <c r="E2897" t="s">
        <v>281</v>
      </c>
    </row>
    <row r="2898" spans="1:9" x14ac:dyDescent="0.3">
      <c r="A2898" t="s">
        <v>6440</v>
      </c>
      <c r="B2898" t="s">
        <v>6441</v>
      </c>
      <c r="C2898">
        <v>2</v>
      </c>
      <c r="D2898" t="s">
        <v>146</v>
      </c>
      <c r="E2898" t="s">
        <v>6442</v>
      </c>
      <c r="I2898" t="s">
        <v>6443</v>
      </c>
    </row>
    <row r="2899" spans="1:9" x14ac:dyDescent="0.3">
      <c r="A2899" t="s">
        <v>6444</v>
      </c>
      <c r="B2899" t="s">
        <v>6445</v>
      </c>
      <c r="C2899">
        <v>1</v>
      </c>
      <c r="D2899" t="s">
        <v>284</v>
      </c>
      <c r="E2899" t="s">
        <v>81</v>
      </c>
    </row>
    <row r="2900" spans="1:9" x14ac:dyDescent="0.3">
      <c r="A2900" t="s">
        <v>6446</v>
      </c>
      <c r="B2900" t="s">
        <v>6447</v>
      </c>
      <c r="C2900">
        <v>2</v>
      </c>
      <c r="D2900" t="s">
        <v>91</v>
      </c>
      <c r="E2900" t="s">
        <v>57</v>
      </c>
    </row>
    <row r="2901" spans="1:9" x14ac:dyDescent="0.3">
      <c r="A2901" t="s">
        <v>6448</v>
      </c>
      <c r="B2901" t="s">
        <v>6449</v>
      </c>
      <c r="C2901">
        <v>1</v>
      </c>
      <c r="D2901" t="s">
        <v>120</v>
      </c>
      <c r="E2901" t="s">
        <v>1993</v>
      </c>
    </row>
    <row r="2902" spans="1:9" x14ac:dyDescent="0.3">
      <c r="A2902" t="s">
        <v>2555</v>
      </c>
      <c r="B2902" t="s">
        <v>6450</v>
      </c>
      <c r="C2902">
        <v>1</v>
      </c>
      <c r="E2902" t="s">
        <v>6451</v>
      </c>
      <c r="I2902" t="s">
        <v>3223</v>
      </c>
    </row>
    <row r="2903" spans="1:9" x14ac:dyDescent="0.3">
      <c r="A2903" t="s">
        <v>6452</v>
      </c>
      <c r="B2903" t="s">
        <v>6453</v>
      </c>
      <c r="C2903">
        <v>20</v>
      </c>
      <c r="D2903" t="s">
        <v>29</v>
      </c>
      <c r="E2903" t="s">
        <v>30</v>
      </c>
    </row>
    <row r="2904" spans="1:9" x14ac:dyDescent="0.3">
      <c r="A2904" t="s">
        <v>6454</v>
      </c>
      <c r="B2904" t="s">
        <v>6455</v>
      </c>
      <c r="C2904">
        <v>2</v>
      </c>
      <c r="D2904" t="s">
        <v>227</v>
      </c>
      <c r="E2904" t="s">
        <v>413</v>
      </c>
      <c r="G2904" t="s">
        <v>1571</v>
      </c>
      <c r="I2904" t="s">
        <v>4067</v>
      </c>
    </row>
    <row r="2905" spans="1:9" x14ac:dyDescent="0.3">
      <c r="A2905" t="s">
        <v>6456</v>
      </c>
      <c r="B2905" t="s">
        <v>6457</v>
      </c>
      <c r="C2905">
        <v>1</v>
      </c>
      <c r="D2905" t="s">
        <v>11</v>
      </c>
      <c r="E2905" t="s">
        <v>6458</v>
      </c>
    </row>
    <row r="2906" spans="1:9" x14ac:dyDescent="0.3">
      <c r="A2906" t="s">
        <v>6459</v>
      </c>
      <c r="B2906" t="s">
        <v>6460</v>
      </c>
      <c r="C2906">
        <v>10</v>
      </c>
      <c r="D2906" t="s">
        <v>29</v>
      </c>
      <c r="E2906" t="s">
        <v>6461</v>
      </c>
    </row>
    <row r="2907" spans="1:9" x14ac:dyDescent="0.3">
      <c r="A2907" t="s">
        <v>3848</v>
      </c>
      <c r="B2907" t="s">
        <v>6462</v>
      </c>
      <c r="C2907">
        <v>1</v>
      </c>
      <c r="D2907" t="s">
        <v>361</v>
      </c>
      <c r="E2907" t="s">
        <v>3045</v>
      </c>
    </row>
    <row r="2908" spans="1:9" x14ac:dyDescent="0.3">
      <c r="A2908" t="s">
        <v>6463</v>
      </c>
      <c r="B2908" t="s">
        <v>6464</v>
      </c>
      <c r="C2908">
        <v>2</v>
      </c>
      <c r="D2908" t="s">
        <v>146</v>
      </c>
      <c r="E2908" t="s">
        <v>2302</v>
      </c>
      <c r="H2908" t="s">
        <v>1078</v>
      </c>
      <c r="I2908" t="s">
        <v>325</v>
      </c>
    </row>
    <row r="2909" spans="1:9" x14ac:dyDescent="0.3">
      <c r="A2909" t="s">
        <v>6465</v>
      </c>
      <c r="B2909" t="s">
        <v>4602</v>
      </c>
      <c r="C2909">
        <v>1</v>
      </c>
      <c r="D2909" t="s">
        <v>1990</v>
      </c>
      <c r="E2909" t="s">
        <v>1056</v>
      </c>
      <c r="I2909" t="s">
        <v>248</v>
      </c>
    </row>
    <row r="2910" spans="1:9" x14ac:dyDescent="0.3">
      <c r="A2910" t="s">
        <v>6466</v>
      </c>
      <c r="B2910" t="s">
        <v>6467</v>
      </c>
      <c r="C2910">
        <v>25</v>
      </c>
      <c r="D2910" t="s">
        <v>29</v>
      </c>
      <c r="E2910" t="s">
        <v>6468</v>
      </c>
    </row>
    <row r="2911" spans="1:9" x14ac:dyDescent="0.3">
      <c r="A2911" t="s">
        <v>6469</v>
      </c>
      <c r="B2911" t="s">
        <v>1624</v>
      </c>
      <c r="C2911">
        <v>0.5</v>
      </c>
      <c r="D2911" t="s">
        <v>37</v>
      </c>
      <c r="E2911" t="s">
        <v>1537</v>
      </c>
    </row>
    <row r="2912" spans="1:9" x14ac:dyDescent="0.3">
      <c r="A2912" t="s">
        <v>6470</v>
      </c>
      <c r="B2912" t="s">
        <v>1055</v>
      </c>
      <c r="C2912">
        <v>1</v>
      </c>
      <c r="D2912" t="s">
        <v>585</v>
      </c>
      <c r="E2912" t="s">
        <v>1056</v>
      </c>
      <c r="I2912" t="s">
        <v>248</v>
      </c>
    </row>
    <row r="2913" spans="1:9" x14ac:dyDescent="0.3">
      <c r="A2913" t="s">
        <v>6471</v>
      </c>
      <c r="B2913" t="s">
        <v>3116</v>
      </c>
      <c r="C2913">
        <v>1</v>
      </c>
      <c r="E2913" t="s">
        <v>704</v>
      </c>
    </row>
    <row r="2914" spans="1:9" x14ac:dyDescent="0.3">
      <c r="A2914" t="s">
        <v>6472</v>
      </c>
      <c r="B2914" t="s">
        <v>5574</v>
      </c>
      <c r="C2914">
        <v>1</v>
      </c>
      <c r="E2914" t="s">
        <v>152</v>
      </c>
    </row>
    <row r="2915" spans="1:9" x14ac:dyDescent="0.3">
      <c r="A2915" t="s">
        <v>1275</v>
      </c>
      <c r="B2915" t="s">
        <v>1753</v>
      </c>
      <c r="C2915">
        <v>12.5</v>
      </c>
      <c r="D2915" t="s">
        <v>29</v>
      </c>
      <c r="E2915" t="s">
        <v>30</v>
      </c>
    </row>
    <row r="2916" spans="1:9" x14ac:dyDescent="0.3">
      <c r="A2916" t="s">
        <v>6473</v>
      </c>
      <c r="B2916" t="s">
        <v>6474</v>
      </c>
      <c r="C2916">
        <v>0.25</v>
      </c>
      <c r="D2916" t="s">
        <v>284</v>
      </c>
      <c r="E2916" t="s">
        <v>6475</v>
      </c>
    </row>
    <row r="2917" spans="1:9" x14ac:dyDescent="0.3">
      <c r="A2917" t="s">
        <v>6476</v>
      </c>
      <c r="B2917" t="s">
        <v>6477</v>
      </c>
      <c r="C2917">
        <v>0.75</v>
      </c>
      <c r="D2917" t="s">
        <v>23</v>
      </c>
      <c r="E2917" t="s">
        <v>516</v>
      </c>
    </row>
    <row r="2918" spans="1:9" x14ac:dyDescent="0.3">
      <c r="A2918" t="s">
        <v>1956</v>
      </c>
      <c r="B2918" t="s">
        <v>6478</v>
      </c>
      <c r="C2918">
        <v>1</v>
      </c>
      <c r="D2918" t="s">
        <v>37</v>
      </c>
      <c r="E2918" t="s">
        <v>6479</v>
      </c>
    </row>
    <row r="2919" spans="1:9" x14ac:dyDescent="0.3">
      <c r="A2919" t="s">
        <v>6480</v>
      </c>
      <c r="B2919" t="s">
        <v>6481</v>
      </c>
      <c r="C2919">
        <v>0.25</v>
      </c>
      <c r="D2919" t="s">
        <v>23</v>
      </c>
      <c r="E2919" t="s">
        <v>936</v>
      </c>
    </row>
    <row r="2920" spans="1:9" x14ac:dyDescent="0.3">
      <c r="A2920" t="s">
        <v>4925</v>
      </c>
      <c r="B2920" t="s">
        <v>6482</v>
      </c>
      <c r="C2920">
        <v>1.5</v>
      </c>
      <c r="D2920" t="s">
        <v>50</v>
      </c>
      <c r="E2920" t="s">
        <v>333</v>
      </c>
    </row>
    <row r="2921" spans="1:9" x14ac:dyDescent="0.3">
      <c r="A2921" t="s">
        <v>6483</v>
      </c>
      <c r="B2921" t="s">
        <v>3153</v>
      </c>
      <c r="C2921">
        <v>2</v>
      </c>
      <c r="D2921" t="s">
        <v>345</v>
      </c>
      <c r="E2921" t="s">
        <v>220</v>
      </c>
    </row>
    <row r="2922" spans="1:9" x14ac:dyDescent="0.3">
      <c r="A2922" t="s">
        <v>5304</v>
      </c>
      <c r="B2922" t="s">
        <v>1737</v>
      </c>
      <c r="C2922">
        <v>2</v>
      </c>
      <c r="D2922" t="s">
        <v>23</v>
      </c>
      <c r="E2922" t="s">
        <v>320</v>
      </c>
    </row>
    <row r="2923" spans="1:9" x14ac:dyDescent="0.3">
      <c r="A2923" t="s">
        <v>5942</v>
      </c>
      <c r="B2923" t="s">
        <v>152</v>
      </c>
      <c r="E2923" t="s">
        <v>152</v>
      </c>
    </row>
    <row r="2924" spans="1:9" x14ac:dyDescent="0.3">
      <c r="A2924" t="s">
        <v>6484</v>
      </c>
      <c r="B2924" t="s">
        <v>6485</v>
      </c>
      <c r="C2924" t="s">
        <v>6486</v>
      </c>
      <c r="D2924" t="s">
        <v>37</v>
      </c>
      <c r="E2924" t="s">
        <v>6487</v>
      </c>
      <c r="I2924" t="s">
        <v>6488</v>
      </c>
    </row>
    <row r="2925" spans="1:9" x14ac:dyDescent="0.3">
      <c r="A2925" t="s">
        <v>6489</v>
      </c>
      <c r="B2925" t="s">
        <v>1940</v>
      </c>
      <c r="C2925">
        <v>0.25</v>
      </c>
      <c r="D2925" t="s">
        <v>23</v>
      </c>
      <c r="E2925" t="s">
        <v>160</v>
      </c>
    </row>
    <row r="2926" spans="1:9" x14ac:dyDescent="0.3">
      <c r="A2926" t="s">
        <v>6490</v>
      </c>
      <c r="B2926" t="s">
        <v>6491</v>
      </c>
      <c r="E2926" t="s">
        <v>6492</v>
      </c>
      <c r="I2926" t="e">
        <f>- I used my own.</f>
        <v>#NAME?</v>
      </c>
    </row>
    <row r="2927" spans="1:9" x14ac:dyDescent="0.3">
      <c r="A2927" t="s">
        <v>6493</v>
      </c>
      <c r="B2927" t="s">
        <v>6494</v>
      </c>
      <c r="E2927" t="s">
        <v>5382</v>
      </c>
      <c r="G2927" t="s">
        <v>1081</v>
      </c>
      <c r="I2927" t="s">
        <v>5072</v>
      </c>
    </row>
    <row r="2928" spans="1:9" x14ac:dyDescent="0.3">
      <c r="A2928" t="s">
        <v>4739</v>
      </c>
      <c r="B2928" t="s">
        <v>6495</v>
      </c>
      <c r="E2928" t="s">
        <v>6496</v>
      </c>
      <c r="I2928" t="s">
        <v>5072</v>
      </c>
    </row>
    <row r="2929" spans="1:9" x14ac:dyDescent="0.3">
      <c r="A2929" t="s">
        <v>6497</v>
      </c>
      <c r="B2929" t="s">
        <v>6498</v>
      </c>
      <c r="C2929">
        <v>1.5</v>
      </c>
      <c r="D2929" t="s">
        <v>23</v>
      </c>
      <c r="E2929" t="s">
        <v>6499</v>
      </c>
    </row>
    <row r="2930" spans="1:9" x14ac:dyDescent="0.3">
      <c r="A2930" t="s">
        <v>4569</v>
      </c>
      <c r="B2930" t="s">
        <v>6500</v>
      </c>
      <c r="C2930">
        <v>1</v>
      </c>
      <c r="D2930" t="s">
        <v>23</v>
      </c>
      <c r="E2930" t="s">
        <v>6501</v>
      </c>
    </row>
    <row r="2931" spans="1:9" x14ac:dyDescent="0.3">
      <c r="A2931" t="s">
        <v>6502</v>
      </c>
      <c r="B2931" t="s">
        <v>6503</v>
      </c>
      <c r="C2931">
        <v>0.75</v>
      </c>
      <c r="D2931" t="s">
        <v>11</v>
      </c>
      <c r="E2931" t="s">
        <v>2544</v>
      </c>
    </row>
    <row r="2932" spans="1:9" x14ac:dyDescent="0.3">
      <c r="A2932" t="s">
        <v>6504</v>
      </c>
      <c r="B2932" t="s">
        <v>6505</v>
      </c>
      <c r="C2932">
        <v>0.5</v>
      </c>
      <c r="D2932" t="s">
        <v>37</v>
      </c>
      <c r="E2932" t="s">
        <v>6506</v>
      </c>
      <c r="I2932" t="s">
        <v>2028</v>
      </c>
    </row>
    <row r="2933" spans="1:9" x14ac:dyDescent="0.3">
      <c r="A2933" t="s">
        <v>6507</v>
      </c>
      <c r="B2933" t="s">
        <v>6508</v>
      </c>
      <c r="C2933">
        <v>1</v>
      </c>
      <c r="D2933" t="s">
        <v>246</v>
      </c>
      <c r="E2933" t="s">
        <v>2896</v>
      </c>
      <c r="I2933" t="s">
        <v>1352</v>
      </c>
    </row>
    <row r="2934" spans="1:9" x14ac:dyDescent="0.3">
      <c r="A2934" t="s">
        <v>5732</v>
      </c>
      <c r="B2934" t="s">
        <v>6509</v>
      </c>
      <c r="C2934" t="s">
        <v>6510</v>
      </c>
      <c r="E2934" t="s">
        <v>5161</v>
      </c>
      <c r="I2934" t="s">
        <v>1177</v>
      </c>
    </row>
    <row r="2935" spans="1:9" x14ac:dyDescent="0.3">
      <c r="A2935" t="s">
        <v>1934</v>
      </c>
      <c r="B2935" t="s">
        <v>6511</v>
      </c>
      <c r="E2935" t="s">
        <v>317</v>
      </c>
      <c r="H2935" t="s">
        <v>1078</v>
      </c>
      <c r="I2935" t="s">
        <v>6512</v>
      </c>
    </row>
    <row r="2936" spans="1:9" x14ac:dyDescent="0.3">
      <c r="A2936" t="s">
        <v>6513</v>
      </c>
      <c r="B2936" t="s">
        <v>1003</v>
      </c>
      <c r="E2936" t="s">
        <v>1003</v>
      </c>
    </row>
    <row r="2937" spans="1:9" x14ac:dyDescent="0.3">
      <c r="A2937" t="s">
        <v>6514</v>
      </c>
      <c r="B2937" t="s">
        <v>6515</v>
      </c>
      <c r="C2937">
        <v>2</v>
      </c>
      <c r="D2937" t="s">
        <v>460</v>
      </c>
      <c r="E2937" t="s">
        <v>4306</v>
      </c>
    </row>
    <row r="2938" spans="1:9" x14ac:dyDescent="0.3">
      <c r="A2938" t="s">
        <v>1261</v>
      </c>
      <c r="B2938" t="s">
        <v>6516</v>
      </c>
      <c r="C2938">
        <v>1</v>
      </c>
      <c r="D2938" t="s">
        <v>284</v>
      </c>
      <c r="E2938" t="s">
        <v>6517</v>
      </c>
      <c r="G2938" t="s">
        <v>6518</v>
      </c>
      <c r="I2938" t="s">
        <v>20</v>
      </c>
    </row>
    <row r="2939" spans="1:9" x14ac:dyDescent="0.3">
      <c r="A2939" t="s">
        <v>6519</v>
      </c>
      <c r="B2939" t="s">
        <v>6520</v>
      </c>
      <c r="C2939">
        <v>50</v>
      </c>
      <c r="D2939" t="s">
        <v>29</v>
      </c>
      <c r="E2939" t="s">
        <v>30</v>
      </c>
    </row>
    <row r="2940" spans="1:9" x14ac:dyDescent="0.3">
      <c r="A2940" t="s">
        <v>6521</v>
      </c>
      <c r="B2940" t="s">
        <v>6255</v>
      </c>
      <c r="C2940">
        <v>20</v>
      </c>
      <c r="D2940" t="s">
        <v>29</v>
      </c>
      <c r="E2940" t="s">
        <v>6256</v>
      </c>
    </row>
    <row r="2941" spans="1:9" x14ac:dyDescent="0.3">
      <c r="A2941" t="s">
        <v>6522</v>
      </c>
      <c r="B2941" t="s">
        <v>6392</v>
      </c>
      <c r="C2941">
        <v>2</v>
      </c>
      <c r="D2941" t="s">
        <v>189</v>
      </c>
      <c r="E2941" t="s">
        <v>2214</v>
      </c>
    </row>
    <row r="2942" spans="1:9" x14ac:dyDescent="0.3">
      <c r="A2942" t="s">
        <v>5650</v>
      </c>
      <c r="B2942" t="s">
        <v>2417</v>
      </c>
      <c r="C2942">
        <v>1</v>
      </c>
      <c r="D2942" t="s">
        <v>426</v>
      </c>
      <c r="E2942" t="s">
        <v>857</v>
      </c>
    </row>
    <row r="2943" spans="1:9" x14ac:dyDescent="0.3">
      <c r="A2943" t="s">
        <v>6523</v>
      </c>
      <c r="B2943" t="s">
        <v>6524</v>
      </c>
      <c r="C2943">
        <v>1</v>
      </c>
      <c r="D2943" t="s">
        <v>206</v>
      </c>
      <c r="E2943" t="s">
        <v>877</v>
      </c>
    </row>
    <row r="2944" spans="1:9" x14ac:dyDescent="0.3">
      <c r="A2944" t="s">
        <v>6525</v>
      </c>
      <c r="B2944" t="s">
        <v>6526</v>
      </c>
      <c r="C2944">
        <v>1</v>
      </c>
      <c r="D2944" t="s">
        <v>11</v>
      </c>
      <c r="E2944" t="s">
        <v>233</v>
      </c>
    </row>
    <row r="2945" spans="1:9" x14ac:dyDescent="0.3">
      <c r="A2945" t="s">
        <v>6527</v>
      </c>
      <c r="B2945" t="s">
        <v>6528</v>
      </c>
      <c r="C2945">
        <v>0.75</v>
      </c>
      <c r="D2945" t="s">
        <v>206</v>
      </c>
      <c r="E2945" t="s">
        <v>6529</v>
      </c>
    </row>
    <row r="2946" spans="1:9" x14ac:dyDescent="0.3">
      <c r="A2946" t="s">
        <v>6530</v>
      </c>
      <c r="B2946" t="s">
        <v>6531</v>
      </c>
      <c r="C2946">
        <v>0.75</v>
      </c>
      <c r="D2946" t="s">
        <v>37</v>
      </c>
      <c r="E2946" t="s">
        <v>6532</v>
      </c>
      <c r="I2946" t="s">
        <v>2028</v>
      </c>
    </row>
    <row r="2947" spans="1:9" x14ac:dyDescent="0.3">
      <c r="A2947" t="s">
        <v>6533</v>
      </c>
      <c r="B2947" t="s">
        <v>3434</v>
      </c>
      <c r="C2947">
        <v>1.5</v>
      </c>
      <c r="D2947" t="s">
        <v>23</v>
      </c>
      <c r="E2947" t="s">
        <v>281</v>
      </c>
    </row>
    <row r="2948" spans="1:9" x14ac:dyDescent="0.3">
      <c r="A2948" t="s">
        <v>6534</v>
      </c>
      <c r="B2948" t="s">
        <v>3554</v>
      </c>
      <c r="C2948">
        <v>0.5</v>
      </c>
      <c r="D2948" t="s">
        <v>23</v>
      </c>
      <c r="E2948" t="s">
        <v>160</v>
      </c>
    </row>
    <row r="2949" spans="1:9" x14ac:dyDescent="0.3">
      <c r="A2949" t="s">
        <v>6535</v>
      </c>
      <c r="B2949" t="s">
        <v>6536</v>
      </c>
      <c r="C2949">
        <v>0.75</v>
      </c>
      <c r="D2949" t="s">
        <v>37</v>
      </c>
      <c r="E2949" t="s">
        <v>6537</v>
      </c>
      <c r="I2949" t="s">
        <v>6538</v>
      </c>
    </row>
    <row r="2950" spans="1:9" x14ac:dyDescent="0.3">
      <c r="A2950" t="s">
        <v>6539</v>
      </c>
      <c r="B2950" t="s">
        <v>2576</v>
      </c>
      <c r="E2950" t="s">
        <v>2576</v>
      </c>
    </row>
    <row r="2951" spans="1:9" x14ac:dyDescent="0.3">
      <c r="A2951" t="s">
        <v>6540</v>
      </c>
      <c r="B2951" t="s">
        <v>6541</v>
      </c>
      <c r="C2951">
        <v>2</v>
      </c>
      <c r="D2951" t="s">
        <v>91</v>
      </c>
      <c r="E2951" t="s">
        <v>262</v>
      </c>
    </row>
    <row r="2952" spans="1:9" x14ac:dyDescent="0.3">
      <c r="A2952" t="s">
        <v>6542</v>
      </c>
      <c r="B2952" t="s">
        <v>6543</v>
      </c>
      <c r="C2952">
        <v>1.5</v>
      </c>
      <c r="D2952" t="s">
        <v>23</v>
      </c>
      <c r="E2952" t="s">
        <v>6544</v>
      </c>
    </row>
    <row r="2953" spans="1:9" x14ac:dyDescent="0.3">
      <c r="A2953" t="s">
        <v>2980</v>
      </c>
      <c r="B2953" t="s">
        <v>6545</v>
      </c>
      <c r="C2953">
        <v>0.75</v>
      </c>
      <c r="D2953" t="s">
        <v>23</v>
      </c>
      <c r="E2953" t="s">
        <v>3576</v>
      </c>
    </row>
    <row r="2954" spans="1:9" x14ac:dyDescent="0.3">
      <c r="A2954" t="s">
        <v>6546</v>
      </c>
      <c r="B2954" t="s">
        <v>6547</v>
      </c>
      <c r="C2954">
        <v>1</v>
      </c>
      <c r="D2954" t="s">
        <v>18</v>
      </c>
      <c r="E2954" t="s">
        <v>2214</v>
      </c>
      <c r="I2954" t="s">
        <v>4884</v>
      </c>
    </row>
    <row r="2955" spans="1:9" x14ac:dyDescent="0.3">
      <c r="A2955" t="s">
        <v>6548</v>
      </c>
      <c r="B2955" t="s">
        <v>6549</v>
      </c>
      <c r="C2955">
        <v>2</v>
      </c>
      <c r="D2955" t="s">
        <v>23</v>
      </c>
      <c r="E2955" t="s">
        <v>807</v>
      </c>
    </row>
    <row r="2956" spans="1:9" x14ac:dyDescent="0.3">
      <c r="A2956" t="s">
        <v>4895</v>
      </c>
      <c r="B2956" t="s">
        <v>6550</v>
      </c>
      <c r="C2956">
        <v>1</v>
      </c>
      <c r="D2956" t="s">
        <v>37</v>
      </c>
      <c r="E2956" t="s">
        <v>38</v>
      </c>
      <c r="G2956" t="s">
        <v>167</v>
      </c>
      <c r="I2956" t="s">
        <v>325</v>
      </c>
    </row>
    <row r="2957" spans="1:9" x14ac:dyDescent="0.3">
      <c r="A2957" t="s">
        <v>6551</v>
      </c>
      <c r="B2957" t="s">
        <v>6552</v>
      </c>
      <c r="C2957">
        <v>2</v>
      </c>
      <c r="D2957" t="s">
        <v>91</v>
      </c>
      <c r="E2957" t="s">
        <v>6553</v>
      </c>
    </row>
    <row r="2958" spans="1:9" x14ac:dyDescent="0.3">
      <c r="A2958" t="s">
        <v>6554</v>
      </c>
      <c r="B2958" t="s">
        <v>1637</v>
      </c>
      <c r="C2958">
        <v>10</v>
      </c>
      <c r="D2958" t="s">
        <v>29</v>
      </c>
      <c r="E2958" t="s">
        <v>1638</v>
      </c>
    </row>
    <row r="2959" spans="1:9" x14ac:dyDescent="0.3">
      <c r="A2959" t="s">
        <v>6555</v>
      </c>
      <c r="B2959" t="s">
        <v>6556</v>
      </c>
      <c r="C2959">
        <v>10.5</v>
      </c>
      <c r="D2959" t="s">
        <v>23</v>
      </c>
      <c r="E2959" t="s">
        <v>1416</v>
      </c>
    </row>
    <row r="2960" spans="1:9" x14ac:dyDescent="0.3">
      <c r="A2960" t="s">
        <v>6557</v>
      </c>
      <c r="B2960" t="s">
        <v>3865</v>
      </c>
      <c r="C2960">
        <v>2</v>
      </c>
      <c r="D2960" t="s">
        <v>227</v>
      </c>
      <c r="E2960" t="s">
        <v>413</v>
      </c>
      <c r="G2960" t="s">
        <v>1571</v>
      </c>
    </row>
    <row r="2961" spans="1:9" x14ac:dyDescent="0.3">
      <c r="A2961" t="s">
        <v>6558</v>
      </c>
      <c r="B2961" t="s">
        <v>6559</v>
      </c>
      <c r="C2961">
        <v>3</v>
      </c>
      <c r="D2961" t="s">
        <v>473</v>
      </c>
      <c r="E2961" t="s">
        <v>1433</v>
      </c>
      <c r="G2961" t="s">
        <v>3326</v>
      </c>
    </row>
    <row r="2962" spans="1:9" x14ac:dyDescent="0.3">
      <c r="A2962" t="s">
        <v>6560</v>
      </c>
      <c r="B2962" t="s">
        <v>6561</v>
      </c>
      <c r="C2962">
        <v>0.5</v>
      </c>
      <c r="D2962" t="s">
        <v>23</v>
      </c>
      <c r="E2962" t="s">
        <v>365</v>
      </c>
    </row>
    <row r="2963" spans="1:9" x14ac:dyDescent="0.3">
      <c r="A2963" t="s">
        <v>6562</v>
      </c>
      <c r="B2963" t="s">
        <v>2674</v>
      </c>
      <c r="C2963">
        <v>0.5</v>
      </c>
      <c r="D2963" t="s">
        <v>11</v>
      </c>
      <c r="E2963" t="s">
        <v>2675</v>
      </c>
    </row>
    <row r="2964" spans="1:9" x14ac:dyDescent="0.3">
      <c r="A2964" t="s">
        <v>6563</v>
      </c>
      <c r="B2964" t="s">
        <v>6564</v>
      </c>
      <c r="C2964">
        <v>1</v>
      </c>
      <c r="E2964" t="s">
        <v>183</v>
      </c>
      <c r="I2964" t="s">
        <v>289</v>
      </c>
    </row>
    <row r="2965" spans="1:9" x14ac:dyDescent="0.3">
      <c r="A2965" t="s">
        <v>6565</v>
      </c>
      <c r="B2965" t="s">
        <v>2370</v>
      </c>
      <c r="C2965">
        <v>1</v>
      </c>
      <c r="D2965" t="s">
        <v>284</v>
      </c>
      <c r="E2965" t="s">
        <v>413</v>
      </c>
      <c r="G2965" t="s">
        <v>1571</v>
      </c>
    </row>
    <row r="2966" spans="1:9" x14ac:dyDescent="0.3">
      <c r="A2966" t="s">
        <v>6566</v>
      </c>
      <c r="B2966" t="s">
        <v>333</v>
      </c>
      <c r="E2966" t="s">
        <v>333</v>
      </c>
    </row>
    <row r="2967" spans="1:9" x14ac:dyDescent="0.3">
      <c r="A2967" t="s">
        <v>6567</v>
      </c>
      <c r="B2967" t="s">
        <v>6568</v>
      </c>
      <c r="C2967">
        <v>1</v>
      </c>
      <c r="D2967" t="s">
        <v>460</v>
      </c>
      <c r="E2967" t="s">
        <v>2078</v>
      </c>
      <c r="G2967" t="s">
        <v>6569</v>
      </c>
    </row>
    <row r="2968" spans="1:9" x14ac:dyDescent="0.3">
      <c r="A2968" t="s">
        <v>6570</v>
      </c>
      <c r="B2968" t="s">
        <v>6571</v>
      </c>
      <c r="C2968">
        <v>1</v>
      </c>
      <c r="D2968" t="s">
        <v>284</v>
      </c>
      <c r="E2968" t="s">
        <v>2178</v>
      </c>
    </row>
    <row r="2969" spans="1:9" x14ac:dyDescent="0.3">
      <c r="A2969" t="s">
        <v>6572</v>
      </c>
      <c r="B2969" t="s">
        <v>6573</v>
      </c>
      <c r="C2969">
        <v>2</v>
      </c>
      <c r="D2969" t="s">
        <v>189</v>
      </c>
      <c r="E2969" t="s">
        <v>6574</v>
      </c>
      <c r="I2969" t="s">
        <v>3746</v>
      </c>
    </row>
    <row r="2970" spans="1:9" x14ac:dyDescent="0.3">
      <c r="A2970" t="s">
        <v>6575</v>
      </c>
      <c r="B2970" t="s">
        <v>6576</v>
      </c>
      <c r="E2970" t="s">
        <v>6577</v>
      </c>
      <c r="I2970" t="s">
        <v>6578</v>
      </c>
    </row>
    <row r="2971" spans="1:9" x14ac:dyDescent="0.3">
      <c r="A2971" t="s">
        <v>6579</v>
      </c>
      <c r="B2971" t="s">
        <v>6580</v>
      </c>
      <c r="C2971">
        <v>3</v>
      </c>
      <c r="D2971" t="s">
        <v>23</v>
      </c>
      <c r="E2971" t="s">
        <v>1204</v>
      </c>
    </row>
    <row r="2972" spans="1:9" x14ac:dyDescent="0.3">
      <c r="A2972" t="s">
        <v>6581</v>
      </c>
      <c r="B2972" t="s">
        <v>6582</v>
      </c>
      <c r="C2972">
        <v>2</v>
      </c>
      <c r="D2972" t="s">
        <v>23</v>
      </c>
      <c r="E2972" t="s">
        <v>6583</v>
      </c>
      <c r="H2972" t="s">
        <v>1078</v>
      </c>
    </row>
    <row r="2973" spans="1:9" x14ac:dyDescent="0.3">
      <c r="A2973" t="s">
        <v>6584</v>
      </c>
      <c r="B2973" t="s">
        <v>2396</v>
      </c>
      <c r="D2973" t="s">
        <v>2397</v>
      </c>
      <c r="E2973" t="s">
        <v>237</v>
      </c>
      <c r="I2973" t="s">
        <v>1124</v>
      </c>
    </row>
    <row r="2974" spans="1:9" x14ac:dyDescent="0.3">
      <c r="A2974" t="s">
        <v>6585</v>
      </c>
      <c r="B2974" t="s">
        <v>6586</v>
      </c>
      <c r="C2974">
        <v>1</v>
      </c>
      <c r="D2974" t="s">
        <v>37</v>
      </c>
      <c r="E2974" t="s">
        <v>6587</v>
      </c>
      <c r="I2974" t="s">
        <v>6588</v>
      </c>
    </row>
    <row r="2975" spans="1:9" x14ac:dyDescent="0.3">
      <c r="A2975" t="s">
        <v>5647</v>
      </c>
      <c r="B2975" t="s">
        <v>6589</v>
      </c>
      <c r="C2975">
        <v>2</v>
      </c>
      <c r="D2975" t="s">
        <v>345</v>
      </c>
      <c r="E2975" t="s">
        <v>6590</v>
      </c>
      <c r="I2975" t="s">
        <v>6591</v>
      </c>
    </row>
    <row r="2976" spans="1:9" x14ac:dyDescent="0.3">
      <c r="A2976" t="s">
        <v>4629</v>
      </c>
      <c r="B2976" t="s">
        <v>3195</v>
      </c>
      <c r="C2976">
        <v>0.5</v>
      </c>
      <c r="D2976" t="s">
        <v>37</v>
      </c>
      <c r="E2976" t="s">
        <v>3196</v>
      </c>
    </row>
    <row r="2977" spans="1:9" x14ac:dyDescent="0.3">
      <c r="A2977" t="s">
        <v>6592</v>
      </c>
      <c r="B2977" t="s">
        <v>1179</v>
      </c>
      <c r="C2977">
        <v>1</v>
      </c>
      <c r="D2977" t="s">
        <v>23</v>
      </c>
      <c r="E2977" t="s">
        <v>233</v>
      </c>
    </row>
    <row r="2978" spans="1:9" x14ac:dyDescent="0.3">
      <c r="A2978" t="s">
        <v>6593</v>
      </c>
      <c r="B2978" t="s">
        <v>340</v>
      </c>
      <c r="C2978">
        <v>50</v>
      </c>
      <c r="D2978" t="s">
        <v>29</v>
      </c>
      <c r="E2978" t="s">
        <v>341</v>
      </c>
      <c r="I2978" t="s">
        <v>342</v>
      </c>
    </row>
    <row r="2979" spans="1:9" x14ac:dyDescent="0.3">
      <c r="A2979" t="s">
        <v>4232</v>
      </c>
      <c r="B2979" t="s">
        <v>6594</v>
      </c>
      <c r="C2979">
        <v>1</v>
      </c>
      <c r="E2979" t="s">
        <v>6595</v>
      </c>
      <c r="I2979" t="s">
        <v>20</v>
      </c>
    </row>
    <row r="2980" spans="1:9" x14ac:dyDescent="0.3">
      <c r="A2980" t="s">
        <v>6596</v>
      </c>
      <c r="B2980" t="s">
        <v>743</v>
      </c>
      <c r="E2980" t="s">
        <v>743</v>
      </c>
    </row>
    <row r="2981" spans="1:9" x14ac:dyDescent="0.3">
      <c r="A2981" t="s">
        <v>6597</v>
      </c>
      <c r="B2981" t="s">
        <v>6598</v>
      </c>
      <c r="C2981">
        <v>2</v>
      </c>
      <c r="D2981" t="s">
        <v>460</v>
      </c>
      <c r="E2981" t="s">
        <v>183</v>
      </c>
    </row>
    <row r="2982" spans="1:9" x14ac:dyDescent="0.3">
      <c r="A2982" t="s">
        <v>6599</v>
      </c>
      <c r="B2982" t="s">
        <v>6600</v>
      </c>
      <c r="E2982" t="s">
        <v>6601</v>
      </c>
      <c r="I2982" t="s">
        <v>6602</v>
      </c>
    </row>
    <row r="2983" spans="1:9" x14ac:dyDescent="0.3">
      <c r="A2983" t="s">
        <v>6603</v>
      </c>
      <c r="B2983" t="s">
        <v>6604</v>
      </c>
      <c r="C2983">
        <v>10.5</v>
      </c>
      <c r="D2983" t="s">
        <v>91</v>
      </c>
      <c r="E2983" t="s">
        <v>6605</v>
      </c>
      <c r="I2983" t="s">
        <v>20</v>
      </c>
    </row>
    <row r="2984" spans="1:9" x14ac:dyDescent="0.3">
      <c r="A2984" t="s">
        <v>4810</v>
      </c>
      <c r="B2984" t="s">
        <v>152</v>
      </c>
      <c r="E2984" t="s">
        <v>152</v>
      </c>
    </row>
    <row r="2985" spans="1:9" x14ac:dyDescent="0.3">
      <c r="A2985" t="s">
        <v>1261</v>
      </c>
      <c r="B2985" t="s">
        <v>6606</v>
      </c>
      <c r="C2985" t="s">
        <v>1176</v>
      </c>
      <c r="D2985" t="s">
        <v>345</v>
      </c>
      <c r="E2985" t="s">
        <v>2365</v>
      </c>
      <c r="I2985" t="s">
        <v>6607</v>
      </c>
    </row>
    <row r="2986" spans="1:9" x14ac:dyDescent="0.3">
      <c r="A2986" t="s">
        <v>6608</v>
      </c>
      <c r="B2986" t="s">
        <v>6609</v>
      </c>
      <c r="C2986">
        <v>0.5</v>
      </c>
      <c r="D2986" t="s">
        <v>23</v>
      </c>
      <c r="E2986" t="s">
        <v>6011</v>
      </c>
    </row>
    <row r="2987" spans="1:9" x14ac:dyDescent="0.3">
      <c r="A2987" t="s">
        <v>4628</v>
      </c>
      <c r="B2987" t="s">
        <v>6610</v>
      </c>
      <c r="C2987">
        <v>2</v>
      </c>
      <c r="D2987" t="s">
        <v>189</v>
      </c>
      <c r="E2987" t="s">
        <v>6611</v>
      </c>
      <c r="I2987" t="s">
        <v>654</v>
      </c>
    </row>
    <row r="2988" spans="1:9" x14ac:dyDescent="0.3">
      <c r="A2988" t="s">
        <v>6612</v>
      </c>
      <c r="B2988" t="s">
        <v>6613</v>
      </c>
      <c r="C2988">
        <v>3</v>
      </c>
      <c r="E2988" t="s">
        <v>6614</v>
      </c>
      <c r="I2988" t="s">
        <v>6615</v>
      </c>
    </row>
    <row r="2989" spans="1:9" x14ac:dyDescent="0.3">
      <c r="A2989" t="s">
        <v>6616</v>
      </c>
      <c r="B2989" t="s">
        <v>6617</v>
      </c>
      <c r="E2989" t="s">
        <v>278</v>
      </c>
      <c r="H2989" t="s">
        <v>1078</v>
      </c>
      <c r="I2989" t="s">
        <v>1146</v>
      </c>
    </row>
    <row r="2990" spans="1:9" x14ac:dyDescent="0.3">
      <c r="A2990" t="s">
        <v>6618</v>
      </c>
      <c r="B2990" t="s">
        <v>6619</v>
      </c>
      <c r="C2990">
        <v>20</v>
      </c>
      <c r="D2990" t="s">
        <v>29</v>
      </c>
      <c r="E2990" t="s">
        <v>2638</v>
      </c>
    </row>
    <row r="2991" spans="1:9" x14ac:dyDescent="0.3">
      <c r="A2991" t="s">
        <v>6620</v>
      </c>
      <c r="B2991" t="s">
        <v>6621</v>
      </c>
      <c r="E2991" t="s">
        <v>6622</v>
      </c>
      <c r="G2991" t="s">
        <v>814</v>
      </c>
    </row>
    <row r="2992" spans="1:9" x14ac:dyDescent="0.3">
      <c r="A2992" t="s">
        <v>6623</v>
      </c>
      <c r="B2992" t="s">
        <v>6624</v>
      </c>
      <c r="C2992">
        <v>0.5</v>
      </c>
      <c r="D2992" t="s">
        <v>23</v>
      </c>
      <c r="E2992" t="s">
        <v>6625</v>
      </c>
    </row>
    <row r="2993" spans="1:9" x14ac:dyDescent="0.3">
      <c r="A2993" t="s">
        <v>6626</v>
      </c>
      <c r="B2993" t="s">
        <v>6627</v>
      </c>
      <c r="C2993" t="s">
        <v>2082</v>
      </c>
      <c r="D2993" t="s">
        <v>37</v>
      </c>
      <c r="E2993" t="s">
        <v>1451</v>
      </c>
      <c r="I2993" t="s">
        <v>548</v>
      </c>
    </row>
    <row r="2994" spans="1:9" x14ac:dyDescent="0.3">
      <c r="A2994" t="s">
        <v>6628</v>
      </c>
      <c r="B2994" t="s">
        <v>3446</v>
      </c>
      <c r="C2994">
        <v>2</v>
      </c>
      <c r="D2994" t="s">
        <v>23</v>
      </c>
      <c r="E2994" t="s">
        <v>3447</v>
      </c>
    </row>
    <row r="2995" spans="1:9" x14ac:dyDescent="0.3">
      <c r="A2995" t="s">
        <v>6629</v>
      </c>
      <c r="B2995" t="s">
        <v>6630</v>
      </c>
      <c r="C2995">
        <v>1.5</v>
      </c>
      <c r="D2995" t="s">
        <v>23</v>
      </c>
      <c r="E2995" t="s">
        <v>6631</v>
      </c>
    </row>
    <row r="2996" spans="1:9" x14ac:dyDescent="0.3">
      <c r="A2996" t="s">
        <v>6632</v>
      </c>
      <c r="B2996" t="s">
        <v>6633</v>
      </c>
      <c r="C2996">
        <v>1</v>
      </c>
      <c r="D2996" t="s">
        <v>11</v>
      </c>
      <c r="E2996" t="s">
        <v>1027</v>
      </c>
    </row>
    <row r="2997" spans="1:9" x14ac:dyDescent="0.3">
      <c r="A2997" t="s">
        <v>6634</v>
      </c>
      <c r="B2997" t="s">
        <v>6635</v>
      </c>
      <c r="C2997">
        <v>3</v>
      </c>
      <c r="D2997" t="s">
        <v>23</v>
      </c>
      <c r="E2997" t="s">
        <v>6636</v>
      </c>
    </row>
    <row r="2998" spans="1:9" x14ac:dyDescent="0.3">
      <c r="A2998" t="s">
        <v>6637</v>
      </c>
      <c r="B2998" t="s">
        <v>1598</v>
      </c>
      <c r="C2998">
        <v>2</v>
      </c>
      <c r="D2998" t="s">
        <v>23</v>
      </c>
      <c r="E2998" t="s">
        <v>1030</v>
      </c>
      <c r="I2998" t="s">
        <v>289</v>
      </c>
    </row>
    <row r="2999" spans="1:9" x14ac:dyDescent="0.3">
      <c r="A2999" t="s">
        <v>6638</v>
      </c>
      <c r="B2999" t="s">
        <v>6639</v>
      </c>
      <c r="C2999">
        <v>5</v>
      </c>
      <c r="D2999" t="s">
        <v>2006</v>
      </c>
      <c r="E2999" t="s">
        <v>2007</v>
      </c>
    </row>
    <row r="3000" spans="1:9" x14ac:dyDescent="0.3">
      <c r="A3000" t="s">
        <v>6640</v>
      </c>
      <c r="B3000" t="s">
        <v>4172</v>
      </c>
      <c r="C3000">
        <v>1.5</v>
      </c>
      <c r="D3000" t="s">
        <v>23</v>
      </c>
      <c r="E3000" t="s">
        <v>487</v>
      </c>
    </row>
    <row r="3001" spans="1:9" x14ac:dyDescent="0.3">
      <c r="A3001" t="s">
        <v>5041</v>
      </c>
      <c r="B3001" t="s">
        <v>6641</v>
      </c>
      <c r="C3001">
        <v>2</v>
      </c>
      <c r="D3001" t="s">
        <v>23</v>
      </c>
      <c r="E3001" t="s">
        <v>649</v>
      </c>
    </row>
    <row r="3002" spans="1:9" x14ac:dyDescent="0.3">
      <c r="A3002" t="s">
        <v>6642</v>
      </c>
      <c r="B3002" t="s">
        <v>6643</v>
      </c>
      <c r="C3002">
        <v>1</v>
      </c>
      <c r="E3002" t="s">
        <v>1133</v>
      </c>
    </row>
    <row r="3003" spans="1:9" x14ac:dyDescent="0.3">
      <c r="A3003" t="s">
        <v>6644</v>
      </c>
      <c r="B3003" t="s">
        <v>450</v>
      </c>
      <c r="D3003" t="s">
        <v>2397</v>
      </c>
      <c r="E3003" t="s">
        <v>152</v>
      </c>
      <c r="I3003" t="s">
        <v>164</v>
      </c>
    </row>
    <row r="3004" spans="1:9" x14ac:dyDescent="0.3">
      <c r="A3004" t="s">
        <v>6645</v>
      </c>
      <c r="B3004" t="s">
        <v>6646</v>
      </c>
      <c r="C3004">
        <v>3</v>
      </c>
      <c r="D3004" t="s">
        <v>23</v>
      </c>
      <c r="E3004" t="s">
        <v>2138</v>
      </c>
    </row>
    <row r="3005" spans="1:9" x14ac:dyDescent="0.3">
      <c r="A3005" t="s">
        <v>6647</v>
      </c>
      <c r="B3005" t="s">
        <v>6648</v>
      </c>
      <c r="C3005">
        <v>5</v>
      </c>
      <c r="D3005" t="s">
        <v>23</v>
      </c>
      <c r="E3005" t="s">
        <v>1030</v>
      </c>
    </row>
    <row r="3006" spans="1:9" x14ac:dyDescent="0.3">
      <c r="A3006" t="s">
        <v>1255</v>
      </c>
      <c r="B3006" t="s">
        <v>5701</v>
      </c>
      <c r="C3006">
        <v>2</v>
      </c>
      <c r="D3006" t="s">
        <v>345</v>
      </c>
      <c r="E3006" t="s">
        <v>41</v>
      </c>
    </row>
    <row r="3007" spans="1:9" x14ac:dyDescent="0.3">
      <c r="A3007" t="s">
        <v>6649</v>
      </c>
      <c r="B3007" t="s">
        <v>4134</v>
      </c>
      <c r="C3007">
        <v>1</v>
      </c>
      <c r="D3007" t="s">
        <v>23</v>
      </c>
      <c r="E3007" t="s">
        <v>233</v>
      </c>
    </row>
    <row r="3008" spans="1:9" x14ac:dyDescent="0.3">
      <c r="A3008" t="s">
        <v>6650</v>
      </c>
      <c r="B3008" t="s">
        <v>6651</v>
      </c>
      <c r="C3008">
        <v>25</v>
      </c>
      <c r="D3008" t="s">
        <v>29</v>
      </c>
      <c r="E3008" t="s">
        <v>6652</v>
      </c>
    </row>
    <row r="3009" spans="1:9" x14ac:dyDescent="0.3">
      <c r="A3009" t="s">
        <v>6653</v>
      </c>
      <c r="B3009" t="s">
        <v>6654</v>
      </c>
      <c r="C3009">
        <v>0.5</v>
      </c>
      <c r="D3009" t="s">
        <v>284</v>
      </c>
      <c r="E3009" t="s">
        <v>1883</v>
      </c>
    </row>
    <row r="3010" spans="1:9" x14ac:dyDescent="0.3">
      <c r="A3010" t="s">
        <v>4824</v>
      </c>
      <c r="B3010" t="s">
        <v>6655</v>
      </c>
      <c r="C3010">
        <v>1</v>
      </c>
      <c r="D3010" t="s">
        <v>37</v>
      </c>
      <c r="E3010" t="s">
        <v>516</v>
      </c>
    </row>
    <row r="3011" spans="1:9" x14ac:dyDescent="0.3">
      <c r="A3011" t="s">
        <v>6656</v>
      </c>
      <c r="B3011" t="s">
        <v>591</v>
      </c>
      <c r="E3011" t="s">
        <v>591</v>
      </c>
    </row>
    <row r="3012" spans="1:9" x14ac:dyDescent="0.3">
      <c r="A3012" t="s">
        <v>6657</v>
      </c>
      <c r="B3012" t="s">
        <v>1704</v>
      </c>
      <c r="C3012">
        <v>0.5</v>
      </c>
      <c r="D3012" t="s">
        <v>23</v>
      </c>
      <c r="E3012" t="s">
        <v>880</v>
      </c>
    </row>
    <row r="3013" spans="1:9" x14ac:dyDescent="0.3">
      <c r="A3013" t="s">
        <v>6658</v>
      </c>
      <c r="B3013" t="s">
        <v>1097</v>
      </c>
      <c r="E3013" t="s">
        <v>1097</v>
      </c>
    </row>
    <row r="3014" spans="1:9" x14ac:dyDescent="0.3">
      <c r="A3014" t="s">
        <v>2141</v>
      </c>
      <c r="B3014" t="s">
        <v>4579</v>
      </c>
      <c r="C3014">
        <v>1</v>
      </c>
      <c r="E3014" t="s">
        <v>4580</v>
      </c>
    </row>
    <row r="3015" spans="1:9" x14ac:dyDescent="0.3">
      <c r="A3015" t="s">
        <v>6659</v>
      </c>
      <c r="B3015" t="s">
        <v>6660</v>
      </c>
      <c r="C3015">
        <v>6</v>
      </c>
      <c r="D3015" t="s">
        <v>345</v>
      </c>
      <c r="E3015" t="s">
        <v>6661</v>
      </c>
    </row>
    <row r="3016" spans="1:9" x14ac:dyDescent="0.3">
      <c r="A3016" t="s">
        <v>6662</v>
      </c>
      <c r="B3016" t="s">
        <v>6663</v>
      </c>
      <c r="C3016">
        <v>2</v>
      </c>
      <c r="D3016" t="s">
        <v>189</v>
      </c>
      <c r="E3016" t="s">
        <v>6664</v>
      </c>
      <c r="I3016" t="s">
        <v>6665</v>
      </c>
    </row>
    <row r="3017" spans="1:9" x14ac:dyDescent="0.3">
      <c r="A3017" t="s">
        <v>6666</v>
      </c>
      <c r="B3017" t="s">
        <v>6561</v>
      </c>
      <c r="C3017">
        <v>0.5</v>
      </c>
      <c r="D3017" t="s">
        <v>23</v>
      </c>
      <c r="E3017" t="s">
        <v>365</v>
      </c>
    </row>
    <row r="3018" spans="1:9" x14ac:dyDescent="0.3">
      <c r="A3018" t="s">
        <v>6667</v>
      </c>
      <c r="B3018" t="s">
        <v>6668</v>
      </c>
      <c r="C3018">
        <v>2</v>
      </c>
      <c r="D3018" t="s">
        <v>23</v>
      </c>
      <c r="E3018" t="s">
        <v>6669</v>
      </c>
      <c r="I3018" t="s">
        <v>6670</v>
      </c>
    </row>
    <row r="3019" spans="1:9" x14ac:dyDescent="0.3">
      <c r="A3019" t="s">
        <v>6671</v>
      </c>
      <c r="B3019" t="s">
        <v>6672</v>
      </c>
      <c r="C3019">
        <v>1</v>
      </c>
      <c r="D3019" t="s">
        <v>37</v>
      </c>
      <c r="E3019" t="s">
        <v>6673</v>
      </c>
      <c r="I3019" t="s">
        <v>6674</v>
      </c>
    </row>
    <row r="3020" spans="1:9" x14ac:dyDescent="0.3">
      <c r="A3020" t="s">
        <v>6675</v>
      </c>
      <c r="B3020" t="s">
        <v>6676</v>
      </c>
      <c r="C3020">
        <v>0.5</v>
      </c>
      <c r="D3020" t="s">
        <v>23</v>
      </c>
      <c r="E3020" t="s">
        <v>2289</v>
      </c>
    </row>
    <row r="3021" spans="1:9" x14ac:dyDescent="0.3">
      <c r="A3021" t="s">
        <v>103</v>
      </c>
      <c r="B3021" t="s">
        <v>6677</v>
      </c>
      <c r="C3021">
        <v>0.83</v>
      </c>
      <c r="D3021" t="s">
        <v>23</v>
      </c>
      <c r="E3021" t="s">
        <v>30</v>
      </c>
    </row>
    <row r="3022" spans="1:9" x14ac:dyDescent="0.3">
      <c r="A3022" t="s">
        <v>6678</v>
      </c>
      <c r="B3022" t="s">
        <v>6679</v>
      </c>
      <c r="C3022">
        <v>3</v>
      </c>
      <c r="D3022" t="s">
        <v>23</v>
      </c>
      <c r="E3022" t="s">
        <v>6680</v>
      </c>
    </row>
    <row r="3023" spans="1:9" x14ac:dyDescent="0.3">
      <c r="A3023" t="s">
        <v>6681</v>
      </c>
      <c r="B3023" t="s">
        <v>6682</v>
      </c>
      <c r="C3023">
        <v>1.5</v>
      </c>
      <c r="D3023" t="s">
        <v>91</v>
      </c>
      <c r="E3023" t="s">
        <v>6683</v>
      </c>
    </row>
    <row r="3024" spans="1:9" x14ac:dyDescent="0.3">
      <c r="A3024" t="s">
        <v>6684</v>
      </c>
      <c r="B3024" t="s">
        <v>6685</v>
      </c>
      <c r="C3024">
        <v>2</v>
      </c>
      <c r="D3024" t="s">
        <v>23</v>
      </c>
      <c r="E3024" t="s">
        <v>278</v>
      </c>
    </row>
    <row r="3025" spans="1:9" x14ac:dyDescent="0.3">
      <c r="A3025" t="s">
        <v>6686</v>
      </c>
      <c r="B3025" t="s">
        <v>6687</v>
      </c>
      <c r="C3025">
        <v>0.5</v>
      </c>
      <c r="D3025" t="s">
        <v>23</v>
      </c>
      <c r="E3025" t="s">
        <v>6688</v>
      </c>
    </row>
    <row r="3026" spans="1:9" x14ac:dyDescent="0.3">
      <c r="A3026" t="s">
        <v>6689</v>
      </c>
      <c r="B3026" t="s">
        <v>6690</v>
      </c>
      <c r="D3026" t="s">
        <v>6691</v>
      </c>
      <c r="E3026" t="s">
        <v>6692</v>
      </c>
      <c r="I3026" t="s">
        <v>6693</v>
      </c>
    </row>
    <row r="3027" spans="1:9" x14ac:dyDescent="0.3">
      <c r="A3027" t="s">
        <v>6694</v>
      </c>
      <c r="B3027" t="s">
        <v>6695</v>
      </c>
      <c r="C3027">
        <v>0.25</v>
      </c>
      <c r="D3027" t="s">
        <v>23</v>
      </c>
      <c r="E3027" t="s">
        <v>2056</v>
      </c>
    </row>
    <row r="3028" spans="1:9" x14ac:dyDescent="0.3">
      <c r="A3028" t="s">
        <v>2064</v>
      </c>
      <c r="B3028" t="s">
        <v>6696</v>
      </c>
      <c r="C3028">
        <v>4</v>
      </c>
      <c r="D3028" t="s">
        <v>23</v>
      </c>
      <c r="E3028" t="s">
        <v>6697</v>
      </c>
    </row>
    <row r="3029" spans="1:9" x14ac:dyDescent="0.3">
      <c r="A3029" t="s">
        <v>6698</v>
      </c>
      <c r="B3029" t="s">
        <v>6699</v>
      </c>
      <c r="C3029">
        <v>1</v>
      </c>
      <c r="D3029" t="s">
        <v>1671</v>
      </c>
      <c r="E3029" t="s">
        <v>163</v>
      </c>
      <c r="I3029" t="s">
        <v>1352</v>
      </c>
    </row>
    <row r="3030" spans="1:9" x14ac:dyDescent="0.3">
      <c r="A3030" t="s">
        <v>6700</v>
      </c>
      <c r="B3030" t="s">
        <v>3407</v>
      </c>
      <c r="C3030">
        <v>1</v>
      </c>
      <c r="D3030" t="s">
        <v>426</v>
      </c>
      <c r="E3030" t="s">
        <v>423</v>
      </c>
    </row>
    <row r="3031" spans="1:9" x14ac:dyDescent="0.3">
      <c r="A3031" t="s">
        <v>6701</v>
      </c>
      <c r="B3031" t="s">
        <v>6702</v>
      </c>
      <c r="C3031">
        <v>2</v>
      </c>
      <c r="D3031" t="s">
        <v>6703</v>
      </c>
      <c r="E3031" t="s">
        <v>738</v>
      </c>
    </row>
    <row r="3032" spans="1:9" x14ac:dyDescent="0.3">
      <c r="A3032" t="s">
        <v>6704</v>
      </c>
      <c r="B3032" t="s">
        <v>4224</v>
      </c>
      <c r="C3032">
        <v>1</v>
      </c>
      <c r="D3032" t="s">
        <v>23</v>
      </c>
      <c r="E3032" t="s">
        <v>716</v>
      </c>
    </row>
    <row r="3033" spans="1:9" x14ac:dyDescent="0.3">
      <c r="A3033" t="s">
        <v>6705</v>
      </c>
      <c r="B3033" t="s">
        <v>233</v>
      </c>
      <c r="E3033" t="s">
        <v>233</v>
      </c>
    </row>
    <row r="3034" spans="1:9" x14ac:dyDescent="0.3">
      <c r="A3034" t="s">
        <v>6706</v>
      </c>
      <c r="B3034" t="s">
        <v>6707</v>
      </c>
      <c r="C3034">
        <v>1</v>
      </c>
      <c r="D3034" t="s">
        <v>120</v>
      </c>
      <c r="E3034" t="s">
        <v>160</v>
      </c>
      <c r="I3034" t="s">
        <v>289</v>
      </c>
    </row>
    <row r="3035" spans="1:9" x14ac:dyDescent="0.3">
      <c r="A3035" t="s">
        <v>6708</v>
      </c>
      <c r="B3035" t="s">
        <v>6709</v>
      </c>
      <c r="C3035">
        <v>1</v>
      </c>
      <c r="D3035" t="s">
        <v>11</v>
      </c>
      <c r="E3035" t="s">
        <v>2785</v>
      </c>
    </row>
    <row r="3036" spans="1:9" x14ac:dyDescent="0.3">
      <c r="A3036" t="s">
        <v>6710</v>
      </c>
      <c r="B3036" t="s">
        <v>6711</v>
      </c>
      <c r="C3036">
        <v>10</v>
      </c>
      <c r="D3036" t="s">
        <v>29</v>
      </c>
      <c r="E3036" t="s">
        <v>6712</v>
      </c>
    </row>
    <row r="3037" spans="1:9" x14ac:dyDescent="0.3">
      <c r="A3037" t="s">
        <v>6713</v>
      </c>
      <c r="B3037" t="s">
        <v>6714</v>
      </c>
      <c r="C3037">
        <v>1</v>
      </c>
      <c r="D3037" t="s">
        <v>37</v>
      </c>
      <c r="E3037" t="s">
        <v>6715</v>
      </c>
      <c r="I3037" t="s">
        <v>1523</v>
      </c>
    </row>
    <row r="3038" spans="1:9" x14ac:dyDescent="0.3">
      <c r="A3038" t="s">
        <v>6716</v>
      </c>
      <c r="B3038" t="s">
        <v>526</v>
      </c>
      <c r="C3038">
        <v>10.5</v>
      </c>
      <c r="D3038" t="s">
        <v>91</v>
      </c>
      <c r="E3038" t="s">
        <v>281</v>
      </c>
    </row>
    <row r="3039" spans="1:9" x14ac:dyDescent="0.3">
      <c r="A3039" t="s">
        <v>6717</v>
      </c>
      <c r="B3039" t="s">
        <v>6718</v>
      </c>
      <c r="C3039">
        <v>0.75</v>
      </c>
      <c r="D3039" t="s">
        <v>206</v>
      </c>
      <c r="E3039" t="s">
        <v>81</v>
      </c>
    </row>
    <row r="3040" spans="1:9" x14ac:dyDescent="0.3">
      <c r="A3040" t="s">
        <v>6719</v>
      </c>
      <c r="B3040" t="s">
        <v>6720</v>
      </c>
      <c r="C3040">
        <v>1</v>
      </c>
      <c r="D3040" t="s">
        <v>23</v>
      </c>
      <c r="E3040" t="s">
        <v>6721</v>
      </c>
    </row>
    <row r="3041" spans="1:9" x14ac:dyDescent="0.3">
      <c r="A3041" t="s">
        <v>5476</v>
      </c>
      <c r="B3041" t="s">
        <v>5701</v>
      </c>
      <c r="C3041">
        <v>2</v>
      </c>
      <c r="D3041" t="s">
        <v>345</v>
      </c>
      <c r="E3041" t="s">
        <v>41</v>
      </c>
    </row>
    <row r="3042" spans="1:9" x14ac:dyDescent="0.3">
      <c r="A3042" t="s">
        <v>4628</v>
      </c>
      <c r="B3042" t="s">
        <v>6722</v>
      </c>
      <c r="C3042">
        <v>0.5</v>
      </c>
      <c r="D3042" t="s">
        <v>2210</v>
      </c>
      <c r="E3042" t="s">
        <v>4035</v>
      </c>
      <c r="I3042" t="s">
        <v>6723</v>
      </c>
    </row>
    <row r="3043" spans="1:9" x14ac:dyDescent="0.3">
      <c r="A3043" t="s">
        <v>6724</v>
      </c>
      <c r="B3043" t="s">
        <v>6725</v>
      </c>
      <c r="C3043">
        <v>1</v>
      </c>
      <c r="D3043" t="s">
        <v>585</v>
      </c>
      <c r="E3043" t="s">
        <v>2296</v>
      </c>
      <c r="I3043" t="s">
        <v>248</v>
      </c>
    </row>
    <row r="3044" spans="1:9" x14ac:dyDescent="0.3">
      <c r="A3044" t="s">
        <v>6726</v>
      </c>
      <c r="B3044" t="s">
        <v>6023</v>
      </c>
      <c r="C3044">
        <v>50</v>
      </c>
      <c r="D3044" t="s">
        <v>29</v>
      </c>
      <c r="E3044" t="s">
        <v>233</v>
      </c>
      <c r="I3044" t="s">
        <v>917</v>
      </c>
    </row>
    <row r="3045" spans="1:9" x14ac:dyDescent="0.3">
      <c r="A3045" t="s">
        <v>6727</v>
      </c>
      <c r="B3045" t="s">
        <v>6728</v>
      </c>
      <c r="C3045">
        <v>0.25</v>
      </c>
      <c r="D3045" t="s">
        <v>23</v>
      </c>
      <c r="E3045" t="s">
        <v>38</v>
      </c>
    </row>
    <row r="3046" spans="1:9" x14ac:dyDescent="0.3">
      <c r="A3046" t="s">
        <v>6729</v>
      </c>
      <c r="B3046" t="s">
        <v>4793</v>
      </c>
      <c r="C3046">
        <v>1.5</v>
      </c>
      <c r="D3046" t="s">
        <v>23</v>
      </c>
      <c r="E3046" t="s">
        <v>1003</v>
      </c>
    </row>
    <row r="3047" spans="1:9" x14ac:dyDescent="0.3">
      <c r="A3047" t="s">
        <v>6730</v>
      </c>
      <c r="B3047" t="s">
        <v>6731</v>
      </c>
      <c r="C3047">
        <v>50</v>
      </c>
      <c r="D3047" t="s">
        <v>29</v>
      </c>
      <c r="E3047" t="s">
        <v>6732</v>
      </c>
      <c r="I3047" t="s">
        <v>6733</v>
      </c>
    </row>
    <row r="3048" spans="1:9" x14ac:dyDescent="0.3">
      <c r="A3048" t="s">
        <v>6734</v>
      </c>
      <c r="B3048" t="s">
        <v>6735</v>
      </c>
      <c r="C3048">
        <v>3.5</v>
      </c>
      <c r="D3048" t="s">
        <v>23</v>
      </c>
      <c r="E3048" t="s">
        <v>98</v>
      </c>
    </row>
    <row r="3049" spans="1:9" x14ac:dyDescent="0.3">
      <c r="A3049" t="s">
        <v>6736</v>
      </c>
      <c r="B3049" t="s">
        <v>6737</v>
      </c>
      <c r="C3049">
        <v>2</v>
      </c>
      <c r="D3049" t="s">
        <v>23</v>
      </c>
      <c r="E3049" t="s">
        <v>6738</v>
      </c>
    </row>
    <row r="3050" spans="1:9" x14ac:dyDescent="0.3">
      <c r="A3050" t="s">
        <v>5141</v>
      </c>
      <c r="B3050" t="s">
        <v>6739</v>
      </c>
      <c r="E3050" t="s">
        <v>6740</v>
      </c>
      <c r="I3050" t="s">
        <v>164</v>
      </c>
    </row>
    <row r="3051" spans="1:9" x14ac:dyDescent="0.3">
      <c r="A3051" t="s">
        <v>912</v>
      </c>
      <c r="B3051" t="s">
        <v>2667</v>
      </c>
      <c r="C3051">
        <v>0.5</v>
      </c>
      <c r="D3051" t="s">
        <v>37</v>
      </c>
      <c r="E3051" t="s">
        <v>2449</v>
      </c>
    </row>
    <row r="3052" spans="1:9" x14ac:dyDescent="0.3">
      <c r="A3052" t="s">
        <v>6741</v>
      </c>
      <c r="B3052" t="s">
        <v>6742</v>
      </c>
      <c r="C3052">
        <v>1.5</v>
      </c>
      <c r="D3052" t="s">
        <v>23</v>
      </c>
      <c r="E3052" t="s">
        <v>6743</v>
      </c>
    </row>
    <row r="3053" spans="1:9" x14ac:dyDescent="0.3">
      <c r="A3053" t="s">
        <v>5933</v>
      </c>
      <c r="B3053" t="s">
        <v>6744</v>
      </c>
      <c r="C3053">
        <v>0.5</v>
      </c>
      <c r="D3053" t="s">
        <v>37</v>
      </c>
      <c r="E3053" t="s">
        <v>81</v>
      </c>
      <c r="I3053" t="s">
        <v>6745</v>
      </c>
    </row>
    <row r="3054" spans="1:9" x14ac:dyDescent="0.3">
      <c r="A3054" t="s">
        <v>6746</v>
      </c>
      <c r="B3054" t="s">
        <v>6747</v>
      </c>
      <c r="C3054">
        <v>0.75</v>
      </c>
      <c r="D3054" t="s">
        <v>37</v>
      </c>
      <c r="E3054" t="s">
        <v>6748</v>
      </c>
    </row>
    <row r="3055" spans="1:9" x14ac:dyDescent="0.3">
      <c r="A3055" t="s">
        <v>6749</v>
      </c>
      <c r="B3055" t="s">
        <v>6750</v>
      </c>
      <c r="C3055">
        <v>3</v>
      </c>
      <c r="D3055" t="s">
        <v>23</v>
      </c>
      <c r="E3055" t="s">
        <v>6751</v>
      </c>
    </row>
    <row r="3056" spans="1:9" x14ac:dyDescent="0.3">
      <c r="A3056" t="s">
        <v>6752</v>
      </c>
      <c r="B3056" t="s">
        <v>1363</v>
      </c>
      <c r="C3056">
        <v>15</v>
      </c>
      <c r="D3056" t="s">
        <v>29</v>
      </c>
      <c r="E3056" t="s">
        <v>95</v>
      </c>
    </row>
    <row r="3057" spans="1:9" x14ac:dyDescent="0.3">
      <c r="A3057" t="s">
        <v>6753</v>
      </c>
      <c r="B3057" t="s">
        <v>6754</v>
      </c>
      <c r="C3057">
        <v>2</v>
      </c>
      <c r="D3057" t="s">
        <v>71</v>
      </c>
      <c r="E3057" t="s">
        <v>507</v>
      </c>
      <c r="I3057" t="s">
        <v>6755</v>
      </c>
    </row>
    <row r="3058" spans="1:9" x14ac:dyDescent="0.3">
      <c r="A3058" t="s">
        <v>6756</v>
      </c>
      <c r="B3058" t="s">
        <v>6757</v>
      </c>
      <c r="C3058">
        <v>70</v>
      </c>
      <c r="D3058" t="s">
        <v>29</v>
      </c>
      <c r="E3058" t="s">
        <v>6758</v>
      </c>
    </row>
    <row r="3059" spans="1:9" x14ac:dyDescent="0.3">
      <c r="A3059" t="s">
        <v>6759</v>
      </c>
      <c r="B3059" t="s">
        <v>6760</v>
      </c>
      <c r="C3059">
        <v>1.5</v>
      </c>
      <c r="D3059" t="s">
        <v>23</v>
      </c>
      <c r="E3059" t="s">
        <v>1506</v>
      </c>
    </row>
    <row r="3060" spans="1:9" x14ac:dyDescent="0.3">
      <c r="A3060" t="s">
        <v>6761</v>
      </c>
      <c r="B3060" t="s">
        <v>6762</v>
      </c>
      <c r="C3060">
        <v>1</v>
      </c>
      <c r="D3060" t="s">
        <v>284</v>
      </c>
      <c r="E3060" t="s">
        <v>1169</v>
      </c>
      <c r="G3060" t="s">
        <v>6763</v>
      </c>
    </row>
    <row r="3061" spans="1:9" x14ac:dyDescent="0.3">
      <c r="A3061" t="s">
        <v>2487</v>
      </c>
      <c r="B3061" t="s">
        <v>6764</v>
      </c>
      <c r="C3061">
        <v>1</v>
      </c>
      <c r="D3061" t="s">
        <v>18</v>
      </c>
      <c r="E3061" t="s">
        <v>6765</v>
      </c>
    </row>
    <row r="3062" spans="1:9" x14ac:dyDescent="0.3">
      <c r="A3062" t="s">
        <v>6766</v>
      </c>
      <c r="B3062" t="s">
        <v>6767</v>
      </c>
      <c r="E3062" t="s">
        <v>6768</v>
      </c>
      <c r="H3062" t="s">
        <v>1078</v>
      </c>
      <c r="I3062" t="s">
        <v>6769</v>
      </c>
    </row>
    <row r="3063" spans="1:9" x14ac:dyDescent="0.3">
      <c r="A3063" t="s">
        <v>4404</v>
      </c>
      <c r="B3063" t="s">
        <v>6770</v>
      </c>
      <c r="C3063">
        <v>1</v>
      </c>
      <c r="D3063" t="s">
        <v>1212</v>
      </c>
      <c r="E3063" t="s">
        <v>163</v>
      </c>
    </row>
    <row r="3064" spans="1:9" x14ac:dyDescent="0.3">
      <c r="A3064" t="s">
        <v>6771</v>
      </c>
      <c r="B3064" t="s">
        <v>6772</v>
      </c>
      <c r="C3064">
        <v>0.5</v>
      </c>
      <c r="D3064" t="s">
        <v>11</v>
      </c>
      <c r="E3064" t="s">
        <v>6773</v>
      </c>
      <c r="I3064" t="s">
        <v>654</v>
      </c>
    </row>
    <row r="3065" spans="1:9" x14ac:dyDescent="0.3">
      <c r="A3065" t="s">
        <v>6774</v>
      </c>
      <c r="B3065" t="s">
        <v>6775</v>
      </c>
      <c r="C3065">
        <v>1</v>
      </c>
      <c r="D3065" t="s">
        <v>18</v>
      </c>
      <c r="E3065" t="s">
        <v>6776</v>
      </c>
      <c r="I3065" t="s">
        <v>20</v>
      </c>
    </row>
    <row r="3066" spans="1:9" x14ac:dyDescent="0.3">
      <c r="A3066" t="s">
        <v>6777</v>
      </c>
      <c r="B3066" t="s">
        <v>6778</v>
      </c>
      <c r="C3066">
        <v>1</v>
      </c>
      <c r="D3066" t="s">
        <v>469</v>
      </c>
      <c r="E3066" t="s">
        <v>1011</v>
      </c>
    </row>
    <row r="3067" spans="1:9" x14ac:dyDescent="0.3">
      <c r="A3067" t="s">
        <v>6316</v>
      </c>
      <c r="B3067" t="s">
        <v>6779</v>
      </c>
      <c r="C3067">
        <v>3</v>
      </c>
      <c r="D3067" t="s">
        <v>23</v>
      </c>
      <c r="E3067" t="s">
        <v>233</v>
      </c>
    </row>
    <row r="3068" spans="1:9" x14ac:dyDescent="0.3">
      <c r="A3068" t="s">
        <v>6780</v>
      </c>
      <c r="B3068" t="s">
        <v>1820</v>
      </c>
      <c r="C3068">
        <v>0.25</v>
      </c>
      <c r="D3068" t="s">
        <v>23</v>
      </c>
      <c r="E3068" t="s">
        <v>81</v>
      </c>
    </row>
    <row r="3069" spans="1:9" x14ac:dyDescent="0.3">
      <c r="A3069" t="s">
        <v>6781</v>
      </c>
      <c r="B3069" t="s">
        <v>6782</v>
      </c>
      <c r="C3069">
        <v>1.5</v>
      </c>
      <c r="D3069" t="s">
        <v>345</v>
      </c>
      <c r="E3069" t="s">
        <v>6783</v>
      </c>
      <c r="I3069" t="s">
        <v>6784</v>
      </c>
    </row>
    <row r="3070" spans="1:9" x14ac:dyDescent="0.3">
      <c r="A3070" t="s">
        <v>6785</v>
      </c>
      <c r="B3070" t="s">
        <v>6786</v>
      </c>
      <c r="C3070">
        <v>1</v>
      </c>
      <c r="D3070" t="s">
        <v>23</v>
      </c>
      <c r="E3070" t="s">
        <v>6787</v>
      </c>
    </row>
    <row r="3071" spans="1:9" x14ac:dyDescent="0.3">
      <c r="A3071" t="s">
        <v>6788</v>
      </c>
      <c r="B3071" t="s">
        <v>6789</v>
      </c>
      <c r="C3071">
        <v>25</v>
      </c>
      <c r="D3071" t="s">
        <v>29</v>
      </c>
      <c r="E3071" t="s">
        <v>2342</v>
      </c>
    </row>
    <row r="3072" spans="1:9" x14ac:dyDescent="0.3">
      <c r="A3072" t="s">
        <v>6790</v>
      </c>
      <c r="B3072" t="s">
        <v>5276</v>
      </c>
      <c r="C3072">
        <v>0.25</v>
      </c>
      <c r="D3072" t="s">
        <v>11</v>
      </c>
      <c r="E3072" t="s">
        <v>5277</v>
      </c>
    </row>
    <row r="3073" spans="1:9" x14ac:dyDescent="0.3">
      <c r="A3073" t="s">
        <v>2891</v>
      </c>
      <c r="B3073" t="s">
        <v>3096</v>
      </c>
      <c r="C3073">
        <v>0.5</v>
      </c>
      <c r="D3073" t="s">
        <v>23</v>
      </c>
      <c r="E3073" t="s">
        <v>2703</v>
      </c>
    </row>
    <row r="3074" spans="1:9" x14ac:dyDescent="0.3">
      <c r="A3074" t="s">
        <v>4593</v>
      </c>
      <c r="B3074" t="s">
        <v>6791</v>
      </c>
      <c r="C3074">
        <v>1</v>
      </c>
      <c r="D3074" t="s">
        <v>6792</v>
      </c>
      <c r="E3074" t="s">
        <v>6793</v>
      </c>
    </row>
    <row r="3075" spans="1:9" x14ac:dyDescent="0.3">
      <c r="A3075" t="s">
        <v>6794</v>
      </c>
      <c r="B3075" t="s">
        <v>3977</v>
      </c>
      <c r="E3075" t="s">
        <v>3977</v>
      </c>
    </row>
    <row r="3076" spans="1:9" x14ac:dyDescent="0.3">
      <c r="A3076" t="s">
        <v>6795</v>
      </c>
      <c r="B3076" t="s">
        <v>6796</v>
      </c>
      <c r="C3076">
        <v>1</v>
      </c>
      <c r="D3076" t="s">
        <v>23</v>
      </c>
      <c r="E3076" t="s">
        <v>6797</v>
      </c>
    </row>
    <row r="3077" spans="1:9" x14ac:dyDescent="0.3">
      <c r="A3077" t="s">
        <v>6798</v>
      </c>
      <c r="B3077" t="s">
        <v>6799</v>
      </c>
      <c r="C3077">
        <v>1</v>
      </c>
      <c r="D3077" t="s">
        <v>23</v>
      </c>
      <c r="E3077" t="s">
        <v>1084</v>
      </c>
      <c r="I3077" t="s">
        <v>289</v>
      </c>
    </row>
    <row r="3078" spans="1:9" x14ac:dyDescent="0.3">
      <c r="A3078" t="s">
        <v>6800</v>
      </c>
      <c r="B3078" t="s">
        <v>6801</v>
      </c>
      <c r="C3078">
        <v>1</v>
      </c>
      <c r="D3078" t="s">
        <v>23</v>
      </c>
      <c r="E3078" t="s">
        <v>2211</v>
      </c>
    </row>
    <row r="3079" spans="1:9" x14ac:dyDescent="0.3">
      <c r="A3079" t="s">
        <v>6802</v>
      </c>
      <c r="B3079" t="s">
        <v>6803</v>
      </c>
      <c r="C3079">
        <v>1</v>
      </c>
      <c r="D3079" t="s">
        <v>37</v>
      </c>
      <c r="E3079" t="s">
        <v>547</v>
      </c>
    </row>
    <row r="3080" spans="1:9" x14ac:dyDescent="0.3">
      <c r="A3080" t="s">
        <v>6804</v>
      </c>
      <c r="B3080" t="s">
        <v>6805</v>
      </c>
      <c r="C3080">
        <v>0.5</v>
      </c>
      <c r="D3080" t="s">
        <v>460</v>
      </c>
      <c r="E3080" t="s">
        <v>30</v>
      </c>
    </row>
    <row r="3081" spans="1:9" x14ac:dyDescent="0.3">
      <c r="A3081" t="s">
        <v>6806</v>
      </c>
      <c r="B3081" t="s">
        <v>6807</v>
      </c>
      <c r="C3081">
        <v>10.5</v>
      </c>
      <c r="D3081" t="s">
        <v>91</v>
      </c>
      <c r="E3081" t="s">
        <v>6808</v>
      </c>
    </row>
    <row r="3082" spans="1:9" x14ac:dyDescent="0.3">
      <c r="A3082" t="s">
        <v>6809</v>
      </c>
      <c r="B3082" t="s">
        <v>6810</v>
      </c>
      <c r="E3082" t="s">
        <v>160</v>
      </c>
      <c r="I3082" t="s">
        <v>6811</v>
      </c>
    </row>
    <row r="3083" spans="1:9" x14ac:dyDescent="0.3">
      <c r="A3083" t="s">
        <v>6812</v>
      </c>
      <c r="B3083" t="s">
        <v>2220</v>
      </c>
      <c r="C3083">
        <v>1</v>
      </c>
      <c r="D3083" t="s">
        <v>1671</v>
      </c>
      <c r="E3083" t="s">
        <v>163</v>
      </c>
    </row>
    <row r="3084" spans="1:9" x14ac:dyDescent="0.3">
      <c r="A3084" t="s">
        <v>6813</v>
      </c>
      <c r="B3084" t="s">
        <v>6814</v>
      </c>
      <c r="C3084">
        <v>4</v>
      </c>
      <c r="D3084" t="s">
        <v>23</v>
      </c>
      <c r="E3084" t="s">
        <v>241</v>
      </c>
    </row>
    <row r="3085" spans="1:9" x14ac:dyDescent="0.3">
      <c r="A3085" t="s">
        <v>6815</v>
      </c>
      <c r="B3085" t="s">
        <v>5573</v>
      </c>
      <c r="C3085">
        <v>1.5</v>
      </c>
      <c r="D3085" t="s">
        <v>23</v>
      </c>
      <c r="E3085" t="s">
        <v>3679</v>
      </c>
    </row>
    <row r="3086" spans="1:9" x14ac:dyDescent="0.3">
      <c r="A3086" t="s">
        <v>3603</v>
      </c>
      <c r="B3086" t="s">
        <v>6816</v>
      </c>
      <c r="E3086" t="s">
        <v>6817</v>
      </c>
      <c r="G3086" t="s">
        <v>6818</v>
      </c>
      <c r="I3086" t="s">
        <v>325</v>
      </c>
    </row>
    <row r="3087" spans="1:9" x14ac:dyDescent="0.3">
      <c r="A3087" t="s">
        <v>6819</v>
      </c>
      <c r="B3087" t="s">
        <v>6820</v>
      </c>
      <c r="C3087">
        <v>1</v>
      </c>
      <c r="D3087" t="s">
        <v>37</v>
      </c>
      <c r="E3087" t="s">
        <v>1451</v>
      </c>
      <c r="I3087" t="s">
        <v>6821</v>
      </c>
    </row>
    <row r="3088" spans="1:9" x14ac:dyDescent="0.3">
      <c r="A3088" t="s">
        <v>3671</v>
      </c>
      <c r="B3088" t="s">
        <v>4579</v>
      </c>
      <c r="C3088">
        <v>1</v>
      </c>
      <c r="E3088" t="s">
        <v>4580</v>
      </c>
    </row>
    <row r="3089" spans="1:9" x14ac:dyDescent="0.3">
      <c r="A3089" t="s">
        <v>6698</v>
      </c>
      <c r="B3089" t="s">
        <v>6822</v>
      </c>
      <c r="C3089">
        <v>30</v>
      </c>
      <c r="D3089" t="s">
        <v>29</v>
      </c>
      <c r="E3089" t="s">
        <v>6823</v>
      </c>
    </row>
    <row r="3090" spans="1:9" x14ac:dyDescent="0.3">
      <c r="A3090" t="s">
        <v>6824</v>
      </c>
      <c r="B3090" t="s">
        <v>337</v>
      </c>
      <c r="C3090">
        <v>1</v>
      </c>
      <c r="D3090" t="s">
        <v>23</v>
      </c>
      <c r="E3090" t="s">
        <v>338</v>
      </c>
    </row>
    <row r="3091" spans="1:9" x14ac:dyDescent="0.3">
      <c r="A3091" t="s">
        <v>6825</v>
      </c>
      <c r="B3091" t="s">
        <v>4492</v>
      </c>
      <c r="C3091">
        <v>1</v>
      </c>
      <c r="D3091" t="s">
        <v>23</v>
      </c>
      <c r="E3091" t="s">
        <v>3447</v>
      </c>
    </row>
    <row r="3092" spans="1:9" x14ac:dyDescent="0.3">
      <c r="A3092" t="s">
        <v>6826</v>
      </c>
      <c r="B3092" t="s">
        <v>6827</v>
      </c>
      <c r="C3092">
        <v>1</v>
      </c>
      <c r="D3092" t="s">
        <v>6828</v>
      </c>
      <c r="E3092" t="s">
        <v>4865</v>
      </c>
      <c r="I3092" t="s">
        <v>6829</v>
      </c>
    </row>
    <row r="3093" spans="1:9" x14ac:dyDescent="0.3">
      <c r="A3093" t="s">
        <v>1533</v>
      </c>
      <c r="B3093" t="s">
        <v>6830</v>
      </c>
      <c r="C3093">
        <v>0.5</v>
      </c>
      <c r="D3093" t="s">
        <v>460</v>
      </c>
      <c r="E3093" t="s">
        <v>1534</v>
      </c>
    </row>
    <row r="3094" spans="1:9" x14ac:dyDescent="0.3">
      <c r="A3094" t="s">
        <v>6831</v>
      </c>
      <c r="B3094" t="s">
        <v>6832</v>
      </c>
      <c r="C3094">
        <v>1</v>
      </c>
      <c r="D3094" t="s">
        <v>18</v>
      </c>
      <c r="E3094" t="s">
        <v>6833</v>
      </c>
    </row>
    <row r="3095" spans="1:9" x14ac:dyDescent="0.3">
      <c r="A3095" t="s">
        <v>6834</v>
      </c>
      <c r="B3095" t="s">
        <v>6835</v>
      </c>
      <c r="C3095">
        <v>0.25</v>
      </c>
      <c r="D3095" t="s">
        <v>11</v>
      </c>
      <c r="E3095" t="s">
        <v>6836</v>
      </c>
      <c r="I3095" t="s">
        <v>6837</v>
      </c>
    </row>
    <row r="3096" spans="1:9" x14ac:dyDescent="0.3">
      <c r="A3096" t="s">
        <v>6838</v>
      </c>
      <c r="B3096" t="s">
        <v>340</v>
      </c>
      <c r="C3096">
        <v>50</v>
      </c>
      <c r="D3096" t="s">
        <v>29</v>
      </c>
      <c r="E3096" t="s">
        <v>341</v>
      </c>
      <c r="I3096" t="s">
        <v>342</v>
      </c>
    </row>
    <row r="3097" spans="1:9" x14ac:dyDescent="0.3">
      <c r="A3097" t="s">
        <v>6839</v>
      </c>
      <c r="B3097" t="s">
        <v>6840</v>
      </c>
      <c r="C3097">
        <v>3</v>
      </c>
      <c r="D3097" t="s">
        <v>189</v>
      </c>
      <c r="E3097" t="s">
        <v>2214</v>
      </c>
      <c r="I3097" t="s">
        <v>289</v>
      </c>
    </row>
    <row r="3098" spans="1:9" x14ac:dyDescent="0.3">
      <c r="A3098" t="s">
        <v>2768</v>
      </c>
      <c r="B3098" t="s">
        <v>6841</v>
      </c>
      <c r="C3098">
        <v>1</v>
      </c>
      <c r="D3098" t="s">
        <v>4524</v>
      </c>
      <c r="E3098" t="s">
        <v>6842</v>
      </c>
      <c r="I3098" t="s">
        <v>20</v>
      </c>
    </row>
    <row r="3099" spans="1:9" x14ac:dyDescent="0.3">
      <c r="A3099" t="s">
        <v>6843</v>
      </c>
      <c r="B3099" t="s">
        <v>2370</v>
      </c>
      <c r="C3099">
        <v>1</v>
      </c>
      <c r="D3099" t="s">
        <v>284</v>
      </c>
      <c r="E3099" t="s">
        <v>413</v>
      </c>
      <c r="G3099" t="s">
        <v>1571</v>
      </c>
    </row>
    <row r="3100" spans="1:9" x14ac:dyDescent="0.3">
      <c r="A3100" t="s">
        <v>6844</v>
      </c>
      <c r="B3100" t="s">
        <v>6845</v>
      </c>
      <c r="C3100">
        <v>8</v>
      </c>
      <c r="E3100" t="s">
        <v>813</v>
      </c>
    </row>
    <row r="3101" spans="1:9" x14ac:dyDescent="0.3">
      <c r="A3101" t="s">
        <v>6846</v>
      </c>
      <c r="B3101" t="s">
        <v>6847</v>
      </c>
      <c r="C3101">
        <v>15</v>
      </c>
      <c r="D3101" t="s">
        <v>29</v>
      </c>
      <c r="E3101" t="s">
        <v>341</v>
      </c>
      <c r="I3101" t="s">
        <v>342</v>
      </c>
    </row>
    <row r="3102" spans="1:9" x14ac:dyDescent="0.3">
      <c r="A3102" t="s">
        <v>6848</v>
      </c>
      <c r="B3102" t="s">
        <v>6849</v>
      </c>
      <c r="C3102">
        <v>10</v>
      </c>
      <c r="D3102" t="s">
        <v>29</v>
      </c>
      <c r="E3102" t="s">
        <v>233</v>
      </c>
    </row>
    <row r="3103" spans="1:9" x14ac:dyDescent="0.3">
      <c r="A3103" t="s">
        <v>6850</v>
      </c>
      <c r="B3103" t="s">
        <v>6851</v>
      </c>
      <c r="C3103">
        <v>1</v>
      </c>
      <c r="D3103" t="s">
        <v>4545</v>
      </c>
      <c r="E3103" t="s">
        <v>41</v>
      </c>
    </row>
    <row r="3104" spans="1:9" x14ac:dyDescent="0.3">
      <c r="A3104" t="s">
        <v>6852</v>
      </c>
      <c r="B3104" t="s">
        <v>3218</v>
      </c>
      <c r="E3104" t="s">
        <v>3218</v>
      </c>
    </row>
    <row r="3105" spans="1:9" x14ac:dyDescent="0.3">
      <c r="A3105" t="s">
        <v>6853</v>
      </c>
      <c r="B3105" t="s">
        <v>6854</v>
      </c>
      <c r="C3105">
        <v>0.5</v>
      </c>
      <c r="D3105" t="s">
        <v>23</v>
      </c>
      <c r="E3105" t="s">
        <v>936</v>
      </c>
    </row>
    <row r="3106" spans="1:9" x14ac:dyDescent="0.3">
      <c r="A3106" t="s">
        <v>6855</v>
      </c>
      <c r="B3106" t="s">
        <v>6856</v>
      </c>
      <c r="C3106">
        <v>1.5</v>
      </c>
      <c r="D3106" t="s">
        <v>345</v>
      </c>
      <c r="E3106" t="s">
        <v>6857</v>
      </c>
      <c r="I3106" t="s">
        <v>6858</v>
      </c>
    </row>
    <row r="3107" spans="1:9" x14ac:dyDescent="0.3">
      <c r="A3107" t="s">
        <v>4784</v>
      </c>
      <c r="B3107" t="s">
        <v>333</v>
      </c>
      <c r="E3107" t="s">
        <v>333</v>
      </c>
    </row>
    <row r="3108" spans="1:9" x14ac:dyDescent="0.3">
      <c r="A3108" t="s">
        <v>6859</v>
      </c>
      <c r="B3108" t="s">
        <v>6860</v>
      </c>
      <c r="C3108">
        <v>30</v>
      </c>
      <c r="D3108" t="s">
        <v>29</v>
      </c>
      <c r="E3108" t="s">
        <v>1204</v>
      </c>
    </row>
    <row r="3109" spans="1:9" x14ac:dyDescent="0.3">
      <c r="A3109" t="s">
        <v>6861</v>
      </c>
      <c r="B3109" t="s">
        <v>6862</v>
      </c>
      <c r="C3109">
        <v>1</v>
      </c>
      <c r="D3109" t="s">
        <v>426</v>
      </c>
      <c r="E3109" t="s">
        <v>741</v>
      </c>
      <c r="G3109" t="s">
        <v>167</v>
      </c>
    </row>
    <row r="3110" spans="1:9" x14ac:dyDescent="0.3">
      <c r="A3110" t="s">
        <v>6863</v>
      </c>
      <c r="B3110" t="s">
        <v>4442</v>
      </c>
      <c r="C3110">
        <v>1</v>
      </c>
      <c r="D3110" t="s">
        <v>23</v>
      </c>
      <c r="E3110" t="s">
        <v>30</v>
      </c>
    </row>
    <row r="3111" spans="1:9" x14ac:dyDescent="0.3">
      <c r="A3111" t="s">
        <v>6160</v>
      </c>
      <c r="B3111" t="s">
        <v>6864</v>
      </c>
      <c r="C3111">
        <v>0.5</v>
      </c>
      <c r="D3111" t="s">
        <v>206</v>
      </c>
      <c r="E3111" t="s">
        <v>24</v>
      </c>
    </row>
    <row r="3112" spans="1:9" x14ac:dyDescent="0.3">
      <c r="A3112" t="s">
        <v>6865</v>
      </c>
      <c r="B3112" t="s">
        <v>6866</v>
      </c>
      <c r="E3112" t="s">
        <v>2166</v>
      </c>
      <c r="G3112" t="s">
        <v>6867</v>
      </c>
      <c r="I3112" t="s">
        <v>164</v>
      </c>
    </row>
    <row r="3113" spans="1:9" x14ac:dyDescent="0.3">
      <c r="A3113" t="s">
        <v>724</v>
      </c>
      <c r="B3113" t="s">
        <v>6868</v>
      </c>
      <c r="C3113">
        <v>0.33</v>
      </c>
      <c r="D3113" t="s">
        <v>23</v>
      </c>
      <c r="E3113" t="s">
        <v>115</v>
      </c>
    </row>
    <row r="3114" spans="1:9" x14ac:dyDescent="0.3">
      <c r="A3114" t="s">
        <v>6869</v>
      </c>
      <c r="B3114" t="s">
        <v>6080</v>
      </c>
      <c r="C3114">
        <v>25</v>
      </c>
      <c r="D3114" t="s">
        <v>29</v>
      </c>
      <c r="E3114" t="s">
        <v>98</v>
      </c>
    </row>
    <row r="3115" spans="1:9" x14ac:dyDescent="0.3">
      <c r="A3115" t="s">
        <v>1762</v>
      </c>
      <c r="B3115" t="s">
        <v>6870</v>
      </c>
      <c r="C3115">
        <v>5</v>
      </c>
      <c r="D3115" t="s">
        <v>29</v>
      </c>
      <c r="E3115" t="s">
        <v>3598</v>
      </c>
    </row>
    <row r="3116" spans="1:9" x14ac:dyDescent="0.3">
      <c r="A3116" t="s">
        <v>6871</v>
      </c>
      <c r="B3116" t="s">
        <v>6872</v>
      </c>
      <c r="C3116">
        <v>6</v>
      </c>
      <c r="D3116" t="s">
        <v>1212</v>
      </c>
      <c r="E3116" t="s">
        <v>6873</v>
      </c>
    </row>
    <row r="3117" spans="1:9" x14ac:dyDescent="0.3">
      <c r="A3117" t="s">
        <v>6874</v>
      </c>
      <c r="B3117" t="s">
        <v>3165</v>
      </c>
      <c r="C3117">
        <v>0.25</v>
      </c>
      <c r="D3117" t="s">
        <v>37</v>
      </c>
      <c r="E3117" t="s">
        <v>6875</v>
      </c>
      <c r="I3117" t="s">
        <v>6876</v>
      </c>
    </row>
    <row r="3118" spans="1:9" x14ac:dyDescent="0.3">
      <c r="A3118" t="s">
        <v>6877</v>
      </c>
      <c r="B3118" t="s">
        <v>6878</v>
      </c>
      <c r="C3118">
        <v>1</v>
      </c>
      <c r="D3118" t="s">
        <v>50</v>
      </c>
      <c r="E3118" t="s">
        <v>738</v>
      </c>
    </row>
    <row r="3119" spans="1:9" x14ac:dyDescent="0.3">
      <c r="A3119" t="s">
        <v>6879</v>
      </c>
      <c r="B3119" t="s">
        <v>6880</v>
      </c>
      <c r="C3119">
        <v>0.75</v>
      </c>
      <c r="D3119" t="s">
        <v>23</v>
      </c>
      <c r="E3119" t="s">
        <v>6881</v>
      </c>
    </row>
    <row r="3120" spans="1:9" x14ac:dyDescent="0.3">
      <c r="A3120" t="s">
        <v>6882</v>
      </c>
      <c r="B3120" t="s">
        <v>6883</v>
      </c>
      <c r="C3120">
        <v>2</v>
      </c>
      <c r="D3120" t="s">
        <v>23</v>
      </c>
      <c r="E3120" t="s">
        <v>233</v>
      </c>
    </row>
    <row r="3121" spans="1:9" x14ac:dyDescent="0.3">
      <c r="A3121" t="s">
        <v>6884</v>
      </c>
      <c r="B3121" t="s">
        <v>6720</v>
      </c>
      <c r="C3121">
        <v>1</v>
      </c>
      <c r="D3121" t="s">
        <v>23</v>
      </c>
      <c r="E3121" t="s">
        <v>6721</v>
      </c>
    </row>
    <row r="3122" spans="1:9" x14ac:dyDescent="0.3">
      <c r="A3122" t="s">
        <v>6885</v>
      </c>
      <c r="B3122" t="s">
        <v>407</v>
      </c>
      <c r="C3122">
        <v>1</v>
      </c>
      <c r="D3122" t="s">
        <v>23</v>
      </c>
      <c r="E3122" t="s">
        <v>171</v>
      </c>
    </row>
    <row r="3123" spans="1:9" x14ac:dyDescent="0.3">
      <c r="A3123" t="s">
        <v>2374</v>
      </c>
      <c r="B3123" t="s">
        <v>6886</v>
      </c>
      <c r="C3123">
        <v>2</v>
      </c>
      <c r="D3123" t="s">
        <v>345</v>
      </c>
      <c r="E3123" t="s">
        <v>1451</v>
      </c>
    </row>
    <row r="3124" spans="1:9" x14ac:dyDescent="0.3">
      <c r="A3124" t="s">
        <v>4765</v>
      </c>
      <c r="B3124" t="s">
        <v>1156</v>
      </c>
      <c r="C3124">
        <v>4</v>
      </c>
      <c r="D3124" t="s">
        <v>189</v>
      </c>
      <c r="E3124" t="s">
        <v>190</v>
      </c>
    </row>
    <row r="3125" spans="1:9" x14ac:dyDescent="0.3">
      <c r="A3125" t="s">
        <v>6887</v>
      </c>
      <c r="B3125" t="s">
        <v>4296</v>
      </c>
      <c r="C3125">
        <v>0.5</v>
      </c>
      <c r="D3125" t="s">
        <v>37</v>
      </c>
      <c r="E3125" t="s">
        <v>160</v>
      </c>
    </row>
    <row r="3126" spans="1:9" x14ac:dyDescent="0.3">
      <c r="A3126" t="s">
        <v>3781</v>
      </c>
      <c r="B3126" t="s">
        <v>6888</v>
      </c>
      <c r="C3126">
        <v>10</v>
      </c>
      <c r="D3126" t="s">
        <v>29</v>
      </c>
      <c r="E3126" t="s">
        <v>402</v>
      </c>
    </row>
    <row r="3127" spans="1:9" x14ac:dyDescent="0.3">
      <c r="A3127" t="s">
        <v>6889</v>
      </c>
      <c r="B3127" t="s">
        <v>6890</v>
      </c>
      <c r="C3127">
        <v>6</v>
      </c>
      <c r="D3127" t="s">
        <v>835</v>
      </c>
      <c r="E3127" t="s">
        <v>6891</v>
      </c>
      <c r="I3127" t="s">
        <v>20</v>
      </c>
    </row>
    <row r="3128" spans="1:9" x14ac:dyDescent="0.3">
      <c r="A3128" t="s">
        <v>6892</v>
      </c>
      <c r="B3128" t="s">
        <v>6893</v>
      </c>
      <c r="C3128">
        <v>1</v>
      </c>
      <c r="D3128" t="s">
        <v>6792</v>
      </c>
      <c r="E3128" t="s">
        <v>6894</v>
      </c>
    </row>
    <row r="3129" spans="1:9" x14ac:dyDescent="0.3">
      <c r="A3129" t="s">
        <v>4971</v>
      </c>
      <c r="B3129" t="s">
        <v>6895</v>
      </c>
      <c r="C3129">
        <v>1</v>
      </c>
      <c r="D3129" t="s">
        <v>1785</v>
      </c>
      <c r="E3129" t="s">
        <v>1209</v>
      </c>
    </row>
    <row r="3130" spans="1:9" x14ac:dyDescent="0.3">
      <c r="A3130" t="s">
        <v>6896</v>
      </c>
      <c r="B3130" t="s">
        <v>6897</v>
      </c>
      <c r="C3130">
        <v>0.5</v>
      </c>
      <c r="D3130" t="s">
        <v>23</v>
      </c>
      <c r="E3130" t="s">
        <v>1633</v>
      </c>
    </row>
    <row r="3131" spans="1:9" x14ac:dyDescent="0.3">
      <c r="A3131" t="s">
        <v>6898</v>
      </c>
      <c r="B3131" t="s">
        <v>6899</v>
      </c>
      <c r="C3131">
        <v>37.5</v>
      </c>
      <c r="D3131" t="s">
        <v>29</v>
      </c>
      <c r="E3131" t="s">
        <v>844</v>
      </c>
    </row>
    <row r="3132" spans="1:9" x14ac:dyDescent="0.3">
      <c r="A3132" t="s">
        <v>3115</v>
      </c>
      <c r="B3132" t="s">
        <v>6900</v>
      </c>
      <c r="C3132">
        <v>1</v>
      </c>
      <c r="D3132" t="s">
        <v>460</v>
      </c>
      <c r="E3132" t="s">
        <v>4306</v>
      </c>
    </row>
    <row r="3133" spans="1:9" x14ac:dyDescent="0.3">
      <c r="A3133" t="s">
        <v>2241</v>
      </c>
      <c r="B3133" t="s">
        <v>6901</v>
      </c>
      <c r="C3133">
        <v>1.5</v>
      </c>
      <c r="D3133" t="s">
        <v>345</v>
      </c>
      <c r="E3133" t="s">
        <v>516</v>
      </c>
    </row>
    <row r="3134" spans="1:9" x14ac:dyDescent="0.3">
      <c r="A3134" t="s">
        <v>6902</v>
      </c>
      <c r="B3134" t="s">
        <v>2279</v>
      </c>
      <c r="C3134">
        <v>0.75</v>
      </c>
      <c r="D3134" t="s">
        <v>11</v>
      </c>
      <c r="E3134" t="s">
        <v>793</v>
      </c>
    </row>
    <row r="3135" spans="1:9" x14ac:dyDescent="0.3">
      <c r="A3135" t="s">
        <v>6903</v>
      </c>
      <c r="B3135" t="s">
        <v>1755</v>
      </c>
      <c r="C3135">
        <v>2</v>
      </c>
      <c r="D3135" t="s">
        <v>23</v>
      </c>
      <c r="E3135" t="s">
        <v>233</v>
      </c>
    </row>
    <row r="3136" spans="1:9" x14ac:dyDescent="0.3">
      <c r="A3136" t="s">
        <v>5925</v>
      </c>
      <c r="B3136" t="s">
        <v>5984</v>
      </c>
      <c r="C3136">
        <v>2</v>
      </c>
      <c r="D3136" t="s">
        <v>23</v>
      </c>
      <c r="E3136" t="s">
        <v>1003</v>
      </c>
    </row>
    <row r="3137" spans="1:9" x14ac:dyDescent="0.3">
      <c r="A3137" t="s">
        <v>6904</v>
      </c>
      <c r="B3137" t="s">
        <v>1278</v>
      </c>
      <c r="C3137">
        <v>3</v>
      </c>
      <c r="D3137" t="s">
        <v>23</v>
      </c>
      <c r="E3137" t="s">
        <v>738</v>
      </c>
    </row>
    <row r="3138" spans="1:9" x14ac:dyDescent="0.3">
      <c r="A3138" t="s">
        <v>6905</v>
      </c>
      <c r="B3138" t="s">
        <v>2846</v>
      </c>
      <c r="C3138">
        <v>1</v>
      </c>
      <c r="E3138" t="s">
        <v>1440</v>
      </c>
    </row>
    <row r="3139" spans="1:9" x14ac:dyDescent="0.3">
      <c r="A3139" t="s">
        <v>6906</v>
      </c>
      <c r="B3139" t="s">
        <v>51</v>
      </c>
      <c r="E3139" t="s">
        <v>51</v>
      </c>
    </row>
    <row r="3140" spans="1:9" x14ac:dyDescent="0.3">
      <c r="A3140" t="s">
        <v>6907</v>
      </c>
      <c r="B3140" t="s">
        <v>4612</v>
      </c>
      <c r="C3140">
        <v>1</v>
      </c>
      <c r="D3140" t="s">
        <v>23</v>
      </c>
      <c r="E3140" t="s">
        <v>761</v>
      </c>
    </row>
    <row r="3141" spans="1:9" x14ac:dyDescent="0.3">
      <c r="A3141" t="s">
        <v>6908</v>
      </c>
      <c r="B3141" t="s">
        <v>6909</v>
      </c>
      <c r="E3141" t="s">
        <v>6910</v>
      </c>
      <c r="I3141" t="s">
        <v>1124</v>
      </c>
    </row>
    <row r="3142" spans="1:9" x14ac:dyDescent="0.3">
      <c r="A3142" t="s">
        <v>6911</v>
      </c>
      <c r="B3142" t="s">
        <v>6912</v>
      </c>
      <c r="C3142">
        <v>2</v>
      </c>
      <c r="D3142" t="s">
        <v>460</v>
      </c>
      <c r="E3142" t="s">
        <v>6913</v>
      </c>
      <c r="I3142" t="s">
        <v>654</v>
      </c>
    </row>
    <row r="3143" spans="1:9" x14ac:dyDescent="0.3">
      <c r="A3143" t="s">
        <v>4891</v>
      </c>
      <c r="B3143" t="s">
        <v>6914</v>
      </c>
      <c r="C3143">
        <v>1</v>
      </c>
      <c r="D3143" t="s">
        <v>11</v>
      </c>
      <c r="E3143" t="s">
        <v>1070</v>
      </c>
      <c r="I3143" t="s">
        <v>20</v>
      </c>
    </row>
    <row r="3144" spans="1:9" x14ac:dyDescent="0.3">
      <c r="A3144" t="s">
        <v>1845</v>
      </c>
      <c r="B3144" t="s">
        <v>6915</v>
      </c>
      <c r="C3144">
        <v>0.85</v>
      </c>
      <c r="D3144" t="s">
        <v>23</v>
      </c>
      <c r="E3144" t="s">
        <v>98</v>
      </c>
    </row>
    <row r="3145" spans="1:9" x14ac:dyDescent="0.3">
      <c r="A3145" t="s">
        <v>6916</v>
      </c>
      <c r="B3145" t="s">
        <v>2298</v>
      </c>
      <c r="C3145">
        <v>3</v>
      </c>
      <c r="D3145" t="s">
        <v>91</v>
      </c>
      <c r="E3145" t="s">
        <v>2299</v>
      </c>
    </row>
    <row r="3146" spans="1:9" x14ac:dyDescent="0.3">
      <c r="A3146" t="s">
        <v>6917</v>
      </c>
      <c r="B3146" t="s">
        <v>6918</v>
      </c>
      <c r="C3146">
        <v>0.75</v>
      </c>
      <c r="D3146" t="s">
        <v>284</v>
      </c>
      <c r="E3146" t="s">
        <v>581</v>
      </c>
      <c r="I3146" t="s">
        <v>1214</v>
      </c>
    </row>
    <row r="3147" spans="1:9" x14ac:dyDescent="0.3">
      <c r="A3147" t="s">
        <v>109</v>
      </c>
      <c r="B3147" t="s">
        <v>3434</v>
      </c>
      <c r="C3147">
        <v>1.5</v>
      </c>
      <c r="D3147" t="s">
        <v>23</v>
      </c>
      <c r="E3147" t="s">
        <v>281</v>
      </c>
    </row>
    <row r="3148" spans="1:9" x14ac:dyDescent="0.3">
      <c r="A3148" t="s">
        <v>6919</v>
      </c>
      <c r="B3148" t="s">
        <v>6920</v>
      </c>
      <c r="C3148">
        <v>3</v>
      </c>
      <c r="D3148" t="s">
        <v>835</v>
      </c>
      <c r="E3148" t="s">
        <v>6921</v>
      </c>
    </row>
    <row r="3149" spans="1:9" x14ac:dyDescent="0.3">
      <c r="A3149" t="s">
        <v>6922</v>
      </c>
      <c r="B3149" t="s">
        <v>4492</v>
      </c>
      <c r="C3149">
        <v>1</v>
      </c>
      <c r="D3149" t="s">
        <v>23</v>
      </c>
      <c r="E3149" t="s">
        <v>3447</v>
      </c>
    </row>
    <row r="3150" spans="1:9" x14ac:dyDescent="0.3">
      <c r="A3150" t="s">
        <v>5181</v>
      </c>
      <c r="B3150" t="s">
        <v>6923</v>
      </c>
      <c r="C3150">
        <v>2</v>
      </c>
      <c r="D3150" t="s">
        <v>91</v>
      </c>
      <c r="E3150" t="s">
        <v>2446</v>
      </c>
    </row>
    <row r="3151" spans="1:9" x14ac:dyDescent="0.3">
      <c r="A3151" t="s">
        <v>6924</v>
      </c>
      <c r="B3151" t="s">
        <v>6925</v>
      </c>
      <c r="C3151">
        <v>1</v>
      </c>
      <c r="D3151" t="s">
        <v>1785</v>
      </c>
      <c r="E3151" t="s">
        <v>936</v>
      </c>
    </row>
    <row r="3152" spans="1:9" x14ac:dyDescent="0.3">
      <c r="A3152" t="s">
        <v>25</v>
      </c>
      <c r="B3152" t="s">
        <v>2851</v>
      </c>
      <c r="E3152" t="s">
        <v>2851</v>
      </c>
    </row>
    <row r="3153" spans="1:9" x14ac:dyDescent="0.3">
      <c r="A3153" t="s">
        <v>6926</v>
      </c>
      <c r="B3153" t="s">
        <v>6927</v>
      </c>
      <c r="C3153">
        <v>1</v>
      </c>
      <c r="D3153" t="s">
        <v>23</v>
      </c>
      <c r="E3153" t="s">
        <v>6928</v>
      </c>
      <c r="I3153" t="s">
        <v>6929</v>
      </c>
    </row>
    <row r="3154" spans="1:9" x14ac:dyDescent="0.3">
      <c r="A3154" t="s">
        <v>6930</v>
      </c>
      <c r="B3154" t="s">
        <v>6931</v>
      </c>
      <c r="C3154">
        <v>0.5</v>
      </c>
      <c r="D3154" t="s">
        <v>23</v>
      </c>
      <c r="E3154" t="s">
        <v>6932</v>
      </c>
    </row>
    <row r="3155" spans="1:9" x14ac:dyDescent="0.3">
      <c r="A3155" t="s">
        <v>6933</v>
      </c>
      <c r="B3155" t="s">
        <v>6934</v>
      </c>
      <c r="C3155">
        <v>1.25</v>
      </c>
      <c r="D3155" t="s">
        <v>23</v>
      </c>
      <c r="E3155" t="s">
        <v>2552</v>
      </c>
    </row>
    <row r="3156" spans="1:9" x14ac:dyDescent="0.3">
      <c r="A3156" t="s">
        <v>271</v>
      </c>
      <c r="B3156" t="s">
        <v>518</v>
      </c>
      <c r="E3156" t="s">
        <v>518</v>
      </c>
    </row>
    <row r="3157" spans="1:9" x14ac:dyDescent="0.3">
      <c r="A3157" t="s">
        <v>6935</v>
      </c>
      <c r="B3157" t="s">
        <v>6936</v>
      </c>
      <c r="C3157">
        <v>0.5</v>
      </c>
      <c r="D3157" t="s">
        <v>37</v>
      </c>
      <c r="E3157" t="s">
        <v>38</v>
      </c>
      <c r="G3157" t="s">
        <v>167</v>
      </c>
      <c r="I3157" t="s">
        <v>6578</v>
      </c>
    </row>
    <row r="3158" spans="1:9" x14ac:dyDescent="0.3">
      <c r="A3158" t="s">
        <v>6937</v>
      </c>
      <c r="B3158" t="s">
        <v>6938</v>
      </c>
      <c r="C3158">
        <v>2</v>
      </c>
      <c r="D3158" t="s">
        <v>23</v>
      </c>
      <c r="E3158" t="s">
        <v>4032</v>
      </c>
    </row>
    <row r="3159" spans="1:9" x14ac:dyDescent="0.3">
      <c r="A3159" t="s">
        <v>6939</v>
      </c>
      <c r="B3159" t="s">
        <v>3678</v>
      </c>
      <c r="C3159">
        <v>0.5</v>
      </c>
      <c r="D3159" t="s">
        <v>23</v>
      </c>
      <c r="E3159" t="s">
        <v>3679</v>
      </c>
    </row>
    <row r="3160" spans="1:9" x14ac:dyDescent="0.3">
      <c r="A3160" t="s">
        <v>6940</v>
      </c>
      <c r="B3160" t="s">
        <v>80</v>
      </c>
      <c r="C3160">
        <v>0.5</v>
      </c>
      <c r="D3160" t="s">
        <v>37</v>
      </c>
      <c r="E3160" t="s">
        <v>81</v>
      </c>
    </row>
    <row r="3161" spans="1:9" x14ac:dyDescent="0.3">
      <c r="A3161" t="s">
        <v>6941</v>
      </c>
      <c r="B3161" t="s">
        <v>6942</v>
      </c>
      <c r="C3161">
        <v>1</v>
      </c>
      <c r="D3161" t="s">
        <v>23</v>
      </c>
      <c r="E3161" t="s">
        <v>416</v>
      </c>
    </row>
    <row r="3162" spans="1:9" x14ac:dyDescent="0.3">
      <c r="A3162" t="s">
        <v>6943</v>
      </c>
      <c r="B3162" t="s">
        <v>6944</v>
      </c>
      <c r="C3162">
        <v>1</v>
      </c>
      <c r="E3162" t="s">
        <v>6945</v>
      </c>
      <c r="I3162" t="s">
        <v>248</v>
      </c>
    </row>
    <row r="3163" spans="1:9" x14ac:dyDescent="0.3">
      <c r="A3163" t="s">
        <v>6946</v>
      </c>
      <c r="B3163" t="s">
        <v>6947</v>
      </c>
      <c r="C3163">
        <v>0.33</v>
      </c>
      <c r="D3163" t="s">
        <v>23</v>
      </c>
      <c r="E3163" t="s">
        <v>6948</v>
      </c>
    </row>
    <row r="3164" spans="1:9" x14ac:dyDescent="0.3">
      <c r="A3164" t="s">
        <v>6949</v>
      </c>
      <c r="B3164" t="s">
        <v>6950</v>
      </c>
      <c r="C3164">
        <v>1</v>
      </c>
      <c r="D3164" t="s">
        <v>11</v>
      </c>
      <c r="E3164" t="s">
        <v>6951</v>
      </c>
    </row>
    <row r="3165" spans="1:9" x14ac:dyDescent="0.3">
      <c r="A3165" t="s">
        <v>6952</v>
      </c>
      <c r="B3165" t="s">
        <v>6953</v>
      </c>
      <c r="C3165">
        <v>2</v>
      </c>
      <c r="E3165" t="s">
        <v>6614</v>
      </c>
      <c r="I3165" t="s">
        <v>248</v>
      </c>
    </row>
    <row r="3166" spans="1:9" x14ac:dyDescent="0.3">
      <c r="A3166" t="s">
        <v>6954</v>
      </c>
      <c r="B3166" t="s">
        <v>738</v>
      </c>
      <c r="E3166" t="s">
        <v>738</v>
      </c>
    </row>
    <row r="3167" spans="1:9" x14ac:dyDescent="0.3">
      <c r="A3167" t="s">
        <v>6361</v>
      </c>
      <c r="B3167" t="s">
        <v>6955</v>
      </c>
      <c r="C3167">
        <v>1</v>
      </c>
      <c r="D3167" t="s">
        <v>11</v>
      </c>
      <c r="E3167" t="s">
        <v>6956</v>
      </c>
    </row>
    <row r="3168" spans="1:9" x14ac:dyDescent="0.3">
      <c r="A3168" t="s">
        <v>6957</v>
      </c>
      <c r="B3168" t="s">
        <v>6958</v>
      </c>
      <c r="C3168">
        <v>6</v>
      </c>
      <c r="D3168" t="s">
        <v>23</v>
      </c>
      <c r="E3168" t="s">
        <v>6959</v>
      </c>
      <c r="I3168" t="s">
        <v>3310</v>
      </c>
    </row>
    <row r="3169" spans="1:9" x14ac:dyDescent="0.3">
      <c r="A3169" t="s">
        <v>6960</v>
      </c>
      <c r="B3169" t="s">
        <v>6961</v>
      </c>
      <c r="C3169">
        <v>0.5</v>
      </c>
      <c r="D3169" t="s">
        <v>37</v>
      </c>
      <c r="E3169" t="s">
        <v>2913</v>
      </c>
    </row>
    <row r="3170" spans="1:9" x14ac:dyDescent="0.3">
      <c r="A3170" t="s">
        <v>6962</v>
      </c>
      <c r="B3170" t="s">
        <v>28</v>
      </c>
      <c r="C3170">
        <v>25</v>
      </c>
      <c r="D3170" t="s">
        <v>29</v>
      </c>
      <c r="E3170" t="s">
        <v>30</v>
      </c>
    </row>
    <row r="3171" spans="1:9" x14ac:dyDescent="0.3">
      <c r="A3171" t="s">
        <v>6963</v>
      </c>
      <c r="B3171" t="s">
        <v>6964</v>
      </c>
      <c r="C3171">
        <v>0.75</v>
      </c>
      <c r="D3171" t="s">
        <v>23</v>
      </c>
      <c r="E3171" t="s">
        <v>3177</v>
      </c>
    </row>
    <row r="3172" spans="1:9" x14ac:dyDescent="0.3">
      <c r="A3172" t="s">
        <v>6965</v>
      </c>
      <c r="B3172" t="s">
        <v>6966</v>
      </c>
      <c r="C3172">
        <v>8</v>
      </c>
      <c r="D3172" t="s">
        <v>345</v>
      </c>
      <c r="E3172" t="s">
        <v>5464</v>
      </c>
    </row>
    <row r="3173" spans="1:9" x14ac:dyDescent="0.3">
      <c r="A3173" t="s">
        <v>6967</v>
      </c>
      <c r="B3173" t="s">
        <v>6968</v>
      </c>
      <c r="C3173">
        <v>2</v>
      </c>
      <c r="D3173" t="s">
        <v>3648</v>
      </c>
      <c r="E3173" t="s">
        <v>85</v>
      </c>
    </row>
    <row r="3174" spans="1:9" x14ac:dyDescent="0.3">
      <c r="A3174" t="s">
        <v>6969</v>
      </c>
      <c r="B3174" t="s">
        <v>6970</v>
      </c>
      <c r="C3174">
        <v>1.5</v>
      </c>
      <c r="D3174" t="s">
        <v>23</v>
      </c>
      <c r="E3174" t="s">
        <v>423</v>
      </c>
    </row>
    <row r="3175" spans="1:9" x14ac:dyDescent="0.3">
      <c r="A3175" t="s">
        <v>6971</v>
      </c>
      <c r="B3175" t="s">
        <v>1670</v>
      </c>
      <c r="C3175">
        <v>1</v>
      </c>
      <c r="D3175" t="s">
        <v>1671</v>
      </c>
      <c r="E3175" t="s">
        <v>163</v>
      </c>
      <c r="I3175" t="s">
        <v>248</v>
      </c>
    </row>
    <row r="3176" spans="1:9" x14ac:dyDescent="0.3">
      <c r="A3176" t="s">
        <v>1808</v>
      </c>
      <c r="B3176" t="s">
        <v>6972</v>
      </c>
      <c r="C3176">
        <v>175</v>
      </c>
      <c r="D3176" t="s">
        <v>29</v>
      </c>
      <c r="E3176" t="s">
        <v>6973</v>
      </c>
    </row>
    <row r="3177" spans="1:9" x14ac:dyDescent="0.3">
      <c r="A3177" t="s">
        <v>6974</v>
      </c>
      <c r="B3177" t="s">
        <v>6975</v>
      </c>
      <c r="C3177">
        <v>1</v>
      </c>
      <c r="D3177" t="s">
        <v>11</v>
      </c>
      <c r="E3177" t="s">
        <v>6976</v>
      </c>
    </row>
    <row r="3178" spans="1:9" x14ac:dyDescent="0.3">
      <c r="A3178" t="s">
        <v>522</v>
      </c>
      <c r="B3178" t="s">
        <v>211</v>
      </c>
      <c r="C3178">
        <v>1</v>
      </c>
      <c r="D3178" t="s">
        <v>11</v>
      </c>
      <c r="E3178" t="s">
        <v>57</v>
      </c>
    </row>
    <row r="3179" spans="1:9" x14ac:dyDescent="0.3">
      <c r="A3179" t="s">
        <v>6977</v>
      </c>
      <c r="B3179" t="s">
        <v>6978</v>
      </c>
      <c r="C3179">
        <v>50</v>
      </c>
      <c r="D3179" t="s">
        <v>29</v>
      </c>
      <c r="E3179" t="s">
        <v>738</v>
      </c>
    </row>
    <row r="3180" spans="1:9" x14ac:dyDescent="0.3">
      <c r="A3180" t="s">
        <v>6979</v>
      </c>
      <c r="B3180" t="s">
        <v>6980</v>
      </c>
      <c r="C3180">
        <v>0.25</v>
      </c>
      <c r="D3180" t="s">
        <v>23</v>
      </c>
      <c r="E3180" t="s">
        <v>183</v>
      </c>
    </row>
    <row r="3181" spans="1:9" x14ac:dyDescent="0.3">
      <c r="A3181" t="s">
        <v>6981</v>
      </c>
      <c r="B3181" t="s">
        <v>6982</v>
      </c>
      <c r="E3181" t="s">
        <v>6982</v>
      </c>
    </row>
    <row r="3182" spans="1:9" x14ac:dyDescent="0.3">
      <c r="A3182" t="s">
        <v>6640</v>
      </c>
      <c r="B3182" t="s">
        <v>6983</v>
      </c>
      <c r="C3182">
        <v>0.75</v>
      </c>
      <c r="D3182" t="s">
        <v>23</v>
      </c>
      <c r="E3182" t="s">
        <v>399</v>
      </c>
    </row>
    <row r="3183" spans="1:9" x14ac:dyDescent="0.3">
      <c r="A3183" t="s">
        <v>6984</v>
      </c>
      <c r="B3183" t="s">
        <v>6985</v>
      </c>
      <c r="E3183" t="s">
        <v>6985</v>
      </c>
    </row>
    <row r="3184" spans="1:9" x14ac:dyDescent="0.3">
      <c r="A3184" t="s">
        <v>6986</v>
      </c>
      <c r="B3184" t="s">
        <v>6987</v>
      </c>
      <c r="C3184">
        <v>0.5</v>
      </c>
      <c r="D3184" t="s">
        <v>23</v>
      </c>
      <c r="E3184" t="s">
        <v>6988</v>
      </c>
    </row>
    <row r="3185" spans="1:9" x14ac:dyDescent="0.3">
      <c r="A3185" t="s">
        <v>6989</v>
      </c>
      <c r="B3185" t="s">
        <v>6990</v>
      </c>
      <c r="E3185" t="s">
        <v>6990</v>
      </c>
    </row>
    <row r="3186" spans="1:9" x14ac:dyDescent="0.3">
      <c r="A3186" t="s">
        <v>6991</v>
      </c>
      <c r="B3186" t="s">
        <v>6992</v>
      </c>
      <c r="C3186">
        <v>1.75</v>
      </c>
      <c r="D3186" t="s">
        <v>345</v>
      </c>
      <c r="E3186" t="s">
        <v>2602</v>
      </c>
      <c r="I3186" t="s">
        <v>6993</v>
      </c>
    </row>
    <row r="3187" spans="1:9" x14ac:dyDescent="0.3">
      <c r="A3187" t="s">
        <v>6994</v>
      </c>
      <c r="B3187" t="s">
        <v>6995</v>
      </c>
      <c r="C3187">
        <v>1</v>
      </c>
      <c r="D3187" t="s">
        <v>91</v>
      </c>
      <c r="E3187" t="s">
        <v>95</v>
      </c>
      <c r="I3187" t="s">
        <v>6996</v>
      </c>
    </row>
    <row r="3188" spans="1:9" x14ac:dyDescent="0.3">
      <c r="A3188" t="s">
        <v>3470</v>
      </c>
      <c r="B3188" t="s">
        <v>4157</v>
      </c>
      <c r="C3188">
        <v>2</v>
      </c>
      <c r="D3188" t="s">
        <v>23</v>
      </c>
      <c r="E3188" t="s">
        <v>265</v>
      </c>
    </row>
    <row r="3189" spans="1:9" x14ac:dyDescent="0.3">
      <c r="A3189" t="s">
        <v>6997</v>
      </c>
      <c r="B3189" t="s">
        <v>6998</v>
      </c>
      <c r="C3189">
        <v>0.25</v>
      </c>
      <c r="D3189" t="s">
        <v>37</v>
      </c>
      <c r="E3189" t="s">
        <v>6999</v>
      </c>
      <c r="I3189" t="s">
        <v>7000</v>
      </c>
    </row>
    <row r="3190" spans="1:9" x14ac:dyDescent="0.3">
      <c r="A3190" t="s">
        <v>3946</v>
      </c>
      <c r="B3190" t="s">
        <v>7001</v>
      </c>
      <c r="C3190">
        <v>1</v>
      </c>
      <c r="D3190" t="s">
        <v>23</v>
      </c>
      <c r="E3190" t="s">
        <v>1476</v>
      </c>
    </row>
    <row r="3191" spans="1:9" x14ac:dyDescent="0.3">
      <c r="A3191" t="s">
        <v>3797</v>
      </c>
      <c r="B3191" t="s">
        <v>7002</v>
      </c>
      <c r="C3191">
        <v>1.5</v>
      </c>
      <c r="D3191" t="s">
        <v>345</v>
      </c>
      <c r="E3191" t="s">
        <v>220</v>
      </c>
      <c r="I3191" t="s">
        <v>7003</v>
      </c>
    </row>
    <row r="3192" spans="1:9" x14ac:dyDescent="0.3">
      <c r="A3192" t="s">
        <v>7004</v>
      </c>
      <c r="B3192" t="s">
        <v>7005</v>
      </c>
      <c r="C3192">
        <v>2</v>
      </c>
      <c r="D3192" t="s">
        <v>23</v>
      </c>
      <c r="E3192" t="s">
        <v>262</v>
      </c>
    </row>
    <row r="3193" spans="1:9" x14ac:dyDescent="0.3">
      <c r="A3193" t="s">
        <v>7006</v>
      </c>
      <c r="B3193" t="s">
        <v>1055</v>
      </c>
      <c r="C3193">
        <v>1</v>
      </c>
      <c r="D3193" t="s">
        <v>585</v>
      </c>
      <c r="E3193" t="s">
        <v>1056</v>
      </c>
      <c r="I3193" t="s">
        <v>248</v>
      </c>
    </row>
    <row r="3194" spans="1:9" x14ac:dyDescent="0.3">
      <c r="A3194" t="s">
        <v>7007</v>
      </c>
      <c r="B3194" t="s">
        <v>6799</v>
      </c>
      <c r="C3194">
        <v>1</v>
      </c>
      <c r="D3194" t="s">
        <v>23</v>
      </c>
      <c r="E3194" t="s">
        <v>1084</v>
      </c>
    </row>
    <row r="3195" spans="1:9" x14ac:dyDescent="0.3">
      <c r="A3195" t="s">
        <v>7008</v>
      </c>
      <c r="B3195" t="s">
        <v>4296</v>
      </c>
      <c r="C3195">
        <v>0.5</v>
      </c>
      <c r="D3195" t="s">
        <v>37</v>
      </c>
      <c r="E3195" t="s">
        <v>160</v>
      </c>
    </row>
    <row r="3196" spans="1:9" x14ac:dyDescent="0.3">
      <c r="A3196" t="s">
        <v>7009</v>
      </c>
      <c r="B3196" t="s">
        <v>7010</v>
      </c>
      <c r="C3196">
        <v>1</v>
      </c>
      <c r="D3196" t="s">
        <v>151</v>
      </c>
      <c r="E3196" t="s">
        <v>152</v>
      </c>
      <c r="I3196" t="s">
        <v>248</v>
      </c>
    </row>
    <row r="3197" spans="1:9" x14ac:dyDescent="0.3">
      <c r="A3197" t="s">
        <v>7011</v>
      </c>
      <c r="B3197" t="s">
        <v>7012</v>
      </c>
      <c r="C3197">
        <v>50</v>
      </c>
      <c r="D3197" t="s">
        <v>29</v>
      </c>
      <c r="E3197" t="s">
        <v>7013</v>
      </c>
    </row>
    <row r="3198" spans="1:9" x14ac:dyDescent="0.3">
      <c r="A3198" t="s">
        <v>7014</v>
      </c>
      <c r="B3198" t="s">
        <v>7015</v>
      </c>
      <c r="D3198" t="s">
        <v>7016</v>
      </c>
      <c r="E3198" t="s">
        <v>377</v>
      </c>
      <c r="I3198" t="s">
        <v>7017</v>
      </c>
    </row>
    <row r="3199" spans="1:9" x14ac:dyDescent="0.3">
      <c r="A3199" t="s">
        <v>3452</v>
      </c>
      <c r="B3199" t="s">
        <v>7018</v>
      </c>
      <c r="C3199">
        <v>1</v>
      </c>
      <c r="E3199" t="s">
        <v>7019</v>
      </c>
    </row>
    <row r="3200" spans="1:9" x14ac:dyDescent="0.3">
      <c r="A3200" t="s">
        <v>7020</v>
      </c>
      <c r="B3200" t="s">
        <v>7021</v>
      </c>
      <c r="C3200">
        <v>3</v>
      </c>
      <c r="D3200" t="s">
        <v>1338</v>
      </c>
      <c r="E3200" t="s">
        <v>3942</v>
      </c>
    </row>
    <row r="3201" spans="1:9" x14ac:dyDescent="0.3">
      <c r="A3201" t="s">
        <v>7022</v>
      </c>
      <c r="B3201" t="s">
        <v>7023</v>
      </c>
      <c r="C3201">
        <v>1.5</v>
      </c>
      <c r="D3201" t="s">
        <v>71</v>
      </c>
      <c r="E3201" t="s">
        <v>3870</v>
      </c>
    </row>
    <row r="3202" spans="1:9" x14ac:dyDescent="0.3">
      <c r="A3202" t="s">
        <v>7024</v>
      </c>
      <c r="B3202" t="s">
        <v>7025</v>
      </c>
      <c r="C3202">
        <v>25</v>
      </c>
      <c r="D3202" t="s">
        <v>29</v>
      </c>
      <c r="E3202" t="s">
        <v>88</v>
      </c>
    </row>
    <row r="3203" spans="1:9" x14ac:dyDescent="0.3">
      <c r="A3203" t="s">
        <v>7026</v>
      </c>
      <c r="B3203" t="s">
        <v>7027</v>
      </c>
      <c r="C3203">
        <v>0.25</v>
      </c>
      <c r="E3203" t="s">
        <v>30</v>
      </c>
      <c r="I3203" t="s">
        <v>289</v>
      </c>
    </row>
    <row r="3204" spans="1:9" x14ac:dyDescent="0.3">
      <c r="A3204" t="s">
        <v>7028</v>
      </c>
      <c r="B3204" t="s">
        <v>7029</v>
      </c>
      <c r="C3204">
        <v>1</v>
      </c>
      <c r="D3204" t="s">
        <v>37</v>
      </c>
      <c r="E3204" t="s">
        <v>7030</v>
      </c>
    </row>
    <row r="3205" spans="1:9" x14ac:dyDescent="0.3">
      <c r="A3205" t="s">
        <v>178</v>
      </c>
      <c r="B3205" t="s">
        <v>7031</v>
      </c>
      <c r="C3205">
        <v>1</v>
      </c>
      <c r="D3205" t="s">
        <v>18</v>
      </c>
      <c r="E3205" t="s">
        <v>7032</v>
      </c>
    </row>
    <row r="3206" spans="1:9" x14ac:dyDescent="0.3">
      <c r="A3206" t="s">
        <v>7033</v>
      </c>
      <c r="B3206" t="s">
        <v>7034</v>
      </c>
      <c r="C3206">
        <v>3</v>
      </c>
      <c r="D3206" t="s">
        <v>1338</v>
      </c>
      <c r="E3206" t="s">
        <v>61</v>
      </c>
    </row>
    <row r="3207" spans="1:9" x14ac:dyDescent="0.3">
      <c r="A3207" t="s">
        <v>7035</v>
      </c>
      <c r="B3207" t="s">
        <v>87</v>
      </c>
      <c r="C3207">
        <v>10</v>
      </c>
      <c r="D3207" t="s">
        <v>29</v>
      </c>
      <c r="E3207" t="s">
        <v>88</v>
      </c>
    </row>
    <row r="3208" spans="1:9" x14ac:dyDescent="0.3">
      <c r="A3208" t="s">
        <v>7036</v>
      </c>
      <c r="B3208" t="s">
        <v>518</v>
      </c>
      <c r="E3208" t="s">
        <v>518</v>
      </c>
    </row>
    <row r="3209" spans="1:9" x14ac:dyDescent="0.3">
      <c r="A3209" t="s">
        <v>1546</v>
      </c>
      <c r="B3209" t="s">
        <v>968</v>
      </c>
      <c r="C3209">
        <v>1</v>
      </c>
      <c r="D3209" t="s">
        <v>23</v>
      </c>
      <c r="E3209" t="s">
        <v>199</v>
      </c>
    </row>
    <row r="3210" spans="1:9" x14ac:dyDescent="0.3">
      <c r="A3210" t="s">
        <v>964</v>
      </c>
      <c r="B3210" t="s">
        <v>7037</v>
      </c>
      <c r="C3210">
        <v>10</v>
      </c>
      <c r="D3210" t="s">
        <v>29</v>
      </c>
      <c r="E3210" t="s">
        <v>115</v>
      </c>
    </row>
    <row r="3211" spans="1:9" x14ac:dyDescent="0.3">
      <c r="A3211" t="s">
        <v>7038</v>
      </c>
      <c r="B3211" t="s">
        <v>1193</v>
      </c>
      <c r="E3211" t="s">
        <v>1193</v>
      </c>
    </row>
    <row r="3212" spans="1:9" x14ac:dyDescent="0.3">
      <c r="A3212" t="s">
        <v>7039</v>
      </c>
      <c r="B3212" t="s">
        <v>7040</v>
      </c>
      <c r="C3212">
        <v>1.5</v>
      </c>
      <c r="D3212" t="s">
        <v>345</v>
      </c>
      <c r="E3212" t="s">
        <v>2385</v>
      </c>
      <c r="I3212" t="s">
        <v>7041</v>
      </c>
    </row>
    <row r="3213" spans="1:9" x14ac:dyDescent="0.3">
      <c r="A3213" t="s">
        <v>7042</v>
      </c>
      <c r="B3213" t="s">
        <v>6580</v>
      </c>
      <c r="C3213">
        <v>3</v>
      </c>
      <c r="D3213" t="s">
        <v>23</v>
      </c>
      <c r="E3213" t="s">
        <v>1204</v>
      </c>
    </row>
    <row r="3214" spans="1:9" x14ac:dyDescent="0.3">
      <c r="A3214" t="s">
        <v>7043</v>
      </c>
      <c r="B3214" t="s">
        <v>7044</v>
      </c>
      <c r="C3214">
        <v>125</v>
      </c>
      <c r="D3214" t="s">
        <v>29</v>
      </c>
      <c r="E3214" t="s">
        <v>262</v>
      </c>
    </row>
    <row r="3215" spans="1:9" x14ac:dyDescent="0.3">
      <c r="A3215" t="s">
        <v>7045</v>
      </c>
      <c r="B3215" t="s">
        <v>7046</v>
      </c>
      <c r="C3215">
        <v>1</v>
      </c>
      <c r="D3215" t="s">
        <v>7047</v>
      </c>
      <c r="E3215" t="s">
        <v>907</v>
      </c>
      <c r="I3215" t="s">
        <v>289</v>
      </c>
    </row>
    <row r="3216" spans="1:9" x14ac:dyDescent="0.3">
      <c r="A3216" t="s">
        <v>7048</v>
      </c>
      <c r="B3216" t="s">
        <v>7049</v>
      </c>
      <c r="C3216">
        <v>24</v>
      </c>
      <c r="D3216" t="s">
        <v>23</v>
      </c>
      <c r="E3216" t="s">
        <v>1209</v>
      </c>
    </row>
    <row r="3217" spans="1:9" x14ac:dyDescent="0.3">
      <c r="A3217" t="s">
        <v>7050</v>
      </c>
      <c r="B3217" t="s">
        <v>7051</v>
      </c>
      <c r="C3217">
        <v>0.25</v>
      </c>
      <c r="D3217" t="s">
        <v>904</v>
      </c>
      <c r="E3217" t="s">
        <v>112</v>
      </c>
    </row>
    <row r="3218" spans="1:9" x14ac:dyDescent="0.3">
      <c r="A3218" t="s">
        <v>7052</v>
      </c>
      <c r="B3218" t="s">
        <v>3493</v>
      </c>
      <c r="E3218" t="s">
        <v>333</v>
      </c>
      <c r="G3218" t="s">
        <v>1512</v>
      </c>
    </row>
    <row r="3219" spans="1:9" x14ac:dyDescent="0.3">
      <c r="A3219" t="s">
        <v>7053</v>
      </c>
      <c r="B3219" t="s">
        <v>7054</v>
      </c>
      <c r="C3219">
        <v>0.25</v>
      </c>
      <c r="D3219" t="s">
        <v>37</v>
      </c>
      <c r="E3219" t="s">
        <v>7055</v>
      </c>
      <c r="I3219" t="s">
        <v>1931</v>
      </c>
    </row>
    <row r="3220" spans="1:9" x14ac:dyDescent="0.3">
      <c r="A3220" t="s">
        <v>7056</v>
      </c>
      <c r="B3220" t="s">
        <v>7057</v>
      </c>
      <c r="C3220">
        <v>2</v>
      </c>
      <c r="D3220" t="s">
        <v>686</v>
      </c>
      <c r="E3220" t="s">
        <v>7058</v>
      </c>
      <c r="I3220" t="s">
        <v>7059</v>
      </c>
    </row>
    <row r="3221" spans="1:9" x14ac:dyDescent="0.3">
      <c r="A3221" t="s">
        <v>3588</v>
      </c>
      <c r="B3221" t="s">
        <v>7060</v>
      </c>
      <c r="C3221">
        <v>1</v>
      </c>
      <c r="D3221" t="s">
        <v>23</v>
      </c>
      <c r="E3221" t="s">
        <v>551</v>
      </c>
    </row>
    <row r="3222" spans="1:9" x14ac:dyDescent="0.3">
      <c r="A3222" t="s">
        <v>7061</v>
      </c>
      <c r="B3222" t="s">
        <v>7062</v>
      </c>
      <c r="C3222">
        <v>1</v>
      </c>
      <c r="D3222" t="s">
        <v>23</v>
      </c>
      <c r="E3222" t="s">
        <v>7063</v>
      </c>
    </row>
    <row r="3223" spans="1:9" x14ac:dyDescent="0.3">
      <c r="A3223" t="s">
        <v>7064</v>
      </c>
      <c r="B3223" t="s">
        <v>591</v>
      </c>
      <c r="E3223" t="s">
        <v>591</v>
      </c>
    </row>
    <row r="3224" spans="1:9" x14ac:dyDescent="0.3">
      <c r="A3224" t="s">
        <v>2796</v>
      </c>
      <c r="B3224" t="s">
        <v>7065</v>
      </c>
      <c r="C3224">
        <v>12.5</v>
      </c>
      <c r="D3224" t="s">
        <v>345</v>
      </c>
      <c r="E3224" t="s">
        <v>4826</v>
      </c>
      <c r="I3224" t="s">
        <v>4636</v>
      </c>
    </row>
    <row r="3225" spans="1:9" x14ac:dyDescent="0.3">
      <c r="A3225" t="s">
        <v>7066</v>
      </c>
      <c r="B3225" t="s">
        <v>7067</v>
      </c>
      <c r="C3225">
        <v>6</v>
      </c>
      <c r="E3225" t="s">
        <v>413</v>
      </c>
      <c r="G3225" t="s">
        <v>1571</v>
      </c>
      <c r="I3225" t="s">
        <v>7068</v>
      </c>
    </row>
    <row r="3226" spans="1:9" x14ac:dyDescent="0.3">
      <c r="A3226" t="s">
        <v>7069</v>
      </c>
      <c r="B3226" t="s">
        <v>4094</v>
      </c>
      <c r="C3226">
        <v>0.5</v>
      </c>
      <c r="D3226" t="s">
        <v>23</v>
      </c>
      <c r="E3226" t="s">
        <v>281</v>
      </c>
    </row>
    <row r="3227" spans="1:9" x14ac:dyDescent="0.3">
      <c r="A3227" t="s">
        <v>5455</v>
      </c>
      <c r="B3227" t="s">
        <v>7070</v>
      </c>
      <c r="C3227">
        <v>0.5</v>
      </c>
      <c r="D3227" t="s">
        <v>752</v>
      </c>
      <c r="E3227" t="s">
        <v>7071</v>
      </c>
    </row>
    <row r="3228" spans="1:9" x14ac:dyDescent="0.3">
      <c r="A3228" t="s">
        <v>7072</v>
      </c>
      <c r="B3228" t="s">
        <v>7073</v>
      </c>
      <c r="C3228">
        <v>2</v>
      </c>
      <c r="D3228" t="s">
        <v>345</v>
      </c>
      <c r="E3228" t="s">
        <v>2211</v>
      </c>
      <c r="I3228" t="s">
        <v>7074</v>
      </c>
    </row>
    <row r="3229" spans="1:9" x14ac:dyDescent="0.3">
      <c r="A3229" t="s">
        <v>7075</v>
      </c>
      <c r="B3229" t="s">
        <v>7076</v>
      </c>
      <c r="E3229" t="s">
        <v>7076</v>
      </c>
    </row>
    <row r="3230" spans="1:9" x14ac:dyDescent="0.3">
      <c r="A3230" t="s">
        <v>7077</v>
      </c>
      <c r="B3230" t="s">
        <v>7078</v>
      </c>
      <c r="C3230">
        <v>2</v>
      </c>
      <c r="D3230" t="s">
        <v>91</v>
      </c>
      <c r="E3230" t="s">
        <v>98</v>
      </c>
    </row>
    <row r="3231" spans="1:9" x14ac:dyDescent="0.3">
      <c r="A3231" t="s">
        <v>7079</v>
      </c>
      <c r="B3231" t="s">
        <v>333</v>
      </c>
      <c r="E3231" t="s">
        <v>333</v>
      </c>
    </row>
    <row r="3232" spans="1:9" x14ac:dyDescent="0.3">
      <c r="A3232" t="s">
        <v>7080</v>
      </c>
      <c r="B3232" t="s">
        <v>5192</v>
      </c>
      <c r="C3232">
        <v>2</v>
      </c>
      <c r="D3232" t="s">
        <v>23</v>
      </c>
      <c r="E3232" t="s">
        <v>233</v>
      </c>
    </row>
    <row r="3233" spans="1:9" x14ac:dyDescent="0.3">
      <c r="A3233" t="s">
        <v>7081</v>
      </c>
      <c r="B3233" t="s">
        <v>7082</v>
      </c>
      <c r="C3233">
        <v>2</v>
      </c>
      <c r="D3233" t="s">
        <v>176</v>
      </c>
      <c r="E3233" t="s">
        <v>1445</v>
      </c>
    </row>
    <row r="3234" spans="1:9" x14ac:dyDescent="0.3">
      <c r="A3234" t="s">
        <v>7083</v>
      </c>
      <c r="B3234" t="s">
        <v>7084</v>
      </c>
      <c r="C3234">
        <v>3</v>
      </c>
      <c r="D3234" t="s">
        <v>189</v>
      </c>
      <c r="E3234" t="s">
        <v>7085</v>
      </c>
    </row>
    <row r="3235" spans="1:9" x14ac:dyDescent="0.3">
      <c r="A3235" t="s">
        <v>7086</v>
      </c>
      <c r="B3235" t="s">
        <v>7087</v>
      </c>
      <c r="C3235">
        <v>30</v>
      </c>
      <c r="D3235" t="s">
        <v>29</v>
      </c>
      <c r="E3235" t="s">
        <v>30</v>
      </c>
    </row>
    <row r="3236" spans="1:9" x14ac:dyDescent="0.3">
      <c r="A3236" t="s">
        <v>7088</v>
      </c>
      <c r="B3236" t="s">
        <v>7089</v>
      </c>
      <c r="C3236">
        <v>1</v>
      </c>
      <c r="D3236" t="s">
        <v>23</v>
      </c>
      <c r="E3236" t="s">
        <v>3236</v>
      </c>
    </row>
    <row r="3237" spans="1:9" x14ac:dyDescent="0.3">
      <c r="A3237" t="s">
        <v>7090</v>
      </c>
      <c r="B3237" t="s">
        <v>7091</v>
      </c>
      <c r="C3237">
        <v>1</v>
      </c>
      <c r="D3237" t="s">
        <v>7092</v>
      </c>
      <c r="E3237" t="s">
        <v>333</v>
      </c>
    </row>
    <row r="3238" spans="1:9" x14ac:dyDescent="0.3">
      <c r="A3238" t="s">
        <v>7093</v>
      </c>
      <c r="B3238" t="s">
        <v>7094</v>
      </c>
      <c r="C3238">
        <v>0.75</v>
      </c>
      <c r="D3238" t="s">
        <v>23</v>
      </c>
      <c r="E3238" t="s">
        <v>1003</v>
      </c>
    </row>
    <row r="3239" spans="1:9" x14ac:dyDescent="0.3">
      <c r="A3239" t="s">
        <v>2065</v>
      </c>
      <c r="B3239" t="s">
        <v>7095</v>
      </c>
      <c r="C3239">
        <v>2</v>
      </c>
      <c r="D3239" t="s">
        <v>91</v>
      </c>
      <c r="E3239" t="s">
        <v>7096</v>
      </c>
    </row>
    <row r="3240" spans="1:9" x14ac:dyDescent="0.3">
      <c r="A3240" t="s">
        <v>7097</v>
      </c>
      <c r="B3240" t="s">
        <v>1101</v>
      </c>
      <c r="C3240">
        <v>1</v>
      </c>
      <c r="D3240" t="s">
        <v>23</v>
      </c>
      <c r="E3240" t="s">
        <v>328</v>
      </c>
    </row>
    <row r="3241" spans="1:9" x14ac:dyDescent="0.3">
      <c r="A3241" t="s">
        <v>7098</v>
      </c>
      <c r="B3241" t="s">
        <v>7099</v>
      </c>
      <c r="D3241" t="s">
        <v>1671</v>
      </c>
      <c r="E3241" t="s">
        <v>163</v>
      </c>
      <c r="I3241" t="s">
        <v>1124</v>
      </c>
    </row>
    <row r="3242" spans="1:9" x14ac:dyDescent="0.3">
      <c r="A3242" t="s">
        <v>7100</v>
      </c>
      <c r="B3242" t="s">
        <v>7101</v>
      </c>
      <c r="C3242">
        <v>5</v>
      </c>
      <c r="D3242" t="s">
        <v>23</v>
      </c>
      <c r="E3242" t="s">
        <v>7102</v>
      </c>
      <c r="H3242" t="s">
        <v>3945</v>
      </c>
    </row>
    <row r="3243" spans="1:9" x14ac:dyDescent="0.3">
      <c r="A3243" t="s">
        <v>7103</v>
      </c>
      <c r="B3243" t="s">
        <v>7104</v>
      </c>
      <c r="C3243">
        <v>2</v>
      </c>
      <c r="D3243" t="s">
        <v>904</v>
      </c>
      <c r="E3243" t="s">
        <v>281</v>
      </c>
    </row>
    <row r="3244" spans="1:9" x14ac:dyDescent="0.3">
      <c r="A3244" t="s">
        <v>7105</v>
      </c>
      <c r="B3244" t="s">
        <v>7106</v>
      </c>
      <c r="C3244">
        <v>1</v>
      </c>
      <c r="D3244" t="s">
        <v>23</v>
      </c>
      <c r="E3244" t="s">
        <v>6988</v>
      </c>
    </row>
    <row r="3245" spans="1:9" x14ac:dyDescent="0.3">
      <c r="A3245" t="s">
        <v>2644</v>
      </c>
      <c r="B3245" t="s">
        <v>518</v>
      </c>
      <c r="E3245" t="s">
        <v>518</v>
      </c>
    </row>
    <row r="3246" spans="1:9" x14ac:dyDescent="0.3">
      <c r="A3246" t="s">
        <v>7107</v>
      </c>
      <c r="B3246" t="s">
        <v>7108</v>
      </c>
      <c r="C3246">
        <v>1</v>
      </c>
      <c r="D3246" t="s">
        <v>361</v>
      </c>
      <c r="E3246" t="s">
        <v>687</v>
      </c>
    </row>
    <row r="3247" spans="1:9" x14ac:dyDescent="0.3">
      <c r="A3247" t="s">
        <v>7109</v>
      </c>
      <c r="B3247" t="s">
        <v>7110</v>
      </c>
      <c r="C3247">
        <v>25</v>
      </c>
      <c r="D3247" t="s">
        <v>29</v>
      </c>
      <c r="E3247" t="s">
        <v>7111</v>
      </c>
    </row>
    <row r="3248" spans="1:9" x14ac:dyDescent="0.3">
      <c r="A3248" t="s">
        <v>7112</v>
      </c>
      <c r="B3248" t="s">
        <v>7113</v>
      </c>
      <c r="C3248">
        <v>0.5</v>
      </c>
      <c r="D3248" t="s">
        <v>37</v>
      </c>
      <c r="E3248" t="s">
        <v>7114</v>
      </c>
    </row>
    <row r="3249" spans="1:9" x14ac:dyDescent="0.3">
      <c r="A3249" t="s">
        <v>7115</v>
      </c>
      <c r="B3249" t="s">
        <v>7116</v>
      </c>
      <c r="C3249">
        <v>1</v>
      </c>
      <c r="D3249" t="s">
        <v>270</v>
      </c>
      <c r="E3249" t="s">
        <v>7117</v>
      </c>
      <c r="I3249" t="s">
        <v>7118</v>
      </c>
    </row>
    <row r="3250" spans="1:9" x14ac:dyDescent="0.3">
      <c r="A3250" t="s">
        <v>6086</v>
      </c>
      <c r="B3250" t="s">
        <v>7119</v>
      </c>
      <c r="C3250">
        <v>1</v>
      </c>
      <c r="E3250" t="s">
        <v>7120</v>
      </c>
    </row>
    <row r="3251" spans="1:9" x14ac:dyDescent="0.3">
      <c r="A3251" t="s">
        <v>7121</v>
      </c>
      <c r="B3251" t="s">
        <v>7122</v>
      </c>
      <c r="C3251">
        <v>6</v>
      </c>
      <c r="E3251" t="s">
        <v>538</v>
      </c>
      <c r="I3251" t="s">
        <v>289</v>
      </c>
    </row>
    <row r="3252" spans="1:9" x14ac:dyDescent="0.3">
      <c r="A3252" t="s">
        <v>7123</v>
      </c>
      <c r="B3252" t="s">
        <v>7124</v>
      </c>
      <c r="C3252">
        <v>6</v>
      </c>
      <c r="E3252" t="s">
        <v>1193</v>
      </c>
    </row>
    <row r="3253" spans="1:9" x14ac:dyDescent="0.3">
      <c r="A3253" t="s">
        <v>7125</v>
      </c>
      <c r="B3253" t="s">
        <v>6272</v>
      </c>
      <c r="C3253">
        <v>90</v>
      </c>
      <c r="D3253" t="s">
        <v>29</v>
      </c>
      <c r="E3253" t="s">
        <v>6273</v>
      </c>
    </row>
    <row r="3254" spans="1:9" x14ac:dyDescent="0.3">
      <c r="A3254" t="s">
        <v>7126</v>
      </c>
      <c r="B3254" t="s">
        <v>7127</v>
      </c>
      <c r="C3254">
        <v>2</v>
      </c>
      <c r="D3254" t="s">
        <v>345</v>
      </c>
      <c r="E3254" t="s">
        <v>1915</v>
      </c>
    </row>
    <row r="3255" spans="1:9" x14ac:dyDescent="0.3">
      <c r="A3255" t="s">
        <v>7128</v>
      </c>
      <c r="B3255" t="s">
        <v>3186</v>
      </c>
      <c r="C3255">
        <v>1</v>
      </c>
      <c r="D3255" t="s">
        <v>111</v>
      </c>
      <c r="E3255" t="s">
        <v>320</v>
      </c>
    </row>
    <row r="3256" spans="1:9" x14ac:dyDescent="0.3">
      <c r="A3256" t="s">
        <v>7129</v>
      </c>
      <c r="B3256" t="s">
        <v>7130</v>
      </c>
      <c r="C3256">
        <v>3</v>
      </c>
      <c r="D3256" t="s">
        <v>23</v>
      </c>
      <c r="E3256" t="s">
        <v>7131</v>
      </c>
    </row>
    <row r="3257" spans="1:9" x14ac:dyDescent="0.3">
      <c r="A3257" t="s">
        <v>7132</v>
      </c>
      <c r="B3257" t="s">
        <v>7133</v>
      </c>
      <c r="C3257">
        <v>1.5</v>
      </c>
      <c r="D3257" t="s">
        <v>176</v>
      </c>
      <c r="E3257" t="s">
        <v>728</v>
      </c>
    </row>
    <row r="3258" spans="1:9" x14ac:dyDescent="0.3">
      <c r="A3258" t="s">
        <v>1368</v>
      </c>
      <c r="B3258" t="s">
        <v>879</v>
      </c>
      <c r="C3258">
        <v>1</v>
      </c>
      <c r="D3258" t="s">
        <v>23</v>
      </c>
      <c r="E3258" t="s">
        <v>880</v>
      </c>
    </row>
    <row r="3259" spans="1:9" x14ac:dyDescent="0.3">
      <c r="A3259" t="s">
        <v>5094</v>
      </c>
      <c r="B3259" t="s">
        <v>7134</v>
      </c>
      <c r="C3259">
        <v>1</v>
      </c>
      <c r="D3259" t="s">
        <v>11</v>
      </c>
      <c r="E3259" t="s">
        <v>7135</v>
      </c>
    </row>
    <row r="3260" spans="1:9" x14ac:dyDescent="0.3">
      <c r="A3260" t="s">
        <v>7136</v>
      </c>
      <c r="B3260" t="s">
        <v>7137</v>
      </c>
      <c r="C3260">
        <v>2</v>
      </c>
      <c r="D3260" t="s">
        <v>23</v>
      </c>
      <c r="E3260" t="s">
        <v>7138</v>
      </c>
    </row>
    <row r="3261" spans="1:9" x14ac:dyDescent="0.3">
      <c r="A3261" t="s">
        <v>7139</v>
      </c>
      <c r="B3261" t="s">
        <v>3434</v>
      </c>
      <c r="C3261">
        <v>1.5</v>
      </c>
      <c r="D3261" t="s">
        <v>23</v>
      </c>
      <c r="E3261" t="s">
        <v>281</v>
      </c>
    </row>
    <row r="3262" spans="1:9" x14ac:dyDescent="0.3">
      <c r="A3262" t="s">
        <v>7140</v>
      </c>
      <c r="B3262" t="s">
        <v>7141</v>
      </c>
      <c r="C3262">
        <v>250</v>
      </c>
      <c r="D3262" t="s">
        <v>2267</v>
      </c>
      <c r="E3262" t="s">
        <v>51</v>
      </c>
    </row>
    <row r="3263" spans="1:9" x14ac:dyDescent="0.3">
      <c r="A3263" t="s">
        <v>7142</v>
      </c>
      <c r="B3263" t="s">
        <v>7143</v>
      </c>
      <c r="C3263">
        <v>2</v>
      </c>
      <c r="D3263" t="s">
        <v>1212</v>
      </c>
      <c r="E3263" t="s">
        <v>7144</v>
      </c>
      <c r="G3263" t="s">
        <v>3348</v>
      </c>
      <c r="I3263" t="s">
        <v>7145</v>
      </c>
    </row>
    <row r="3264" spans="1:9" x14ac:dyDescent="0.3">
      <c r="A3264" t="s">
        <v>4372</v>
      </c>
      <c r="B3264" t="s">
        <v>7146</v>
      </c>
      <c r="C3264">
        <v>6</v>
      </c>
      <c r="D3264" t="s">
        <v>91</v>
      </c>
      <c r="E3264" t="s">
        <v>7147</v>
      </c>
      <c r="I3264" t="s">
        <v>7148</v>
      </c>
    </row>
    <row r="3265" spans="1:9" x14ac:dyDescent="0.3">
      <c r="A3265" t="s">
        <v>7149</v>
      </c>
      <c r="B3265" t="s">
        <v>7150</v>
      </c>
      <c r="C3265">
        <v>1</v>
      </c>
      <c r="D3265" t="s">
        <v>23</v>
      </c>
      <c r="E3265" t="s">
        <v>5448</v>
      </c>
    </row>
    <row r="3266" spans="1:9" x14ac:dyDescent="0.3">
      <c r="A3266" t="s">
        <v>7151</v>
      </c>
      <c r="B3266" t="s">
        <v>7152</v>
      </c>
      <c r="C3266">
        <v>50</v>
      </c>
      <c r="D3266" t="s">
        <v>29</v>
      </c>
      <c r="E3266" t="s">
        <v>7153</v>
      </c>
    </row>
    <row r="3267" spans="1:9" x14ac:dyDescent="0.3">
      <c r="A3267" t="s">
        <v>7154</v>
      </c>
      <c r="B3267" t="s">
        <v>1327</v>
      </c>
      <c r="C3267">
        <v>0.5</v>
      </c>
      <c r="D3267" t="s">
        <v>37</v>
      </c>
      <c r="E3267" t="s">
        <v>1328</v>
      </c>
    </row>
    <row r="3268" spans="1:9" x14ac:dyDescent="0.3">
      <c r="A3268" t="s">
        <v>7155</v>
      </c>
      <c r="B3268" t="s">
        <v>7156</v>
      </c>
      <c r="C3268">
        <v>3</v>
      </c>
      <c r="D3268" t="s">
        <v>189</v>
      </c>
      <c r="E3268" t="s">
        <v>6833</v>
      </c>
    </row>
    <row r="3269" spans="1:9" x14ac:dyDescent="0.3">
      <c r="A3269" t="s">
        <v>7157</v>
      </c>
      <c r="B3269" t="s">
        <v>7158</v>
      </c>
      <c r="C3269">
        <v>0.5</v>
      </c>
      <c r="D3269" t="s">
        <v>11</v>
      </c>
      <c r="E3269" t="s">
        <v>7159</v>
      </c>
    </row>
    <row r="3270" spans="1:9" x14ac:dyDescent="0.3">
      <c r="A3270" t="s">
        <v>7160</v>
      </c>
      <c r="B3270" t="s">
        <v>7161</v>
      </c>
      <c r="C3270">
        <v>1</v>
      </c>
      <c r="D3270" t="s">
        <v>37</v>
      </c>
      <c r="E3270" t="s">
        <v>1751</v>
      </c>
    </row>
    <row r="3271" spans="1:9" x14ac:dyDescent="0.3">
      <c r="A3271" t="s">
        <v>7162</v>
      </c>
      <c r="B3271" t="s">
        <v>7163</v>
      </c>
      <c r="C3271">
        <v>2</v>
      </c>
      <c r="D3271" t="s">
        <v>23</v>
      </c>
      <c r="E3271" t="s">
        <v>281</v>
      </c>
    </row>
    <row r="3272" spans="1:9" x14ac:dyDescent="0.3">
      <c r="A3272" t="s">
        <v>7164</v>
      </c>
      <c r="B3272" t="s">
        <v>7165</v>
      </c>
      <c r="C3272">
        <v>0.4</v>
      </c>
      <c r="E3272" t="s">
        <v>2955</v>
      </c>
    </row>
    <row r="3273" spans="1:9" x14ac:dyDescent="0.3">
      <c r="A3273" t="s">
        <v>7166</v>
      </c>
      <c r="B3273" t="s">
        <v>7167</v>
      </c>
      <c r="C3273">
        <v>16</v>
      </c>
      <c r="D3273" t="s">
        <v>23</v>
      </c>
      <c r="E3273" t="s">
        <v>2535</v>
      </c>
    </row>
    <row r="3274" spans="1:9" x14ac:dyDescent="0.3">
      <c r="A3274" t="s">
        <v>7168</v>
      </c>
      <c r="B3274" t="s">
        <v>7169</v>
      </c>
      <c r="C3274">
        <v>2</v>
      </c>
      <c r="D3274" t="s">
        <v>345</v>
      </c>
      <c r="E3274" t="s">
        <v>7170</v>
      </c>
      <c r="I3274" t="s">
        <v>2028</v>
      </c>
    </row>
    <row r="3275" spans="1:9" x14ac:dyDescent="0.3">
      <c r="A3275" t="s">
        <v>7171</v>
      </c>
      <c r="B3275" t="s">
        <v>264</v>
      </c>
      <c r="C3275">
        <v>1</v>
      </c>
      <c r="D3275" t="s">
        <v>11</v>
      </c>
      <c r="E3275" t="s">
        <v>265</v>
      </c>
    </row>
    <row r="3276" spans="1:9" x14ac:dyDescent="0.3">
      <c r="A3276" t="s">
        <v>3117</v>
      </c>
      <c r="B3276" t="s">
        <v>7172</v>
      </c>
      <c r="C3276">
        <v>0.25</v>
      </c>
      <c r="D3276" t="s">
        <v>23</v>
      </c>
      <c r="E3276" t="s">
        <v>487</v>
      </c>
    </row>
    <row r="3277" spans="1:9" x14ac:dyDescent="0.3">
      <c r="A3277" t="s">
        <v>4335</v>
      </c>
      <c r="B3277" t="s">
        <v>7173</v>
      </c>
      <c r="C3277">
        <v>0.25</v>
      </c>
      <c r="D3277" t="s">
        <v>23</v>
      </c>
      <c r="E3277" t="s">
        <v>7174</v>
      </c>
      <c r="G3277" t="s">
        <v>7175</v>
      </c>
    </row>
    <row r="3278" spans="1:9" x14ac:dyDescent="0.3">
      <c r="A3278" t="s">
        <v>7176</v>
      </c>
      <c r="B3278" t="s">
        <v>7177</v>
      </c>
      <c r="C3278">
        <v>0.5</v>
      </c>
      <c r="D3278" t="s">
        <v>23</v>
      </c>
      <c r="E3278" t="s">
        <v>3710</v>
      </c>
    </row>
    <row r="3279" spans="1:9" x14ac:dyDescent="0.3">
      <c r="A3279" t="s">
        <v>2228</v>
      </c>
      <c r="B3279" t="s">
        <v>7178</v>
      </c>
      <c r="C3279">
        <v>2</v>
      </c>
      <c r="D3279" t="s">
        <v>91</v>
      </c>
      <c r="E3279" t="s">
        <v>7179</v>
      </c>
      <c r="I3279" t="s">
        <v>7180</v>
      </c>
    </row>
    <row r="3280" spans="1:9" x14ac:dyDescent="0.3">
      <c r="A3280" t="s">
        <v>2057</v>
      </c>
      <c r="B3280" t="s">
        <v>1097</v>
      </c>
      <c r="E3280" t="s">
        <v>1097</v>
      </c>
    </row>
    <row r="3281" spans="1:9" x14ac:dyDescent="0.3">
      <c r="A3281" t="s">
        <v>3602</v>
      </c>
      <c r="B3281" t="s">
        <v>7181</v>
      </c>
      <c r="C3281">
        <v>1</v>
      </c>
      <c r="D3281" t="s">
        <v>2689</v>
      </c>
      <c r="E3281" t="s">
        <v>997</v>
      </c>
      <c r="I3281" t="s">
        <v>7182</v>
      </c>
    </row>
    <row r="3282" spans="1:9" x14ac:dyDescent="0.3">
      <c r="A3282" t="s">
        <v>7183</v>
      </c>
      <c r="B3282" t="s">
        <v>233</v>
      </c>
      <c r="E3282" t="s">
        <v>233</v>
      </c>
    </row>
    <row r="3283" spans="1:9" x14ac:dyDescent="0.3">
      <c r="A3283" t="s">
        <v>6000</v>
      </c>
      <c r="B3283" t="s">
        <v>7184</v>
      </c>
      <c r="C3283">
        <v>1</v>
      </c>
      <c r="D3283" t="s">
        <v>4545</v>
      </c>
      <c r="E3283" t="s">
        <v>7185</v>
      </c>
    </row>
    <row r="3284" spans="1:9" x14ac:dyDescent="0.3">
      <c r="A3284" t="s">
        <v>161</v>
      </c>
      <c r="B3284" t="s">
        <v>1118</v>
      </c>
      <c r="C3284">
        <v>1</v>
      </c>
      <c r="D3284" t="s">
        <v>23</v>
      </c>
      <c r="E3284" t="s">
        <v>281</v>
      </c>
    </row>
    <row r="3285" spans="1:9" x14ac:dyDescent="0.3">
      <c r="A3285" t="s">
        <v>7186</v>
      </c>
      <c r="B3285" t="s">
        <v>7187</v>
      </c>
      <c r="C3285">
        <v>2</v>
      </c>
      <c r="D3285" t="s">
        <v>189</v>
      </c>
      <c r="E3285" t="s">
        <v>7188</v>
      </c>
      <c r="I3285" t="s">
        <v>654</v>
      </c>
    </row>
    <row r="3286" spans="1:9" x14ac:dyDescent="0.3">
      <c r="A3286" t="s">
        <v>7189</v>
      </c>
      <c r="B3286" t="s">
        <v>4689</v>
      </c>
      <c r="C3286">
        <v>2</v>
      </c>
      <c r="D3286" t="s">
        <v>23</v>
      </c>
      <c r="E3286" t="s">
        <v>171</v>
      </c>
    </row>
    <row r="3287" spans="1:9" x14ac:dyDescent="0.3">
      <c r="A3287" t="s">
        <v>7190</v>
      </c>
      <c r="B3287" t="s">
        <v>7191</v>
      </c>
      <c r="C3287">
        <v>8</v>
      </c>
      <c r="E3287" t="s">
        <v>950</v>
      </c>
      <c r="I3287" t="s">
        <v>951</v>
      </c>
    </row>
    <row r="3288" spans="1:9" x14ac:dyDescent="0.3">
      <c r="A3288" t="s">
        <v>7192</v>
      </c>
      <c r="B3288" t="s">
        <v>743</v>
      </c>
      <c r="E3288" t="s">
        <v>743</v>
      </c>
    </row>
    <row r="3289" spans="1:9" x14ac:dyDescent="0.3">
      <c r="A3289" t="s">
        <v>5633</v>
      </c>
      <c r="B3289" t="s">
        <v>5646</v>
      </c>
      <c r="C3289">
        <v>1</v>
      </c>
      <c r="D3289" t="s">
        <v>23</v>
      </c>
      <c r="E3289" t="s">
        <v>262</v>
      </c>
    </row>
    <row r="3290" spans="1:9" x14ac:dyDescent="0.3">
      <c r="A3290" t="s">
        <v>1893</v>
      </c>
      <c r="B3290" t="s">
        <v>7193</v>
      </c>
      <c r="C3290">
        <v>2</v>
      </c>
      <c r="D3290" t="s">
        <v>189</v>
      </c>
      <c r="E3290" t="s">
        <v>1043</v>
      </c>
    </row>
    <row r="3291" spans="1:9" x14ac:dyDescent="0.3">
      <c r="A3291" t="s">
        <v>7194</v>
      </c>
      <c r="B3291" t="s">
        <v>2584</v>
      </c>
      <c r="C3291">
        <v>1.5</v>
      </c>
      <c r="D3291" t="s">
        <v>23</v>
      </c>
      <c r="E3291" t="s">
        <v>171</v>
      </c>
    </row>
    <row r="3292" spans="1:9" x14ac:dyDescent="0.3">
      <c r="A3292" t="s">
        <v>161</v>
      </c>
      <c r="B3292" t="s">
        <v>437</v>
      </c>
      <c r="C3292">
        <v>0.5</v>
      </c>
      <c r="D3292" t="s">
        <v>23</v>
      </c>
      <c r="E3292" t="s">
        <v>438</v>
      </c>
    </row>
    <row r="3293" spans="1:9" x14ac:dyDescent="0.3">
      <c r="A3293" t="s">
        <v>7195</v>
      </c>
      <c r="B3293" t="s">
        <v>7196</v>
      </c>
      <c r="C3293">
        <v>0.5</v>
      </c>
      <c r="D3293" t="s">
        <v>23</v>
      </c>
      <c r="E3293" t="s">
        <v>2410</v>
      </c>
    </row>
    <row r="3294" spans="1:9" x14ac:dyDescent="0.3">
      <c r="A3294" t="s">
        <v>7197</v>
      </c>
      <c r="B3294" t="s">
        <v>1190</v>
      </c>
      <c r="C3294">
        <v>0.5</v>
      </c>
      <c r="D3294" t="s">
        <v>23</v>
      </c>
      <c r="E3294" t="s">
        <v>199</v>
      </c>
    </row>
    <row r="3295" spans="1:9" x14ac:dyDescent="0.3">
      <c r="A3295" t="s">
        <v>1533</v>
      </c>
      <c r="B3295" t="s">
        <v>7198</v>
      </c>
      <c r="C3295">
        <v>2</v>
      </c>
      <c r="D3295" t="s">
        <v>23</v>
      </c>
      <c r="E3295" t="s">
        <v>638</v>
      </c>
    </row>
    <row r="3296" spans="1:9" x14ac:dyDescent="0.3">
      <c r="A3296" t="s">
        <v>5969</v>
      </c>
      <c r="B3296" t="s">
        <v>7199</v>
      </c>
      <c r="C3296">
        <v>30</v>
      </c>
      <c r="D3296" t="s">
        <v>29</v>
      </c>
      <c r="E3296" t="s">
        <v>7200</v>
      </c>
    </row>
    <row r="3297" spans="1:9" x14ac:dyDescent="0.3">
      <c r="A3297" t="s">
        <v>1306</v>
      </c>
      <c r="B3297" t="s">
        <v>7201</v>
      </c>
      <c r="C3297">
        <v>50</v>
      </c>
      <c r="D3297" t="s">
        <v>29</v>
      </c>
      <c r="E3297" t="s">
        <v>7202</v>
      </c>
      <c r="I3297" t="s">
        <v>342</v>
      </c>
    </row>
    <row r="3298" spans="1:9" x14ac:dyDescent="0.3">
      <c r="A3298" t="s">
        <v>7203</v>
      </c>
      <c r="B3298" t="s">
        <v>7204</v>
      </c>
      <c r="E3298" t="s">
        <v>333</v>
      </c>
      <c r="I3298" t="s">
        <v>65</v>
      </c>
    </row>
    <row r="3299" spans="1:9" x14ac:dyDescent="0.3">
      <c r="A3299" t="s">
        <v>7205</v>
      </c>
      <c r="B3299" t="s">
        <v>7206</v>
      </c>
      <c r="C3299">
        <v>70</v>
      </c>
      <c r="D3299" t="s">
        <v>29</v>
      </c>
      <c r="E3299" t="s">
        <v>2776</v>
      </c>
      <c r="I3299" t="s">
        <v>306</v>
      </c>
    </row>
    <row r="3300" spans="1:9" x14ac:dyDescent="0.3">
      <c r="A3300" t="s">
        <v>7207</v>
      </c>
      <c r="B3300" t="s">
        <v>7208</v>
      </c>
      <c r="C3300">
        <v>1.5</v>
      </c>
      <c r="D3300" t="s">
        <v>345</v>
      </c>
      <c r="E3300" t="s">
        <v>1445</v>
      </c>
      <c r="I3300" t="s">
        <v>7209</v>
      </c>
    </row>
    <row r="3301" spans="1:9" x14ac:dyDescent="0.3">
      <c r="A3301" t="s">
        <v>7210</v>
      </c>
      <c r="B3301" t="s">
        <v>7010</v>
      </c>
      <c r="C3301">
        <v>1</v>
      </c>
      <c r="D3301" t="s">
        <v>151</v>
      </c>
      <c r="E3301" t="s">
        <v>152</v>
      </c>
      <c r="I3301" t="s">
        <v>248</v>
      </c>
    </row>
    <row r="3302" spans="1:9" x14ac:dyDescent="0.3">
      <c r="A3302" t="s">
        <v>7211</v>
      </c>
      <c r="B3302" t="s">
        <v>7212</v>
      </c>
      <c r="C3302">
        <v>0.75</v>
      </c>
      <c r="D3302" t="s">
        <v>37</v>
      </c>
      <c r="E3302" t="s">
        <v>81</v>
      </c>
      <c r="I3302" t="s">
        <v>7213</v>
      </c>
    </row>
    <row r="3303" spans="1:9" x14ac:dyDescent="0.3">
      <c r="A3303" t="s">
        <v>7214</v>
      </c>
      <c r="B3303" t="s">
        <v>3424</v>
      </c>
      <c r="C3303">
        <v>1</v>
      </c>
      <c r="D3303" t="s">
        <v>23</v>
      </c>
      <c r="E3303" t="s">
        <v>1209</v>
      </c>
    </row>
    <row r="3304" spans="1:9" x14ac:dyDescent="0.3">
      <c r="A3304" t="s">
        <v>7215</v>
      </c>
      <c r="B3304" t="s">
        <v>743</v>
      </c>
      <c r="E3304" t="s">
        <v>743</v>
      </c>
    </row>
    <row r="3305" spans="1:9" x14ac:dyDescent="0.3">
      <c r="A3305" t="s">
        <v>7216</v>
      </c>
      <c r="B3305" t="s">
        <v>7217</v>
      </c>
      <c r="C3305">
        <v>0.5</v>
      </c>
      <c r="D3305" t="s">
        <v>460</v>
      </c>
      <c r="E3305" t="s">
        <v>5825</v>
      </c>
      <c r="I3305" t="s">
        <v>289</v>
      </c>
    </row>
    <row r="3306" spans="1:9" x14ac:dyDescent="0.3">
      <c r="A3306" t="s">
        <v>7218</v>
      </c>
      <c r="B3306" t="s">
        <v>7219</v>
      </c>
      <c r="C3306">
        <v>0.25</v>
      </c>
      <c r="D3306" t="s">
        <v>284</v>
      </c>
      <c r="E3306" t="s">
        <v>7220</v>
      </c>
    </row>
    <row r="3307" spans="1:9" x14ac:dyDescent="0.3">
      <c r="A3307" t="s">
        <v>7221</v>
      </c>
      <c r="B3307" t="s">
        <v>895</v>
      </c>
      <c r="C3307">
        <v>1</v>
      </c>
      <c r="D3307" t="s">
        <v>11</v>
      </c>
      <c r="E3307" t="s">
        <v>3410</v>
      </c>
    </row>
    <row r="3308" spans="1:9" x14ac:dyDescent="0.3">
      <c r="A3308" t="s">
        <v>881</v>
      </c>
      <c r="B3308" t="s">
        <v>7222</v>
      </c>
      <c r="C3308">
        <v>2.5</v>
      </c>
      <c r="D3308" t="s">
        <v>176</v>
      </c>
      <c r="E3308" t="s">
        <v>883</v>
      </c>
    </row>
    <row r="3309" spans="1:9" x14ac:dyDescent="0.3">
      <c r="A3309" t="s">
        <v>2494</v>
      </c>
      <c r="B3309" t="s">
        <v>7223</v>
      </c>
      <c r="C3309">
        <v>1</v>
      </c>
      <c r="D3309" t="s">
        <v>23</v>
      </c>
      <c r="E3309" t="s">
        <v>7224</v>
      </c>
    </row>
    <row r="3310" spans="1:9" x14ac:dyDescent="0.3">
      <c r="A3310" t="s">
        <v>7225</v>
      </c>
      <c r="B3310" t="s">
        <v>7226</v>
      </c>
      <c r="C3310">
        <v>0.75</v>
      </c>
      <c r="D3310" t="s">
        <v>71</v>
      </c>
      <c r="E3310" t="s">
        <v>558</v>
      </c>
      <c r="I3310" t="e">
        <f>- I used Giffard Banane du Bresil</f>
        <v>#NAME?</v>
      </c>
    </row>
    <row r="3311" spans="1:9" x14ac:dyDescent="0.3">
      <c r="A3311" t="s">
        <v>6819</v>
      </c>
      <c r="B3311" t="s">
        <v>1519</v>
      </c>
      <c r="C3311">
        <v>0.5</v>
      </c>
      <c r="D3311" t="s">
        <v>37</v>
      </c>
      <c r="E3311" t="s">
        <v>38</v>
      </c>
      <c r="G3311" t="s">
        <v>167</v>
      </c>
      <c r="I3311" t="s">
        <v>325</v>
      </c>
    </row>
    <row r="3312" spans="1:9" x14ac:dyDescent="0.3">
      <c r="A3312" t="s">
        <v>7227</v>
      </c>
      <c r="B3312" t="s">
        <v>3657</v>
      </c>
      <c r="C3312">
        <v>0.25</v>
      </c>
      <c r="D3312" t="s">
        <v>460</v>
      </c>
      <c r="E3312" t="s">
        <v>1097</v>
      </c>
    </row>
    <row r="3313" spans="1:9" x14ac:dyDescent="0.3">
      <c r="A3313" t="s">
        <v>7228</v>
      </c>
      <c r="B3313" t="s">
        <v>7229</v>
      </c>
      <c r="C3313">
        <v>0.25</v>
      </c>
      <c r="D3313" t="s">
        <v>37</v>
      </c>
      <c r="E3313" t="s">
        <v>1006</v>
      </c>
      <c r="I3313" t="s">
        <v>7230</v>
      </c>
    </row>
    <row r="3314" spans="1:9" x14ac:dyDescent="0.3">
      <c r="A3314" t="s">
        <v>7231</v>
      </c>
      <c r="B3314" t="s">
        <v>3554</v>
      </c>
      <c r="C3314">
        <v>0.5</v>
      </c>
      <c r="D3314" t="s">
        <v>23</v>
      </c>
      <c r="E3314" t="s">
        <v>160</v>
      </c>
    </row>
    <row r="3315" spans="1:9" x14ac:dyDescent="0.3">
      <c r="A3315" t="s">
        <v>7232</v>
      </c>
      <c r="B3315" t="s">
        <v>2225</v>
      </c>
      <c r="C3315">
        <v>1</v>
      </c>
      <c r="D3315" t="s">
        <v>23</v>
      </c>
      <c r="E3315" t="s">
        <v>183</v>
      </c>
    </row>
    <row r="3316" spans="1:9" x14ac:dyDescent="0.3">
      <c r="A3316" t="s">
        <v>7233</v>
      </c>
      <c r="B3316" t="s">
        <v>3446</v>
      </c>
      <c r="C3316">
        <v>2</v>
      </c>
      <c r="D3316" t="s">
        <v>23</v>
      </c>
      <c r="E3316" t="s">
        <v>3447</v>
      </c>
    </row>
    <row r="3317" spans="1:9" x14ac:dyDescent="0.3">
      <c r="A3317" t="s">
        <v>7234</v>
      </c>
      <c r="B3317" t="s">
        <v>7235</v>
      </c>
      <c r="C3317">
        <v>2</v>
      </c>
      <c r="D3317" t="s">
        <v>227</v>
      </c>
      <c r="E3317" t="s">
        <v>413</v>
      </c>
      <c r="G3317" t="s">
        <v>1571</v>
      </c>
    </row>
    <row r="3318" spans="1:9" x14ac:dyDescent="0.3">
      <c r="A3318" t="s">
        <v>7236</v>
      </c>
      <c r="B3318" t="s">
        <v>7237</v>
      </c>
      <c r="C3318">
        <v>3</v>
      </c>
      <c r="E3318" t="s">
        <v>1945</v>
      </c>
      <c r="G3318" t="s">
        <v>2655</v>
      </c>
    </row>
    <row r="3319" spans="1:9" x14ac:dyDescent="0.3">
      <c r="A3319" t="s">
        <v>7238</v>
      </c>
      <c r="B3319" t="s">
        <v>7239</v>
      </c>
      <c r="C3319">
        <v>50</v>
      </c>
      <c r="D3319" t="s">
        <v>29</v>
      </c>
      <c r="E3319" t="s">
        <v>7240</v>
      </c>
      <c r="I3319" t="s">
        <v>7241</v>
      </c>
    </row>
    <row r="3320" spans="1:9" x14ac:dyDescent="0.3">
      <c r="A3320" t="s">
        <v>7242</v>
      </c>
      <c r="B3320" t="s">
        <v>7243</v>
      </c>
      <c r="C3320">
        <v>1</v>
      </c>
      <c r="D3320" t="s">
        <v>460</v>
      </c>
      <c r="E3320" t="s">
        <v>4035</v>
      </c>
      <c r="I3320" t="s">
        <v>460</v>
      </c>
    </row>
    <row r="3321" spans="1:9" x14ac:dyDescent="0.3">
      <c r="A3321" t="s">
        <v>7244</v>
      </c>
      <c r="B3321" t="s">
        <v>7245</v>
      </c>
      <c r="C3321">
        <v>2</v>
      </c>
      <c r="D3321" t="s">
        <v>189</v>
      </c>
      <c r="E3321" t="s">
        <v>7246</v>
      </c>
      <c r="I3321" t="s">
        <v>7247</v>
      </c>
    </row>
    <row r="3322" spans="1:9" x14ac:dyDescent="0.3">
      <c r="A3322" t="s">
        <v>6472</v>
      </c>
      <c r="B3322" t="s">
        <v>7248</v>
      </c>
      <c r="C3322">
        <v>1</v>
      </c>
      <c r="D3322" t="s">
        <v>7249</v>
      </c>
      <c r="E3322" t="s">
        <v>278</v>
      </c>
    </row>
    <row r="3323" spans="1:9" x14ac:dyDescent="0.3">
      <c r="A3323" t="s">
        <v>7250</v>
      </c>
      <c r="B3323" t="s">
        <v>7251</v>
      </c>
      <c r="C3323">
        <v>1.5</v>
      </c>
      <c r="D3323" t="s">
        <v>23</v>
      </c>
      <c r="E3323" t="s">
        <v>1644</v>
      </c>
    </row>
    <row r="3324" spans="1:9" x14ac:dyDescent="0.3">
      <c r="A3324" t="s">
        <v>332</v>
      </c>
      <c r="B3324" t="s">
        <v>450</v>
      </c>
      <c r="D3324" t="s">
        <v>2397</v>
      </c>
      <c r="E3324" t="s">
        <v>152</v>
      </c>
      <c r="I3324" t="s">
        <v>164</v>
      </c>
    </row>
    <row r="3325" spans="1:9" x14ac:dyDescent="0.3">
      <c r="A3325" t="s">
        <v>7252</v>
      </c>
      <c r="B3325" t="s">
        <v>7253</v>
      </c>
      <c r="C3325">
        <v>1</v>
      </c>
      <c r="D3325" t="s">
        <v>2646</v>
      </c>
      <c r="E3325" t="s">
        <v>3123</v>
      </c>
    </row>
    <row r="3326" spans="1:9" x14ac:dyDescent="0.3">
      <c r="A3326" t="s">
        <v>7254</v>
      </c>
      <c r="B3326" t="s">
        <v>7255</v>
      </c>
      <c r="C3326">
        <v>7</v>
      </c>
      <c r="D3326" t="s">
        <v>23</v>
      </c>
      <c r="E3326" t="s">
        <v>7256</v>
      </c>
      <c r="H3326" t="s">
        <v>3058</v>
      </c>
    </row>
    <row r="3327" spans="1:9" x14ac:dyDescent="0.3">
      <c r="A3327" t="s">
        <v>7257</v>
      </c>
      <c r="B3327" t="s">
        <v>7258</v>
      </c>
      <c r="C3327">
        <v>1</v>
      </c>
      <c r="D3327" t="s">
        <v>111</v>
      </c>
      <c r="E3327" t="s">
        <v>3353</v>
      </c>
    </row>
    <row r="3328" spans="1:9" x14ac:dyDescent="0.3">
      <c r="A3328" t="s">
        <v>7259</v>
      </c>
      <c r="B3328" t="s">
        <v>7260</v>
      </c>
      <c r="C3328">
        <v>0.75</v>
      </c>
      <c r="D3328" t="s">
        <v>206</v>
      </c>
      <c r="E3328" t="s">
        <v>4724</v>
      </c>
    </row>
    <row r="3329" spans="1:9" x14ac:dyDescent="0.3">
      <c r="A3329" t="s">
        <v>7261</v>
      </c>
      <c r="B3329" t="s">
        <v>2697</v>
      </c>
      <c r="C3329">
        <v>1</v>
      </c>
      <c r="D3329" t="s">
        <v>60</v>
      </c>
      <c r="E3329" t="s">
        <v>331</v>
      </c>
    </row>
    <row r="3330" spans="1:9" x14ac:dyDescent="0.3">
      <c r="A3330" t="s">
        <v>7262</v>
      </c>
      <c r="B3330" t="s">
        <v>7263</v>
      </c>
      <c r="C3330">
        <v>0.5</v>
      </c>
      <c r="D3330" t="s">
        <v>37</v>
      </c>
      <c r="E3330" t="s">
        <v>6787</v>
      </c>
      <c r="I3330" t="s">
        <v>7264</v>
      </c>
    </row>
    <row r="3331" spans="1:9" x14ac:dyDescent="0.3">
      <c r="A3331" t="s">
        <v>7265</v>
      </c>
      <c r="B3331" t="s">
        <v>7266</v>
      </c>
      <c r="C3331">
        <v>37.5</v>
      </c>
      <c r="D3331" t="s">
        <v>29</v>
      </c>
      <c r="E3331" t="s">
        <v>380</v>
      </c>
    </row>
    <row r="3332" spans="1:9" x14ac:dyDescent="0.3">
      <c r="A3332" t="s">
        <v>7267</v>
      </c>
      <c r="B3332" t="s">
        <v>7268</v>
      </c>
      <c r="C3332">
        <v>1</v>
      </c>
      <c r="E3332" t="s">
        <v>7269</v>
      </c>
      <c r="F3332" t="s">
        <v>7270</v>
      </c>
      <c r="I3332" t="s">
        <v>7271</v>
      </c>
    </row>
    <row r="3333" spans="1:9" x14ac:dyDescent="0.3">
      <c r="A3333" t="s">
        <v>7272</v>
      </c>
      <c r="B3333" t="s">
        <v>3350</v>
      </c>
      <c r="E3333" t="s">
        <v>3350</v>
      </c>
    </row>
    <row r="3334" spans="1:9" x14ac:dyDescent="0.3">
      <c r="A3334" t="s">
        <v>7273</v>
      </c>
      <c r="B3334" t="s">
        <v>7274</v>
      </c>
      <c r="C3334">
        <v>1</v>
      </c>
      <c r="D3334" t="s">
        <v>111</v>
      </c>
      <c r="E3334" t="s">
        <v>2138</v>
      </c>
    </row>
    <row r="3335" spans="1:9" x14ac:dyDescent="0.3">
      <c r="A3335" t="s">
        <v>7275</v>
      </c>
      <c r="B3335" t="s">
        <v>486</v>
      </c>
      <c r="C3335">
        <v>1</v>
      </c>
      <c r="D3335" t="s">
        <v>23</v>
      </c>
      <c r="E3335" t="s">
        <v>487</v>
      </c>
    </row>
    <row r="3336" spans="1:9" x14ac:dyDescent="0.3">
      <c r="A3336" t="s">
        <v>7276</v>
      </c>
      <c r="B3336" t="s">
        <v>7277</v>
      </c>
      <c r="C3336">
        <v>10.5</v>
      </c>
      <c r="D3336" t="s">
        <v>23</v>
      </c>
      <c r="E3336" t="s">
        <v>2958</v>
      </c>
    </row>
    <row r="3337" spans="1:9" x14ac:dyDescent="0.3">
      <c r="A3337" t="s">
        <v>7278</v>
      </c>
      <c r="B3337" t="s">
        <v>7279</v>
      </c>
      <c r="C3337">
        <v>1</v>
      </c>
      <c r="D3337" t="s">
        <v>460</v>
      </c>
      <c r="E3337" t="s">
        <v>5825</v>
      </c>
    </row>
    <row r="3338" spans="1:9" x14ac:dyDescent="0.3">
      <c r="A3338" t="s">
        <v>3418</v>
      </c>
      <c r="B3338" t="s">
        <v>7280</v>
      </c>
      <c r="C3338">
        <v>300</v>
      </c>
      <c r="D3338" t="s">
        <v>29</v>
      </c>
      <c r="E3338" t="s">
        <v>7281</v>
      </c>
    </row>
    <row r="3339" spans="1:9" x14ac:dyDescent="0.3">
      <c r="A3339" t="s">
        <v>3139</v>
      </c>
      <c r="B3339" t="s">
        <v>7282</v>
      </c>
      <c r="C3339">
        <v>2</v>
      </c>
      <c r="D3339" t="s">
        <v>7283</v>
      </c>
      <c r="E3339" t="s">
        <v>7284</v>
      </c>
      <c r="F3339" t="s">
        <v>7175</v>
      </c>
    </row>
    <row r="3340" spans="1:9" x14ac:dyDescent="0.3">
      <c r="A3340" t="s">
        <v>7285</v>
      </c>
      <c r="B3340" t="s">
        <v>7286</v>
      </c>
      <c r="C3340">
        <v>1</v>
      </c>
      <c r="D3340" t="s">
        <v>11</v>
      </c>
      <c r="E3340" t="s">
        <v>758</v>
      </c>
    </row>
    <row r="3341" spans="1:9" x14ac:dyDescent="0.3">
      <c r="A3341" t="s">
        <v>7287</v>
      </c>
      <c r="B3341" t="s">
        <v>1726</v>
      </c>
      <c r="C3341">
        <v>0.5</v>
      </c>
      <c r="D3341" t="s">
        <v>23</v>
      </c>
      <c r="E3341" t="s">
        <v>95</v>
      </c>
    </row>
    <row r="3342" spans="1:9" x14ac:dyDescent="0.3">
      <c r="A3342" t="s">
        <v>7288</v>
      </c>
      <c r="B3342" t="s">
        <v>7289</v>
      </c>
      <c r="C3342">
        <v>1</v>
      </c>
      <c r="D3342" t="s">
        <v>37</v>
      </c>
      <c r="E3342" t="s">
        <v>7290</v>
      </c>
    </row>
    <row r="3343" spans="1:9" x14ac:dyDescent="0.3">
      <c r="A3343" t="s">
        <v>7291</v>
      </c>
      <c r="B3343" t="s">
        <v>7292</v>
      </c>
      <c r="C3343">
        <v>1</v>
      </c>
      <c r="D3343" t="s">
        <v>11</v>
      </c>
      <c r="E3343" t="s">
        <v>6956</v>
      </c>
    </row>
    <row r="3344" spans="1:9" x14ac:dyDescent="0.3">
      <c r="A3344" t="s">
        <v>4719</v>
      </c>
      <c r="B3344" t="s">
        <v>7293</v>
      </c>
      <c r="C3344">
        <v>0.5</v>
      </c>
      <c r="D3344" t="s">
        <v>37</v>
      </c>
      <c r="E3344" t="s">
        <v>1009</v>
      </c>
    </row>
    <row r="3345" spans="1:9" x14ac:dyDescent="0.3">
      <c r="A3345" t="s">
        <v>7294</v>
      </c>
      <c r="B3345" t="s">
        <v>7295</v>
      </c>
      <c r="C3345">
        <v>1.5</v>
      </c>
      <c r="D3345" t="s">
        <v>23</v>
      </c>
      <c r="E3345" t="s">
        <v>24</v>
      </c>
    </row>
    <row r="3346" spans="1:9" x14ac:dyDescent="0.3">
      <c r="A3346" t="s">
        <v>7296</v>
      </c>
      <c r="B3346" t="s">
        <v>7297</v>
      </c>
      <c r="C3346">
        <v>1</v>
      </c>
      <c r="D3346" t="s">
        <v>361</v>
      </c>
      <c r="E3346" t="s">
        <v>7298</v>
      </c>
      <c r="I3346" t="s">
        <v>7299</v>
      </c>
    </row>
    <row r="3347" spans="1:9" x14ac:dyDescent="0.3">
      <c r="A3347" t="s">
        <v>7300</v>
      </c>
      <c r="B3347" t="s">
        <v>6182</v>
      </c>
      <c r="C3347">
        <v>1</v>
      </c>
      <c r="D3347" t="s">
        <v>23</v>
      </c>
      <c r="E3347" t="s">
        <v>3679</v>
      </c>
    </row>
    <row r="3348" spans="1:9" x14ac:dyDescent="0.3">
      <c r="A3348" t="s">
        <v>7301</v>
      </c>
      <c r="B3348" t="s">
        <v>4972</v>
      </c>
      <c r="C3348">
        <v>1</v>
      </c>
      <c r="D3348" t="s">
        <v>1785</v>
      </c>
      <c r="E3348" t="s">
        <v>320</v>
      </c>
    </row>
    <row r="3349" spans="1:9" x14ac:dyDescent="0.3">
      <c r="A3349" t="s">
        <v>7302</v>
      </c>
      <c r="B3349" t="s">
        <v>7303</v>
      </c>
      <c r="C3349">
        <v>2</v>
      </c>
      <c r="D3349" t="s">
        <v>23</v>
      </c>
      <c r="E3349" t="s">
        <v>2552</v>
      </c>
    </row>
    <row r="3350" spans="1:9" x14ac:dyDescent="0.3">
      <c r="A3350" t="s">
        <v>7304</v>
      </c>
      <c r="B3350" t="s">
        <v>7305</v>
      </c>
      <c r="C3350">
        <v>1</v>
      </c>
      <c r="D3350" t="s">
        <v>227</v>
      </c>
      <c r="E3350" t="s">
        <v>716</v>
      </c>
    </row>
    <row r="3351" spans="1:9" x14ac:dyDescent="0.3">
      <c r="A3351" t="s">
        <v>312</v>
      </c>
      <c r="B3351" t="s">
        <v>7306</v>
      </c>
      <c r="C3351">
        <v>1</v>
      </c>
      <c r="D3351" t="s">
        <v>3648</v>
      </c>
      <c r="E3351" t="s">
        <v>575</v>
      </c>
    </row>
    <row r="3352" spans="1:9" x14ac:dyDescent="0.3">
      <c r="A3352" t="s">
        <v>7307</v>
      </c>
      <c r="B3352" t="s">
        <v>7308</v>
      </c>
      <c r="C3352">
        <v>0.75</v>
      </c>
      <c r="D3352" t="s">
        <v>37</v>
      </c>
      <c r="E3352" t="s">
        <v>7309</v>
      </c>
      <c r="I3352" t="s">
        <v>7310</v>
      </c>
    </row>
    <row r="3353" spans="1:9" x14ac:dyDescent="0.3">
      <c r="A3353" t="s">
        <v>7311</v>
      </c>
      <c r="B3353" t="s">
        <v>3780</v>
      </c>
      <c r="C3353">
        <v>0.5</v>
      </c>
      <c r="E3353" t="s">
        <v>183</v>
      </c>
      <c r="I3353" t="s">
        <v>289</v>
      </c>
    </row>
    <row r="3354" spans="1:9" x14ac:dyDescent="0.3">
      <c r="A3354" t="s">
        <v>7312</v>
      </c>
      <c r="B3354" t="s">
        <v>7313</v>
      </c>
      <c r="C3354">
        <v>1.5</v>
      </c>
      <c r="D3354" t="s">
        <v>23</v>
      </c>
      <c r="E3354" t="s">
        <v>7314</v>
      </c>
    </row>
    <row r="3355" spans="1:9" x14ac:dyDescent="0.3">
      <c r="A3355" t="s">
        <v>7315</v>
      </c>
      <c r="B3355" t="s">
        <v>4999</v>
      </c>
      <c r="C3355">
        <v>1.5</v>
      </c>
      <c r="D3355" t="s">
        <v>23</v>
      </c>
      <c r="E3355" t="s">
        <v>880</v>
      </c>
    </row>
    <row r="3356" spans="1:9" x14ac:dyDescent="0.3">
      <c r="A3356" t="s">
        <v>7316</v>
      </c>
      <c r="B3356" t="s">
        <v>7317</v>
      </c>
      <c r="C3356">
        <v>1</v>
      </c>
      <c r="D3356" t="s">
        <v>23</v>
      </c>
      <c r="E3356" t="s">
        <v>2678</v>
      </c>
    </row>
    <row r="3357" spans="1:9" x14ac:dyDescent="0.3">
      <c r="A3357" t="s">
        <v>7318</v>
      </c>
      <c r="B3357" t="s">
        <v>4002</v>
      </c>
      <c r="C3357">
        <v>1</v>
      </c>
      <c r="D3357" t="s">
        <v>23</v>
      </c>
      <c r="E3357" t="s">
        <v>1003</v>
      </c>
    </row>
    <row r="3358" spans="1:9" x14ac:dyDescent="0.3">
      <c r="A3358" t="s">
        <v>7319</v>
      </c>
      <c r="B3358" t="s">
        <v>7320</v>
      </c>
      <c r="C3358">
        <v>12</v>
      </c>
      <c r="D3358" t="s">
        <v>91</v>
      </c>
      <c r="E3358" t="s">
        <v>7321</v>
      </c>
      <c r="I3358" t="s">
        <v>7322</v>
      </c>
    </row>
    <row r="3359" spans="1:9" x14ac:dyDescent="0.3">
      <c r="A3359" t="s">
        <v>7323</v>
      </c>
      <c r="B3359" t="s">
        <v>7324</v>
      </c>
      <c r="C3359">
        <v>0.5</v>
      </c>
      <c r="D3359" t="s">
        <v>37</v>
      </c>
      <c r="E3359" t="s">
        <v>3460</v>
      </c>
    </row>
    <row r="3360" spans="1:9" x14ac:dyDescent="0.3">
      <c r="A3360" t="s">
        <v>7325</v>
      </c>
      <c r="B3360" t="s">
        <v>7326</v>
      </c>
      <c r="C3360">
        <v>1</v>
      </c>
      <c r="D3360" t="s">
        <v>23</v>
      </c>
      <c r="E3360" t="s">
        <v>7327</v>
      </c>
    </row>
    <row r="3361" spans="1:9" x14ac:dyDescent="0.3">
      <c r="A3361" t="s">
        <v>7328</v>
      </c>
      <c r="B3361" t="s">
        <v>7329</v>
      </c>
      <c r="C3361">
        <v>30</v>
      </c>
      <c r="D3361" t="s">
        <v>29</v>
      </c>
      <c r="E3361" t="s">
        <v>7330</v>
      </c>
    </row>
    <row r="3362" spans="1:9" x14ac:dyDescent="0.3">
      <c r="A3362" t="s">
        <v>7331</v>
      </c>
      <c r="B3362" t="s">
        <v>7332</v>
      </c>
      <c r="C3362">
        <v>4</v>
      </c>
      <c r="E3362" t="s">
        <v>7333</v>
      </c>
      <c r="F3362" t="s">
        <v>7175</v>
      </c>
      <c r="G3362" t="s">
        <v>3391</v>
      </c>
      <c r="I3362" t="s">
        <v>6615</v>
      </c>
    </row>
    <row r="3363" spans="1:9" x14ac:dyDescent="0.3">
      <c r="A3363" t="s">
        <v>7334</v>
      </c>
      <c r="B3363" t="s">
        <v>7335</v>
      </c>
      <c r="C3363">
        <v>5</v>
      </c>
      <c r="D3363" t="s">
        <v>835</v>
      </c>
      <c r="E3363" t="s">
        <v>7336</v>
      </c>
      <c r="I3363" t="s">
        <v>7337</v>
      </c>
    </row>
    <row r="3364" spans="1:9" x14ac:dyDescent="0.3">
      <c r="A3364" t="s">
        <v>7338</v>
      </c>
      <c r="B3364" t="s">
        <v>7339</v>
      </c>
      <c r="C3364">
        <v>1</v>
      </c>
      <c r="D3364" t="s">
        <v>37</v>
      </c>
      <c r="E3364" t="s">
        <v>494</v>
      </c>
    </row>
    <row r="3365" spans="1:9" x14ac:dyDescent="0.3">
      <c r="A3365" t="s">
        <v>7340</v>
      </c>
      <c r="B3365" t="s">
        <v>3195</v>
      </c>
      <c r="C3365">
        <v>0.5</v>
      </c>
      <c r="D3365" t="s">
        <v>37</v>
      </c>
      <c r="E3365" t="s">
        <v>3196</v>
      </c>
    </row>
    <row r="3366" spans="1:9" x14ac:dyDescent="0.3">
      <c r="A3366" t="s">
        <v>5076</v>
      </c>
      <c r="B3366" t="s">
        <v>188</v>
      </c>
      <c r="C3366">
        <v>2</v>
      </c>
      <c r="D3366" t="s">
        <v>189</v>
      </c>
      <c r="E3366" t="s">
        <v>190</v>
      </c>
    </row>
    <row r="3367" spans="1:9" x14ac:dyDescent="0.3">
      <c r="A3367" t="s">
        <v>7341</v>
      </c>
      <c r="B3367" t="s">
        <v>7342</v>
      </c>
      <c r="C3367">
        <v>4</v>
      </c>
      <c r="D3367" t="s">
        <v>1983</v>
      </c>
      <c r="E3367" t="s">
        <v>377</v>
      </c>
    </row>
    <row r="3368" spans="1:9" x14ac:dyDescent="0.3">
      <c r="A3368" t="s">
        <v>7343</v>
      </c>
      <c r="B3368" t="s">
        <v>2711</v>
      </c>
      <c r="C3368">
        <v>1</v>
      </c>
      <c r="D3368" t="s">
        <v>2712</v>
      </c>
      <c r="E3368" t="s">
        <v>2713</v>
      </c>
    </row>
    <row r="3369" spans="1:9" x14ac:dyDescent="0.3">
      <c r="A3369" t="s">
        <v>3429</v>
      </c>
      <c r="B3369" t="s">
        <v>7344</v>
      </c>
      <c r="E3369" t="s">
        <v>7344</v>
      </c>
    </row>
    <row r="3370" spans="1:9" x14ac:dyDescent="0.3">
      <c r="A3370" t="s">
        <v>7345</v>
      </c>
      <c r="B3370" t="s">
        <v>7346</v>
      </c>
      <c r="C3370">
        <v>2</v>
      </c>
      <c r="D3370" t="s">
        <v>345</v>
      </c>
      <c r="E3370" t="s">
        <v>7347</v>
      </c>
    </row>
    <row r="3371" spans="1:9" x14ac:dyDescent="0.3">
      <c r="A3371" t="s">
        <v>7348</v>
      </c>
      <c r="B3371" t="s">
        <v>7349</v>
      </c>
      <c r="C3371">
        <v>0.25</v>
      </c>
      <c r="D3371" t="s">
        <v>37</v>
      </c>
      <c r="E3371" t="s">
        <v>7350</v>
      </c>
    </row>
    <row r="3372" spans="1:9" x14ac:dyDescent="0.3">
      <c r="A3372" t="s">
        <v>7351</v>
      </c>
      <c r="B3372" t="s">
        <v>7352</v>
      </c>
      <c r="C3372">
        <v>1</v>
      </c>
      <c r="D3372" t="s">
        <v>23</v>
      </c>
      <c r="E3372" t="s">
        <v>7353</v>
      </c>
    </row>
    <row r="3373" spans="1:9" x14ac:dyDescent="0.3">
      <c r="A3373" t="s">
        <v>5812</v>
      </c>
      <c r="B3373" t="s">
        <v>7354</v>
      </c>
      <c r="C3373">
        <v>1</v>
      </c>
      <c r="D3373" t="s">
        <v>206</v>
      </c>
      <c r="E3373" t="s">
        <v>7355</v>
      </c>
    </row>
    <row r="3374" spans="1:9" x14ac:dyDescent="0.3">
      <c r="A3374" t="s">
        <v>7356</v>
      </c>
      <c r="B3374" t="s">
        <v>7357</v>
      </c>
      <c r="C3374">
        <v>1</v>
      </c>
      <c r="D3374" t="s">
        <v>11</v>
      </c>
      <c r="E3374" t="s">
        <v>7358</v>
      </c>
      <c r="I3374" t="s">
        <v>20</v>
      </c>
    </row>
    <row r="3375" spans="1:9" x14ac:dyDescent="0.3">
      <c r="A3375" t="s">
        <v>7359</v>
      </c>
      <c r="B3375" t="s">
        <v>7360</v>
      </c>
      <c r="E3375" t="s">
        <v>7360</v>
      </c>
    </row>
    <row r="3376" spans="1:9" x14ac:dyDescent="0.3">
      <c r="A3376" t="s">
        <v>7361</v>
      </c>
      <c r="B3376" t="s">
        <v>5359</v>
      </c>
      <c r="C3376">
        <v>0.75</v>
      </c>
      <c r="D3376" t="s">
        <v>23</v>
      </c>
      <c r="E3376" t="s">
        <v>365</v>
      </c>
    </row>
    <row r="3377" spans="1:9" x14ac:dyDescent="0.3">
      <c r="A3377" t="s">
        <v>7362</v>
      </c>
      <c r="B3377" t="s">
        <v>7363</v>
      </c>
      <c r="C3377">
        <v>10</v>
      </c>
      <c r="D3377" t="s">
        <v>29</v>
      </c>
      <c r="E3377" t="s">
        <v>1674</v>
      </c>
    </row>
    <row r="3378" spans="1:9" x14ac:dyDescent="0.3">
      <c r="A3378" t="s">
        <v>7364</v>
      </c>
      <c r="B3378" t="s">
        <v>7365</v>
      </c>
      <c r="C3378">
        <v>2</v>
      </c>
      <c r="D3378" t="s">
        <v>227</v>
      </c>
      <c r="E3378" t="s">
        <v>413</v>
      </c>
      <c r="I3378" t="s">
        <v>7366</v>
      </c>
    </row>
    <row r="3379" spans="1:9" x14ac:dyDescent="0.3">
      <c r="A3379" t="s">
        <v>6957</v>
      </c>
      <c r="B3379" t="s">
        <v>935</v>
      </c>
      <c r="C3379">
        <v>1</v>
      </c>
      <c r="D3379" t="s">
        <v>23</v>
      </c>
      <c r="E3379" t="s">
        <v>936</v>
      </c>
    </row>
    <row r="3380" spans="1:9" x14ac:dyDescent="0.3">
      <c r="A3380" t="s">
        <v>7367</v>
      </c>
      <c r="B3380" t="s">
        <v>7368</v>
      </c>
      <c r="D3380" t="s">
        <v>151</v>
      </c>
      <c r="E3380" t="s">
        <v>518</v>
      </c>
    </row>
    <row r="3381" spans="1:9" x14ac:dyDescent="0.3">
      <c r="A3381" t="s">
        <v>7369</v>
      </c>
      <c r="B3381" t="s">
        <v>7370</v>
      </c>
      <c r="C3381">
        <v>20</v>
      </c>
      <c r="D3381" t="s">
        <v>29</v>
      </c>
      <c r="E3381" t="s">
        <v>7371</v>
      </c>
    </row>
    <row r="3382" spans="1:9" x14ac:dyDescent="0.3">
      <c r="A3382" t="s">
        <v>7372</v>
      </c>
      <c r="B3382" t="s">
        <v>7373</v>
      </c>
      <c r="C3382">
        <v>10</v>
      </c>
      <c r="D3382" t="s">
        <v>29</v>
      </c>
      <c r="E3382" t="s">
        <v>7374</v>
      </c>
    </row>
    <row r="3383" spans="1:9" x14ac:dyDescent="0.3">
      <c r="A3383" t="s">
        <v>7375</v>
      </c>
      <c r="B3383" t="s">
        <v>7376</v>
      </c>
      <c r="C3383">
        <v>2</v>
      </c>
      <c r="D3383" t="s">
        <v>23</v>
      </c>
      <c r="E3383" t="s">
        <v>7377</v>
      </c>
    </row>
    <row r="3384" spans="1:9" x14ac:dyDescent="0.3">
      <c r="A3384" t="s">
        <v>985</v>
      </c>
      <c r="B3384" t="s">
        <v>7378</v>
      </c>
      <c r="E3384" t="s">
        <v>7378</v>
      </c>
    </row>
    <row r="3385" spans="1:9" x14ac:dyDescent="0.3">
      <c r="A3385" t="s">
        <v>7379</v>
      </c>
      <c r="B3385" t="s">
        <v>7380</v>
      </c>
      <c r="C3385">
        <v>1.5</v>
      </c>
      <c r="D3385" t="s">
        <v>23</v>
      </c>
      <c r="E3385" t="s">
        <v>516</v>
      </c>
    </row>
    <row r="3386" spans="1:9" x14ac:dyDescent="0.3">
      <c r="A3386" t="s">
        <v>7381</v>
      </c>
      <c r="B3386" t="s">
        <v>7382</v>
      </c>
      <c r="C3386">
        <v>2</v>
      </c>
      <c r="D3386" t="s">
        <v>2712</v>
      </c>
      <c r="E3386" t="s">
        <v>7383</v>
      </c>
      <c r="F3386" t="s">
        <v>7384</v>
      </c>
      <c r="I3386" t="s">
        <v>7385</v>
      </c>
    </row>
    <row r="3387" spans="1:9" x14ac:dyDescent="0.3">
      <c r="A3387" t="s">
        <v>7386</v>
      </c>
      <c r="B3387" t="s">
        <v>7387</v>
      </c>
      <c r="C3387">
        <v>1</v>
      </c>
      <c r="D3387" t="s">
        <v>23</v>
      </c>
      <c r="E3387" t="s">
        <v>1509</v>
      </c>
    </row>
    <row r="3388" spans="1:9" x14ac:dyDescent="0.3">
      <c r="A3388" t="s">
        <v>7388</v>
      </c>
      <c r="B3388" t="s">
        <v>5477</v>
      </c>
      <c r="E3388" t="s">
        <v>5478</v>
      </c>
      <c r="I3388" t="s">
        <v>1124</v>
      </c>
    </row>
    <row r="3389" spans="1:9" x14ac:dyDescent="0.3">
      <c r="A3389" t="s">
        <v>7389</v>
      </c>
      <c r="B3389" t="s">
        <v>173</v>
      </c>
      <c r="E3389" t="s">
        <v>173</v>
      </c>
    </row>
    <row r="3390" spans="1:9" x14ac:dyDescent="0.3">
      <c r="A3390" t="s">
        <v>7390</v>
      </c>
      <c r="B3390" t="s">
        <v>3469</v>
      </c>
      <c r="C3390">
        <v>0.75</v>
      </c>
      <c r="D3390" t="s">
        <v>11</v>
      </c>
      <c r="E3390" t="s">
        <v>281</v>
      </c>
    </row>
    <row r="3391" spans="1:9" x14ac:dyDescent="0.3">
      <c r="A3391" t="s">
        <v>7391</v>
      </c>
      <c r="B3391" t="s">
        <v>1959</v>
      </c>
      <c r="C3391">
        <v>1</v>
      </c>
      <c r="D3391" t="s">
        <v>18</v>
      </c>
      <c r="E3391" t="s">
        <v>1223</v>
      </c>
    </row>
    <row r="3392" spans="1:9" x14ac:dyDescent="0.3">
      <c r="A3392" t="s">
        <v>7392</v>
      </c>
      <c r="B3392" t="s">
        <v>7393</v>
      </c>
      <c r="C3392">
        <v>0.5</v>
      </c>
      <c r="D3392" t="s">
        <v>23</v>
      </c>
      <c r="E3392" t="s">
        <v>6273</v>
      </c>
    </row>
    <row r="3393" spans="1:9" x14ac:dyDescent="0.3">
      <c r="A3393" t="s">
        <v>7394</v>
      </c>
      <c r="B3393" t="s">
        <v>7395</v>
      </c>
      <c r="C3393">
        <v>0.25</v>
      </c>
      <c r="D3393" t="s">
        <v>23</v>
      </c>
      <c r="E3393" t="s">
        <v>199</v>
      </c>
    </row>
    <row r="3394" spans="1:9" x14ac:dyDescent="0.3">
      <c r="A3394" t="s">
        <v>7396</v>
      </c>
      <c r="B3394" t="s">
        <v>7397</v>
      </c>
      <c r="C3394">
        <v>0.75</v>
      </c>
      <c r="D3394" t="s">
        <v>11</v>
      </c>
      <c r="E3394" t="s">
        <v>7398</v>
      </c>
      <c r="I3394" t="s">
        <v>7399</v>
      </c>
    </row>
    <row r="3395" spans="1:9" x14ac:dyDescent="0.3">
      <c r="A3395" t="s">
        <v>7400</v>
      </c>
      <c r="B3395" t="s">
        <v>6571</v>
      </c>
      <c r="C3395">
        <v>1</v>
      </c>
      <c r="D3395" t="s">
        <v>284</v>
      </c>
      <c r="E3395" t="s">
        <v>2178</v>
      </c>
    </row>
    <row r="3396" spans="1:9" x14ac:dyDescent="0.3">
      <c r="A3396" t="s">
        <v>7401</v>
      </c>
      <c r="B3396" t="s">
        <v>7402</v>
      </c>
      <c r="C3396">
        <v>0.5</v>
      </c>
      <c r="D3396" t="s">
        <v>23</v>
      </c>
      <c r="E3396" t="s">
        <v>7403</v>
      </c>
    </row>
    <row r="3397" spans="1:9" x14ac:dyDescent="0.3">
      <c r="A3397" t="s">
        <v>7404</v>
      </c>
      <c r="B3397" t="s">
        <v>1011</v>
      </c>
      <c r="E3397" t="s">
        <v>1011</v>
      </c>
    </row>
    <row r="3398" spans="1:9" x14ac:dyDescent="0.3">
      <c r="A3398" t="s">
        <v>7405</v>
      </c>
      <c r="B3398" t="s">
        <v>7406</v>
      </c>
      <c r="C3398">
        <v>40</v>
      </c>
      <c r="D3398" t="s">
        <v>29</v>
      </c>
      <c r="E3398" t="s">
        <v>6276</v>
      </c>
    </row>
    <row r="3399" spans="1:9" x14ac:dyDescent="0.3">
      <c r="A3399" t="s">
        <v>7407</v>
      </c>
      <c r="B3399" t="s">
        <v>7408</v>
      </c>
      <c r="E3399" t="s">
        <v>3366</v>
      </c>
      <c r="I3399" t="s">
        <v>65</v>
      </c>
    </row>
    <row r="3400" spans="1:9" x14ac:dyDescent="0.3">
      <c r="A3400" t="s">
        <v>7409</v>
      </c>
      <c r="B3400" t="s">
        <v>7410</v>
      </c>
      <c r="C3400">
        <v>1.5</v>
      </c>
      <c r="D3400" t="s">
        <v>23</v>
      </c>
      <c r="E3400" t="s">
        <v>4319</v>
      </c>
    </row>
    <row r="3401" spans="1:9" x14ac:dyDescent="0.3">
      <c r="A3401" t="s">
        <v>7411</v>
      </c>
      <c r="B3401" t="s">
        <v>7412</v>
      </c>
      <c r="C3401">
        <v>5</v>
      </c>
      <c r="D3401" t="s">
        <v>29</v>
      </c>
      <c r="E3401" t="s">
        <v>98</v>
      </c>
    </row>
    <row r="3402" spans="1:9" x14ac:dyDescent="0.3">
      <c r="A3402" t="s">
        <v>7413</v>
      </c>
      <c r="B3402" t="s">
        <v>7414</v>
      </c>
      <c r="D3402" t="s">
        <v>33</v>
      </c>
      <c r="E3402" t="s">
        <v>1056</v>
      </c>
      <c r="I3402" t="s">
        <v>164</v>
      </c>
    </row>
    <row r="3403" spans="1:9" x14ac:dyDescent="0.3">
      <c r="A3403" t="s">
        <v>7415</v>
      </c>
      <c r="B3403" t="s">
        <v>7416</v>
      </c>
      <c r="C3403">
        <v>2</v>
      </c>
      <c r="D3403" t="s">
        <v>50</v>
      </c>
      <c r="E3403" t="s">
        <v>716</v>
      </c>
    </row>
    <row r="3404" spans="1:9" x14ac:dyDescent="0.3">
      <c r="A3404" t="s">
        <v>1341</v>
      </c>
      <c r="B3404" t="s">
        <v>7417</v>
      </c>
      <c r="C3404">
        <v>1</v>
      </c>
      <c r="D3404" t="s">
        <v>23</v>
      </c>
      <c r="E3404" t="s">
        <v>7418</v>
      </c>
      <c r="I3404" t="s">
        <v>7419</v>
      </c>
    </row>
    <row r="3405" spans="1:9" x14ac:dyDescent="0.3">
      <c r="A3405" t="s">
        <v>5700</v>
      </c>
      <c r="B3405" t="s">
        <v>7420</v>
      </c>
      <c r="E3405" t="s">
        <v>317</v>
      </c>
      <c r="I3405" t="s">
        <v>7421</v>
      </c>
    </row>
    <row r="3406" spans="1:9" x14ac:dyDescent="0.3">
      <c r="A3406" t="s">
        <v>7422</v>
      </c>
      <c r="B3406" t="s">
        <v>7423</v>
      </c>
      <c r="C3406">
        <v>1.5</v>
      </c>
      <c r="D3406" t="s">
        <v>23</v>
      </c>
      <c r="E3406" t="s">
        <v>4568</v>
      </c>
    </row>
    <row r="3407" spans="1:9" x14ac:dyDescent="0.3">
      <c r="A3407" t="s">
        <v>7424</v>
      </c>
      <c r="B3407" t="s">
        <v>7425</v>
      </c>
      <c r="C3407">
        <v>1.5</v>
      </c>
      <c r="D3407" t="s">
        <v>23</v>
      </c>
      <c r="E3407" t="s">
        <v>7426</v>
      </c>
    </row>
    <row r="3408" spans="1:9" x14ac:dyDescent="0.3">
      <c r="A3408" t="s">
        <v>7427</v>
      </c>
      <c r="B3408" t="s">
        <v>7428</v>
      </c>
      <c r="C3408">
        <v>1</v>
      </c>
      <c r="D3408" t="s">
        <v>37</v>
      </c>
      <c r="E3408" t="s">
        <v>220</v>
      </c>
      <c r="I3408" t="s">
        <v>7429</v>
      </c>
    </row>
    <row r="3409" spans="1:9" x14ac:dyDescent="0.3">
      <c r="A3409" t="s">
        <v>6551</v>
      </c>
      <c r="B3409" t="s">
        <v>7430</v>
      </c>
      <c r="C3409">
        <v>1</v>
      </c>
      <c r="D3409" t="s">
        <v>11</v>
      </c>
      <c r="E3409" t="s">
        <v>95</v>
      </c>
      <c r="I3409" t="s">
        <v>7431</v>
      </c>
    </row>
    <row r="3410" spans="1:9" x14ac:dyDescent="0.3">
      <c r="A3410" t="s">
        <v>7035</v>
      </c>
      <c r="B3410" t="s">
        <v>4287</v>
      </c>
      <c r="C3410">
        <v>50</v>
      </c>
      <c r="D3410" t="s">
        <v>29</v>
      </c>
      <c r="E3410" t="s">
        <v>4288</v>
      </c>
      <c r="I3410" t="s">
        <v>4289</v>
      </c>
    </row>
    <row r="3411" spans="1:9" x14ac:dyDescent="0.3">
      <c r="A3411" t="s">
        <v>7432</v>
      </c>
      <c r="B3411" t="s">
        <v>7433</v>
      </c>
      <c r="C3411">
        <v>2</v>
      </c>
      <c r="D3411" t="s">
        <v>91</v>
      </c>
      <c r="E3411" t="s">
        <v>781</v>
      </c>
    </row>
    <row r="3412" spans="1:9" x14ac:dyDescent="0.3">
      <c r="A3412" t="s">
        <v>7434</v>
      </c>
      <c r="B3412" t="s">
        <v>7435</v>
      </c>
      <c r="C3412">
        <v>0.25</v>
      </c>
      <c r="D3412" t="s">
        <v>37</v>
      </c>
      <c r="E3412" t="s">
        <v>7436</v>
      </c>
      <c r="G3412" t="s">
        <v>68</v>
      </c>
    </row>
    <row r="3413" spans="1:9" x14ac:dyDescent="0.3">
      <c r="A3413" t="s">
        <v>7437</v>
      </c>
      <c r="B3413" t="s">
        <v>7438</v>
      </c>
      <c r="C3413">
        <v>1.5</v>
      </c>
      <c r="D3413" t="s">
        <v>23</v>
      </c>
      <c r="E3413" t="s">
        <v>638</v>
      </c>
    </row>
    <row r="3414" spans="1:9" x14ac:dyDescent="0.3">
      <c r="A3414" t="s">
        <v>7439</v>
      </c>
      <c r="B3414" t="s">
        <v>7440</v>
      </c>
      <c r="C3414">
        <v>1</v>
      </c>
      <c r="D3414" t="s">
        <v>23</v>
      </c>
      <c r="E3414" t="s">
        <v>7441</v>
      </c>
    </row>
    <row r="3415" spans="1:9" x14ac:dyDescent="0.3">
      <c r="A3415" t="s">
        <v>7442</v>
      </c>
      <c r="B3415" t="s">
        <v>7443</v>
      </c>
      <c r="C3415">
        <v>1.5</v>
      </c>
      <c r="D3415" t="s">
        <v>23</v>
      </c>
      <c r="E3415" t="s">
        <v>7444</v>
      </c>
    </row>
    <row r="3416" spans="1:9" x14ac:dyDescent="0.3">
      <c r="A3416" t="s">
        <v>7445</v>
      </c>
      <c r="B3416" t="s">
        <v>7446</v>
      </c>
      <c r="C3416">
        <v>0.75</v>
      </c>
      <c r="D3416" t="s">
        <v>284</v>
      </c>
      <c r="E3416" t="s">
        <v>7447</v>
      </c>
    </row>
    <row r="3417" spans="1:9" x14ac:dyDescent="0.3">
      <c r="A3417" t="s">
        <v>4493</v>
      </c>
      <c r="B3417" t="s">
        <v>1269</v>
      </c>
      <c r="C3417">
        <v>1</v>
      </c>
      <c r="D3417" t="s">
        <v>23</v>
      </c>
      <c r="E3417" t="s">
        <v>380</v>
      </c>
    </row>
    <row r="3418" spans="1:9" x14ac:dyDescent="0.3">
      <c r="A3418" t="s">
        <v>7448</v>
      </c>
      <c r="B3418" t="s">
        <v>5088</v>
      </c>
      <c r="C3418">
        <v>1</v>
      </c>
      <c r="D3418" t="s">
        <v>284</v>
      </c>
      <c r="E3418" t="s">
        <v>413</v>
      </c>
      <c r="I3418" t="s">
        <v>4067</v>
      </c>
    </row>
    <row r="3419" spans="1:9" x14ac:dyDescent="0.3">
      <c r="A3419" t="s">
        <v>3097</v>
      </c>
      <c r="B3419" t="s">
        <v>7449</v>
      </c>
      <c r="C3419">
        <v>50</v>
      </c>
      <c r="D3419" t="s">
        <v>29</v>
      </c>
      <c r="E3419" t="s">
        <v>1816</v>
      </c>
      <c r="H3419" t="s">
        <v>582</v>
      </c>
    </row>
    <row r="3420" spans="1:9" x14ac:dyDescent="0.3">
      <c r="A3420" t="s">
        <v>808</v>
      </c>
      <c r="B3420" t="s">
        <v>6561</v>
      </c>
      <c r="C3420">
        <v>0.5</v>
      </c>
      <c r="D3420" t="s">
        <v>23</v>
      </c>
      <c r="E3420" t="s">
        <v>365</v>
      </c>
    </row>
    <row r="3421" spans="1:9" x14ac:dyDescent="0.3">
      <c r="A3421" t="s">
        <v>7450</v>
      </c>
      <c r="B3421" t="s">
        <v>7451</v>
      </c>
      <c r="C3421">
        <v>50</v>
      </c>
      <c r="D3421" t="s">
        <v>29</v>
      </c>
      <c r="E3421" t="s">
        <v>7452</v>
      </c>
      <c r="I3421" t="s">
        <v>7453</v>
      </c>
    </row>
    <row r="3422" spans="1:9" x14ac:dyDescent="0.3">
      <c r="A3422" t="s">
        <v>7454</v>
      </c>
      <c r="B3422" t="s">
        <v>7455</v>
      </c>
      <c r="C3422">
        <v>1</v>
      </c>
      <c r="D3422" t="s">
        <v>11</v>
      </c>
      <c r="E3422" t="s">
        <v>7456</v>
      </c>
    </row>
    <row r="3423" spans="1:9" x14ac:dyDescent="0.3">
      <c r="A3423" t="s">
        <v>7457</v>
      </c>
      <c r="B3423" t="s">
        <v>7458</v>
      </c>
      <c r="C3423">
        <v>4</v>
      </c>
      <c r="D3423" t="s">
        <v>227</v>
      </c>
      <c r="E3423" t="s">
        <v>413</v>
      </c>
      <c r="F3423" t="s">
        <v>1571</v>
      </c>
    </row>
    <row r="3424" spans="1:9" x14ac:dyDescent="0.3">
      <c r="A3424" t="s">
        <v>7459</v>
      </c>
      <c r="B3424" t="s">
        <v>7460</v>
      </c>
      <c r="C3424">
        <v>1</v>
      </c>
      <c r="D3424" t="s">
        <v>2191</v>
      </c>
      <c r="E3424" t="s">
        <v>3454</v>
      </c>
    </row>
    <row r="3425" spans="1:9" x14ac:dyDescent="0.3">
      <c r="A3425" t="s">
        <v>7461</v>
      </c>
      <c r="B3425" t="s">
        <v>7462</v>
      </c>
      <c r="C3425">
        <v>1</v>
      </c>
      <c r="D3425" t="s">
        <v>1990</v>
      </c>
      <c r="E3425" t="s">
        <v>152</v>
      </c>
      <c r="I3425" t="s">
        <v>248</v>
      </c>
    </row>
    <row r="3426" spans="1:9" x14ac:dyDescent="0.3">
      <c r="A3426" t="s">
        <v>7463</v>
      </c>
      <c r="B3426" t="s">
        <v>7464</v>
      </c>
      <c r="C3426">
        <v>0.75</v>
      </c>
      <c r="D3426" t="s">
        <v>23</v>
      </c>
      <c r="E3426" t="s">
        <v>292</v>
      </c>
    </row>
    <row r="3427" spans="1:9" x14ac:dyDescent="0.3">
      <c r="A3427" t="s">
        <v>7465</v>
      </c>
      <c r="B3427" t="s">
        <v>7466</v>
      </c>
      <c r="C3427">
        <v>0.5</v>
      </c>
      <c r="D3427" t="s">
        <v>37</v>
      </c>
      <c r="E3427" t="s">
        <v>1883</v>
      </c>
    </row>
    <row r="3428" spans="1:9" x14ac:dyDescent="0.3">
      <c r="A3428" t="s">
        <v>7467</v>
      </c>
      <c r="B3428" t="s">
        <v>3748</v>
      </c>
      <c r="C3428">
        <v>0.25</v>
      </c>
      <c r="D3428" t="s">
        <v>11</v>
      </c>
      <c r="E3428" t="s">
        <v>3749</v>
      </c>
    </row>
    <row r="3429" spans="1:9" x14ac:dyDescent="0.3">
      <c r="A3429" t="s">
        <v>2583</v>
      </c>
      <c r="B3429" t="s">
        <v>2929</v>
      </c>
      <c r="C3429">
        <v>1</v>
      </c>
      <c r="D3429" t="s">
        <v>111</v>
      </c>
      <c r="E3429" t="s">
        <v>331</v>
      </c>
    </row>
    <row r="3430" spans="1:9" x14ac:dyDescent="0.3">
      <c r="A3430" t="s">
        <v>7468</v>
      </c>
      <c r="B3430" t="s">
        <v>7469</v>
      </c>
      <c r="C3430">
        <v>1</v>
      </c>
      <c r="D3430" t="s">
        <v>1671</v>
      </c>
      <c r="E3430" t="s">
        <v>2815</v>
      </c>
      <c r="I3430" t="s">
        <v>248</v>
      </c>
    </row>
    <row r="3431" spans="1:9" x14ac:dyDescent="0.3">
      <c r="A3431" t="s">
        <v>7470</v>
      </c>
      <c r="B3431" t="s">
        <v>7471</v>
      </c>
      <c r="C3431">
        <v>1.2</v>
      </c>
      <c r="D3431" t="s">
        <v>11</v>
      </c>
      <c r="E3431" t="s">
        <v>64</v>
      </c>
    </row>
    <row r="3432" spans="1:9" x14ac:dyDescent="0.3">
      <c r="A3432" t="s">
        <v>7472</v>
      </c>
      <c r="B3432" t="s">
        <v>7473</v>
      </c>
      <c r="C3432">
        <v>1</v>
      </c>
      <c r="D3432" t="s">
        <v>37</v>
      </c>
      <c r="E3432" t="s">
        <v>547</v>
      </c>
      <c r="H3432" t="s">
        <v>1078</v>
      </c>
      <c r="I3432" t="s">
        <v>325</v>
      </c>
    </row>
    <row r="3433" spans="1:9" x14ac:dyDescent="0.3">
      <c r="A3433" t="s">
        <v>7474</v>
      </c>
      <c r="B3433" t="s">
        <v>7475</v>
      </c>
      <c r="C3433">
        <v>2</v>
      </c>
      <c r="D3433" t="s">
        <v>23</v>
      </c>
      <c r="E3433" t="s">
        <v>7476</v>
      </c>
    </row>
    <row r="3434" spans="1:9" x14ac:dyDescent="0.3">
      <c r="A3434" t="s">
        <v>5886</v>
      </c>
      <c r="B3434" t="s">
        <v>7477</v>
      </c>
      <c r="E3434" t="s">
        <v>7478</v>
      </c>
      <c r="I3434" t="s">
        <v>4324</v>
      </c>
    </row>
    <row r="3435" spans="1:9" x14ac:dyDescent="0.3">
      <c r="A3435" t="s">
        <v>7479</v>
      </c>
      <c r="B3435" t="s">
        <v>1204</v>
      </c>
      <c r="E3435" t="s">
        <v>1204</v>
      </c>
    </row>
    <row r="3436" spans="1:9" x14ac:dyDescent="0.3">
      <c r="A3436" t="s">
        <v>7480</v>
      </c>
      <c r="B3436" t="s">
        <v>7481</v>
      </c>
      <c r="C3436">
        <v>1</v>
      </c>
      <c r="D3436" t="s">
        <v>368</v>
      </c>
      <c r="E3436" t="s">
        <v>932</v>
      </c>
      <c r="I3436" t="s">
        <v>289</v>
      </c>
    </row>
    <row r="3437" spans="1:9" x14ac:dyDescent="0.3">
      <c r="A3437" t="s">
        <v>7482</v>
      </c>
      <c r="B3437" t="s">
        <v>422</v>
      </c>
      <c r="C3437">
        <v>0.25</v>
      </c>
      <c r="D3437" t="s">
        <v>11</v>
      </c>
      <c r="E3437" t="s">
        <v>423</v>
      </c>
    </row>
    <row r="3438" spans="1:9" x14ac:dyDescent="0.3">
      <c r="A3438" t="s">
        <v>7483</v>
      </c>
      <c r="B3438" t="s">
        <v>7484</v>
      </c>
      <c r="C3438">
        <v>0.5</v>
      </c>
      <c r="D3438" t="s">
        <v>37</v>
      </c>
      <c r="E3438" t="s">
        <v>160</v>
      </c>
      <c r="G3438" t="s">
        <v>68</v>
      </c>
    </row>
    <row r="3439" spans="1:9" x14ac:dyDescent="0.3">
      <c r="A3439" t="s">
        <v>5612</v>
      </c>
      <c r="B3439" t="s">
        <v>2142</v>
      </c>
      <c r="C3439">
        <v>1</v>
      </c>
      <c r="D3439" t="s">
        <v>23</v>
      </c>
      <c r="E3439" t="s">
        <v>160</v>
      </c>
      <c r="G3439" t="s">
        <v>68</v>
      </c>
    </row>
    <row r="3440" spans="1:9" x14ac:dyDescent="0.3">
      <c r="A3440" t="s">
        <v>7485</v>
      </c>
      <c r="B3440" t="s">
        <v>7486</v>
      </c>
      <c r="C3440">
        <v>1</v>
      </c>
      <c r="E3440" t="s">
        <v>1977</v>
      </c>
      <c r="I3440" t="s">
        <v>248</v>
      </c>
    </row>
    <row r="3441" spans="1:9" x14ac:dyDescent="0.3">
      <c r="A3441" t="s">
        <v>1691</v>
      </c>
      <c r="B3441" t="s">
        <v>4204</v>
      </c>
      <c r="C3441">
        <v>1</v>
      </c>
      <c r="D3441" t="s">
        <v>11</v>
      </c>
      <c r="E3441" t="s">
        <v>281</v>
      </c>
    </row>
    <row r="3442" spans="1:9" x14ac:dyDescent="0.3">
      <c r="A3442" t="s">
        <v>7487</v>
      </c>
      <c r="B3442" t="s">
        <v>7488</v>
      </c>
      <c r="C3442">
        <v>4</v>
      </c>
      <c r="D3442" t="s">
        <v>91</v>
      </c>
      <c r="E3442" t="s">
        <v>7489</v>
      </c>
      <c r="I3442" t="s">
        <v>20</v>
      </c>
    </row>
    <row r="3443" spans="1:9" x14ac:dyDescent="0.3">
      <c r="A3443" t="s">
        <v>1282</v>
      </c>
      <c r="B3443" t="s">
        <v>1670</v>
      </c>
      <c r="C3443">
        <v>1</v>
      </c>
      <c r="D3443" t="s">
        <v>1671</v>
      </c>
      <c r="E3443" t="s">
        <v>163</v>
      </c>
      <c r="I3443" t="s">
        <v>248</v>
      </c>
    </row>
    <row r="3444" spans="1:9" x14ac:dyDescent="0.3">
      <c r="A3444" t="s">
        <v>5783</v>
      </c>
      <c r="B3444" t="s">
        <v>7490</v>
      </c>
      <c r="C3444">
        <v>1</v>
      </c>
      <c r="E3444" t="s">
        <v>7491</v>
      </c>
      <c r="I3444" t="s">
        <v>248</v>
      </c>
    </row>
    <row r="3445" spans="1:9" x14ac:dyDescent="0.3">
      <c r="A3445" t="s">
        <v>7492</v>
      </c>
      <c r="B3445" t="s">
        <v>7493</v>
      </c>
      <c r="C3445">
        <v>0.25</v>
      </c>
      <c r="D3445" t="s">
        <v>23</v>
      </c>
      <c r="E3445" t="s">
        <v>7494</v>
      </c>
      <c r="F3445" t="s">
        <v>7495</v>
      </c>
    </row>
    <row r="3446" spans="1:9" x14ac:dyDescent="0.3">
      <c r="A3446" t="s">
        <v>7496</v>
      </c>
      <c r="B3446" t="s">
        <v>981</v>
      </c>
      <c r="C3446">
        <v>1</v>
      </c>
      <c r="D3446" t="s">
        <v>151</v>
      </c>
      <c r="E3446" t="s">
        <v>163</v>
      </c>
    </row>
    <row r="3447" spans="1:9" x14ac:dyDescent="0.3">
      <c r="A3447" t="s">
        <v>3497</v>
      </c>
      <c r="B3447" t="s">
        <v>7497</v>
      </c>
      <c r="C3447">
        <v>3</v>
      </c>
      <c r="D3447" t="s">
        <v>1212</v>
      </c>
      <c r="E3447" t="s">
        <v>7498</v>
      </c>
    </row>
    <row r="3448" spans="1:9" x14ac:dyDescent="0.3">
      <c r="A3448" t="s">
        <v>3825</v>
      </c>
      <c r="B3448" t="s">
        <v>7499</v>
      </c>
      <c r="C3448">
        <v>37.5</v>
      </c>
      <c r="D3448" t="s">
        <v>29</v>
      </c>
      <c r="E3448" t="s">
        <v>7500</v>
      </c>
    </row>
    <row r="3449" spans="1:9" x14ac:dyDescent="0.3">
      <c r="A3449" t="s">
        <v>7501</v>
      </c>
      <c r="B3449" t="s">
        <v>7502</v>
      </c>
      <c r="C3449">
        <v>1</v>
      </c>
      <c r="D3449" t="s">
        <v>120</v>
      </c>
      <c r="E3449" t="s">
        <v>51</v>
      </c>
    </row>
    <row r="3450" spans="1:9" x14ac:dyDescent="0.3">
      <c r="A3450" t="s">
        <v>7503</v>
      </c>
      <c r="B3450" t="s">
        <v>7504</v>
      </c>
      <c r="C3450">
        <v>0.25</v>
      </c>
      <c r="E3450" t="s">
        <v>88</v>
      </c>
      <c r="I3450" t="s">
        <v>289</v>
      </c>
    </row>
    <row r="3451" spans="1:9" x14ac:dyDescent="0.3">
      <c r="A3451" t="s">
        <v>7505</v>
      </c>
      <c r="B3451" t="s">
        <v>2929</v>
      </c>
      <c r="C3451">
        <v>1</v>
      </c>
      <c r="D3451" t="s">
        <v>111</v>
      </c>
      <c r="E3451" t="s">
        <v>331</v>
      </c>
    </row>
    <row r="3452" spans="1:9" x14ac:dyDescent="0.3">
      <c r="A3452" t="s">
        <v>7506</v>
      </c>
      <c r="B3452" t="s">
        <v>7507</v>
      </c>
      <c r="C3452">
        <v>0.5</v>
      </c>
      <c r="D3452" t="s">
        <v>23</v>
      </c>
      <c r="E3452" t="s">
        <v>7508</v>
      </c>
    </row>
    <row r="3453" spans="1:9" x14ac:dyDescent="0.3">
      <c r="A3453" t="s">
        <v>7509</v>
      </c>
      <c r="B3453" t="s">
        <v>4458</v>
      </c>
      <c r="C3453">
        <v>0.5</v>
      </c>
      <c r="D3453" t="s">
        <v>37</v>
      </c>
      <c r="E3453" t="s">
        <v>38</v>
      </c>
    </row>
    <row r="3454" spans="1:9" x14ac:dyDescent="0.3">
      <c r="A3454" t="s">
        <v>7510</v>
      </c>
      <c r="B3454" t="s">
        <v>7511</v>
      </c>
      <c r="C3454">
        <v>30</v>
      </c>
      <c r="D3454" t="s">
        <v>29</v>
      </c>
      <c r="E3454" t="s">
        <v>7512</v>
      </c>
    </row>
    <row r="3455" spans="1:9" x14ac:dyDescent="0.3">
      <c r="A3455" t="s">
        <v>7513</v>
      </c>
      <c r="B3455" t="s">
        <v>2697</v>
      </c>
      <c r="C3455">
        <v>1</v>
      </c>
      <c r="D3455" t="s">
        <v>60</v>
      </c>
      <c r="E3455" t="s">
        <v>331</v>
      </c>
    </row>
    <row r="3456" spans="1:9" x14ac:dyDescent="0.3">
      <c r="A3456" t="s">
        <v>7514</v>
      </c>
      <c r="B3456" t="s">
        <v>7515</v>
      </c>
      <c r="C3456">
        <v>50</v>
      </c>
      <c r="D3456" t="s">
        <v>29</v>
      </c>
      <c r="E3456" t="s">
        <v>5030</v>
      </c>
    </row>
    <row r="3457" spans="1:9" x14ac:dyDescent="0.3">
      <c r="A3457" t="s">
        <v>7516</v>
      </c>
      <c r="B3457" t="s">
        <v>923</v>
      </c>
      <c r="C3457">
        <v>1.5</v>
      </c>
      <c r="D3457" t="s">
        <v>23</v>
      </c>
      <c r="E3457" t="s">
        <v>233</v>
      </c>
    </row>
    <row r="3458" spans="1:9" x14ac:dyDescent="0.3">
      <c r="A3458" t="s">
        <v>3119</v>
      </c>
      <c r="B3458" t="s">
        <v>7517</v>
      </c>
      <c r="D3458" t="s">
        <v>60</v>
      </c>
      <c r="E3458" t="s">
        <v>7518</v>
      </c>
    </row>
    <row r="3459" spans="1:9" x14ac:dyDescent="0.3">
      <c r="A3459" t="s">
        <v>7485</v>
      </c>
      <c r="B3459" t="s">
        <v>7519</v>
      </c>
      <c r="C3459">
        <v>5</v>
      </c>
      <c r="D3459" t="s">
        <v>29</v>
      </c>
      <c r="E3459" t="s">
        <v>857</v>
      </c>
    </row>
    <row r="3460" spans="1:9" x14ac:dyDescent="0.3">
      <c r="A3460" t="s">
        <v>4785</v>
      </c>
      <c r="B3460" t="s">
        <v>7520</v>
      </c>
      <c r="C3460">
        <v>2</v>
      </c>
      <c r="D3460" t="s">
        <v>473</v>
      </c>
      <c r="E3460" t="s">
        <v>7521</v>
      </c>
    </row>
    <row r="3461" spans="1:9" x14ac:dyDescent="0.3">
      <c r="A3461" t="s">
        <v>7522</v>
      </c>
      <c r="B3461" t="s">
        <v>7523</v>
      </c>
      <c r="C3461">
        <v>7</v>
      </c>
      <c r="D3461" t="s">
        <v>460</v>
      </c>
      <c r="E3461" t="s">
        <v>7524</v>
      </c>
    </row>
    <row r="3462" spans="1:9" x14ac:dyDescent="0.3">
      <c r="A3462" t="s">
        <v>7525</v>
      </c>
      <c r="B3462" t="s">
        <v>7526</v>
      </c>
      <c r="C3462">
        <v>1</v>
      </c>
      <c r="D3462" t="s">
        <v>23</v>
      </c>
      <c r="E3462" t="s">
        <v>587</v>
      </c>
    </row>
    <row r="3463" spans="1:9" x14ac:dyDescent="0.3">
      <c r="A3463" t="s">
        <v>7527</v>
      </c>
      <c r="B3463" t="s">
        <v>7528</v>
      </c>
      <c r="C3463">
        <v>1</v>
      </c>
      <c r="D3463" t="s">
        <v>23</v>
      </c>
      <c r="E3463" t="s">
        <v>7529</v>
      </c>
    </row>
    <row r="3464" spans="1:9" x14ac:dyDescent="0.3">
      <c r="A3464" t="s">
        <v>3502</v>
      </c>
      <c r="B3464" t="s">
        <v>923</v>
      </c>
      <c r="C3464">
        <v>1.5</v>
      </c>
      <c r="D3464" t="s">
        <v>23</v>
      </c>
      <c r="E3464" t="s">
        <v>233</v>
      </c>
    </row>
    <row r="3465" spans="1:9" x14ac:dyDescent="0.3">
      <c r="A3465" t="s">
        <v>7530</v>
      </c>
      <c r="B3465" t="s">
        <v>7531</v>
      </c>
      <c r="C3465">
        <v>1.5</v>
      </c>
      <c r="D3465" t="s">
        <v>345</v>
      </c>
      <c r="E3465" t="s">
        <v>529</v>
      </c>
    </row>
    <row r="3466" spans="1:9" x14ac:dyDescent="0.3">
      <c r="A3466" t="s">
        <v>5682</v>
      </c>
      <c r="B3466" t="s">
        <v>7532</v>
      </c>
      <c r="C3466">
        <v>35</v>
      </c>
      <c r="D3466" t="s">
        <v>29</v>
      </c>
      <c r="E3466" t="s">
        <v>1142</v>
      </c>
    </row>
    <row r="3467" spans="1:9" x14ac:dyDescent="0.3">
      <c r="A3467" t="s">
        <v>7533</v>
      </c>
      <c r="B3467" t="s">
        <v>7534</v>
      </c>
      <c r="C3467">
        <v>8</v>
      </c>
      <c r="D3467" t="s">
        <v>23</v>
      </c>
      <c r="E3467" t="s">
        <v>352</v>
      </c>
    </row>
    <row r="3468" spans="1:9" x14ac:dyDescent="0.3">
      <c r="A3468" t="s">
        <v>7535</v>
      </c>
      <c r="B3468" t="s">
        <v>7536</v>
      </c>
      <c r="C3468">
        <v>10</v>
      </c>
      <c r="D3468" t="s">
        <v>29</v>
      </c>
      <c r="E3468" t="s">
        <v>3704</v>
      </c>
    </row>
    <row r="3469" spans="1:9" x14ac:dyDescent="0.3">
      <c r="A3469" t="s">
        <v>7404</v>
      </c>
      <c r="B3469" t="s">
        <v>743</v>
      </c>
      <c r="E3469" t="s">
        <v>743</v>
      </c>
    </row>
    <row r="3470" spans="1:9" x14ac:dyDescent="0.3">
      <c r="A3470" t="s">
        <v>2503</v>
      </c>
      <c r="B3470" t="s">
        <v>7537</v>
      </c>
      <c r="C3470">
        <v>4.5</v>
      </c>
      <c r="D3470" t="s">
        <v>23</v>
      </c>
      <c r="E3470" t="s">
        <v>738</v>
      </c>
    </row>
    <row r="3471" spans="1:9" x14ac:dyDescent="0.3">
      <c r="A3471" t="s">
        <v>7538</v>
      </c>
      <c r="B3471" t="s">
        <v>3851</v>
      </c>
      <c r="C3471">
        <v>2</v>
      </c>
      <c r="D3471" t="s">
        <v>91</v>
      </c>
      <c r="E3471" t="s">
        <v>7539</v>
      </c>
      <c r="I3471" t="s">
        <v>7540</v>
      </c>
    </row>
    <row r="3472" spans="1:9" x14ac:dyDescent="0.3">
      <c r="A3472" t="s">
        <v>7541</v>
      </c>
      <c r="B3472" t="s">
        <v>7542</v>
      </c>
      <c r="C3472">
        <v>0.25</v>
      </c>
      <c r="D3472" t="s">
        <v>11</v>
      </c>
      <c r="E3472" t="s">
        <v>7543</v>
      </c>
    </row>
    <row r="3473" spans="1:9" x14ac:dyDescent="0.3">
      <c r="A3473" t="s">
        <v>7544</v>
      </c>
      <c r="B3473" t="s">
        <v>7545</v>
      </c>
      <c r="C3473">
        <v>0.5</v>
      </c>
      <c r="D3473" t="s">
        <v>37</v>
      </c>
      <c r="E3473" t="s">
        <v>41</v>
      </c>
      <c r="I3473" t="s">
        <v>7546</v>
      </c>
    </row>
    <row r="3474" spans="1:9" x14ac:dyDescent="0.3">
      <c r="A3474" t="s">
        <v>7547</v>
      </c>
      <c r="B3474" t="s">
        <v>7548</v>
      </c>
      <c r="C3474">
        <v>1</v>
      </c>
      <c r="D3474" t="s">
        <v>11</v>
      </c>
      <c r="E3474" t="s">
        <v>402</v>
      </c>
      <c r="G3474" t="s">
        <v>68</v>
      </c>
    </row>
    <row r="3475" spans="1:9" x14ac:dyDescent="0.3">
      <c r="A3475" t="s">
        <v>6620</v>
      </c>
      <c r="B3475" t="s">
        <v>7549</v>
      </c>
      <c r="C3475">
        <v>0.5</v>
      </c>
      <c r="D3475" t="s">
        <v>23</v>
      </c>
      <c r="E3475" t="s">
        <v>7550</v>
      </c>
    </row>
    <row r="3476" spans="1:9" x14ac:dyDescent="0.3">
      <c r="A3476" t="s">
        <v>7551</v>
      </c>
      <c r="B3476" t="s">
        <v>1107</v>
      </c>
      <c r="C3476">
        <v>1</v>
      </c>
      <c r="D3476" t="s">
        <v>23</v>
      </c>
      <c r="E3476" t="s">
        <v>374</v>
      </c>
    </row>
    <row r="3477" spans="1:9" x14ac:dyDescent="0.3">
      <c r="A3477" t="s">
        <v>7552</v>
      </c>
      <c r="B3477" t="s">
        <v>7553</v>
      </c>
      <c r="C3477">
        <v>1</v>
      </c>
      <c r="D3477" t="s">
        <v>18</v>
      </c>
      <c r="E3477" t="s">
        <v>7554</v>
      </c>
      <c r="I3477" t="s">
        <v>7555</v>
      </c>
    </row>
    <row r="3478" spans="1:9" x14ac:dyDescent="0.3">
      <c r="A3478" t="s">
        <v>7556</v>
      </c>
      <c r="B3478" t="s">
        <v>7557</v>
      </c>
      <c r="C3478">
        <v>3</v>
      </c>
      <c r="D3478" t="s">
        <v>23</v>
      </c>
      <c r="E3478" t="s">
        <v>199</v>
      </c>
    </row>
    <row r="3479" spans="1:9" x14ac:dyDescent="0.3">
      <c r="A3479" t="s">
        <v>7558</v>
      </c>
      <c r="B3479" t="s">
        <v>7559</v>
      </c>
      <c r="C3479">
        <v>1</v>
      </c>
      <c r="D3479" t="s">
        <v>23</v>
      </c>
      <c r="E3479" t="s">
        <v>7560</v>
      </c>
    </row>
    <row r="3480" spans="1:9" x14ac:dyDescent="0.3">
      <c r="A3480" t="s">
        <v>994</v>
      </c>
      <c r="B3480" t="s">
        <v>7561</v>
      </c>
      <c r="C3480">
        <v>2</v>
      </c>
      <c r="D3480" t="s">
        <v>23</v>
      </c>
      <c r="E3480" t="s">
        <v>1003</v>
      </c>
      <c r="I3480" t="s">
        <v>289</v>
      </c>
    </row>
    <row r="3481" spans="1:9" x14ac:dyDescent="0.3">
      <c r="A3481" t="s">
        <v>3854</v>
      </c>
      <c r="B3481" t="s">
        <v>7562</v>
      </c>
      <c r="C3481">
        <v>1</v>
      </c>
      <c r="D3481" t="s">
        <v>2210</v>
      </c>
      <c r="E3481" t="s">
        <v>1332</v>
      </c>
      <c r="I3481" t="s">
        <v>289</v>
      </c>
    </row>
    <row r="3482" spans="1:9" x14ac:dyDescent="0.3">
      <c r="A3482" t="s">
        <v>7563</v>
      </c>
      <c r="B3482" t="s">
        <v>2651</v>
      </c>
      <c r="C3482">
        <v>0.5</v>
      </c>
      <c r="D3482" t="s">
        <v>23</v>
      </c>
      <c r="E3482" t="s">
        <v>199</v>
      </c>
      <c r="I3482" t="s">
        <v>289</v>
      </c>
    </row>
    <row r="3483" spans="1:9" x14ac:dyDescent="0.3">
      <c r="A3483" t="s">
        <v>7564</v>
      </c>
      <c r="B3483" t="s">
        <v>7565</v>
      </c>
      <c r="C3483">
        <v>2</v>
      </c>
      <c r="D3483" t="s">
        <v>91</v>
      </c>
      <c r="E3483" t="s">
        <v>3403</v>
      </c>
    </row>
    <row r="3484" spans="1:9" x14ac:dyDescent="0.3">
      <c r="A3484" t="s">
        <v>7566</v>
      </c>
      <c r="B3484" t="s">
        <v>7567</v>
      </c>
      <c r="C3484">
        <v>0.5</v>
      </c>
      <c r="D3484" t="s">
        <v>2191</v>
      </c>
      <c r="E3484" t="s">
        <v>7568</v>
      </c>
      <c r="F3484" t="s">
        <v>3326</v>
      </c>
      <c r="I3484" t="s">
        <v>289</v>
      </c>
    </row>
    <row r="3485" spans="1:9" x14ac:dyDescent="0.3">
      <c r="A3485" t="s">
        <v>7569</v>
      </c>
      <c r="B3485" t="s">
        <v>7570</v>
      </c>
      <c r="C3485">
        <v>3</v>
      </c>
      <c r="D3485" t="s">
        <v>227</v>
      </c>
      <c r="E3485" t="s">
        <v>1816</v>
      </c>
      <c r="H3485" t="s">
        <v>3214</v>
      </c>
    </row>
    <row r="3486" spans="1:9" x14ac:dyDescent="0.3">
      <c r="A3486" t="s">
        <v>7571</v>
      </c>
      <c r="B3486" t="s">
        <v>7572</v>
      </c>
      <c r="C3486">
        <v>38812</v>
      </c>
      <c r="E3486" t="s">
        <v>333</v>
      </c>
      <c r="F3486" t="s">
        <v>1571</v>
      </c>
    </row>
    <row r="3487" spans="1:9" x14ac:dyDescent="0.3">
      <c r="A3487" t="s">
        <v>5139</v>
      </c>
      <c r="B3487" t="s">
        <v>7573</v>
      </c>
      <c r="C3487">
        <v>1</v>
      </c>
      <c r="D3487" t="s">
        <v>37</v>
      </c>
      <c r="E3487" t="s">
        <v>7574</v>
      </c>
    </row>
    <row r="3488" spans="1:9" x14ac:dyDescent="0.3">
      <c r="A3488" t="s">
        <v>7575</v>
      </c>
      <c r="B3488" t="s">
        <v>7576</v>
      </c>
      <c r="C3488">
        <v>1</v>
      </c>
      <c r="D3488" t="s">
        <v>426</v>
      </c>
      <c r="E3488" t="s">
        <v>3981</v>
      </c>
    </row>
    <row r="3489" spans="1:9" x14ac:dyDescent="0.3">
      <c r="A3489" t="s">
        <v>7577</v>
      </c>
      <c r="B3489" t="s">
        <v>509</v>
      </c>
      <c r="C3489">
        <v>1</v>
      </c>
      <c r="D3489" t="s">
        <v>23</v>
      </c>
      <c r="E3489" t="s">
        <v>320</v>
      </c>
    </row>
    <row r="3490" spans="1:9" x14ac:dyDescent="0.3">
      <c r="A3490" t="s">
        <v>7578</v>
      </c>
      <c r="B3490" t="s">
        <v>7579</v>
      </c>
      <c r="C3490">
        <v>1</v>
      </c>
      <c r="D3490" t="s">
        <v>11</v>
      </c>
      <c r="E3490" t="s">
        <v>3294</v>
      </c>
    </row>
    <row r="3491" spans="1:9" x14ac:dyDescent="0.3">
      <c r="A3491" t="s">
        <v>7580</v>
      </c>
      <c r="B3491" t="s">
        <v>7581</v>
      </c>
      <c r="C3491">
        <v>10.5</v>
      </c>
      <c r="D3491" t="s">
        <v>91</v>
      </c>
      <c r="E3491" t="s">
        <v>1223</v>
      </c>
    </row>
    <row r="3492" spans="1:9" x14ac:dyDescent="0.3">
      <c r="A3492" t="s">
        <v>6984</v>
      </c>
      <c r="B3492" t="s">
        <v>299</v>
      </c>
      <c r="E3492" t="s">
        <v>299</v>
      </c>
    </row>
    <row r="3493" spans="1:9" x14ac:dyDescent="0.3">
      <c r="A3493" t="s">
        <v>7582</v>
      </c>
      <c r="B3493" t="s">
        <v>3216</v>
      </c>
      <c r="C3493">
        <v>0.75</v>
      </c>
      <c r="D3493" t="s">
        <v>23</v>
      </c>
      <c r="E3493" t="s">
        <v>38</v>
      </c>
      <c r="G3493" t="s">
        <v>68</v>
      </c>
    </row>
    <row r="3494" spans="1:9" x14ac:dyDescent="0.3">
      <c r="A3494" t="s">
        <v>7583</v>
      </c>
      <c r="B3494" t="s">
        <v>6300</v>
      </c>
      <c r="C3494">
        <v>2</v>
      </c>
      <c r="D3494" t="s">
        <v>91</v>
      </c>
      <c r="E3494" t="s">
        <v>3092</v>
      </c>
      <c r="I3494" t="s">
        <v>654</v>
      </c>
    </row>
    <row r="3495" spans="1:9" x14ac:dyDescent="0.3">
      <c r="A3495" t="s">
        <v>7584</v>
      </c>
      <c r="B3495" t="s">
        <v>7585</v>
      </c>
      <c r="C3495">
        <v>12.5</v>
      </c>
      <c r="D3495" t="s">
        <v>29</v>
      </c>
      <c r="E3495" t="s">
        <v>7586</v>
      </c>
    </row>
    <row r="3496" spans="1:9" x14ac:dyDescent="0.3">
      <c r="A3496" t="s">
        <v>7587</v>
      </c>
      <c r="B3496" t="s">
        <v>7588</v>
      </c>
      <c r="C3496">
        <v>0.75</v>
      </c>
      <c r="D3496" t="s">
        <v>37</v>
      </c>
      <c r="E3496" t="s">
        <v>3576</v>
      </c>
      <c r="I3496" t="s">
        <v>7589</v>
      </c>
    </row>
    <row r="3497" spans="1:9" x14ac:dyDescent="0.3">
      <c r="A3497" t="s">
        <v>7064</v>
      </c>
      <c r="B3497" t="s">
        <v>7590</v>
      </c>
      <c r="C3497">
        <v>1</v>
      </c>
      <c r="D3497" t="s">
        <v>23</v>
      </c>
      <c r="E3497" t="s">
        <v>383</v>
      </c>
    </row>
    <row r="3498" spans="1:9" x14ac:dyDescent="0.3">
      <c r="A3498" t="s">
        <v>3237</v>
      </c>
      <c r="B3498" t="s">
        <v>3434</v>
      </c>
      <c r="C3498">
        <v>1.5</v>
      </c>
      <c r="D3498" t="s">
        <v>23</v>
      </c>
      <c r="E3498" t="s">
        <v>281</v>
      </c>
    </row>
    <row r="3499" spans="1:9" x14ac:dyDescent="0.3">
      <c r="A3499" t="s">
        <v>7591</v>
      </c>
      <c r="B3499" t="s">
        <v>7592</v>
      </c>
      <c r="C3499">
        <v>15</v>
      </c>
      <c r="D3499" t="s">
        <v>29</v>
      </c>
      <c r="E3499" t="s">
        <v>88</v>
      </c>
    </row>
    <row r="3500" spans="1:9" x14ac:dyDescent="0.3">
      <c r="A3500" t="s">
        <v>4777</v>
      </c>
      <c r="B3500" t="s">
        <v>3580</v>
      </c>
      <c r="C3500">
        <v>0.5</v>
      </c>
      <c r="D3500" t="s">
        <v>23</v>
      </c>
      <c r="E3500" t="s">
        <v>380</v>
      </c>
    </row>
    <row r="3501" spans="1:9" x14ac:dyDescent="0.3">
      <c r="A3501" t="s">
        <v>1321</v>
      </c>
      <c r="B3501" t="s">
        <v>7593</v>
      </c>
      <c r="C3501">
        <v>0.75</v>
      </c>
      <c r="D3501" t="s">
        <v>37</v>
      </c>
      <c r="E3501" t="s">
        <v>7594</v>
      </c>
      <c r="I3501" t="s">
        <v>7595</v>
      </c>
    </row>
    <row r="3502" spans="1:9" x14ac:dyDescent="0.3">
      <c r="A3502" t="s">
        <v>7596</v>
      </c>
      <c r="B3502" t="s">
        <v>4220</v>
      </c>
      <c r="C3502">
        <v>2</v>
      </c>
      <c r="D3502" t="s">
        <v>23</v>
      </c>
      <c r="E3502" t="s">
        <v>487</v>
      </c>
    </row>
    <row r="3503" spans="1:9" x14ac:dyDescent="0.3">
      <c r="A3503" t="s">
        <v>7597</v>
      </c>
      <c r="B3503" t="s">
        <v>7598</v>
      </c>
      <c r="C3503">
        <v>1.5</v>
      </c>
      <c r="D3503" t="s">
        <v>23</v>
      </c>
      <c r="E3503" t="s">
        <v>64</v>
      </c>
    </row>
    <row r="3504" spans="1:9" x14ac:dyDescent="0.3">
      <c r="A3504" t="s">
        <v>7599</v>
      </c>
      <c r="B3504" t="s">
        <v>7600</v>
      </c>
      <c r="C3504">
        <v>3</v>
      </c>
      <c r="D3504" t="s">
        <v>11</v>
      </c>
      <c r="E3504" t="s">
        <v>281</v>
      </c>
    </row>
    <row r="3505" spans="1:9" x14ac:dyDescent="0.3">
      <c r="A3505" t="s">
        <v>7601</v>
      </c>
      <c r="B3505" t="s">
        <v>3019</v>
      </c>
      <c r="C3505">
        <v>1.5</v>
      </c>
      <c r="D3505" t="s">
        <v>23</v>
      </c>
      <c r="E3505" t="s">
        <v>1209</v>
      </c>
    </row>
    <row r="3506" spans="1:9" x14ac:dyDescent="0.3">
      <c r="A3506" t="s">
        <v>5008</v>
      </c>
      <c r="B3506" t="s">
        <v>7602</v>
      </c>
      <c r="C3506">
        <v>0.25</v>
      </c>
      <c r="D3506" t="s">
        <v>37</v>
      </c>
      <c r="E3506" t="s">
        <v>3710</v>
      </c>
    </row>
    <row r="3507" spans="1:9" x14ac:dyDescent="0.3">
      <c r="A3507" t="s">
        <v>7603</v>
      </c>
      <c r="B3507" t="s">
        <v>7604</v>
      </c>
      <c r="C3507">
        <v>5</v>
      </c>
      <c r="D3507" t="s">
        <v>23</v>
      </c>
      <c r="E3507" t="s">
        <v>402</v>
      </c>
    </row>
    <row r="3508" spans="1:9" x14ac:dyDescent="0.3">
      <c r="A3508" t="s">
        <v>7605</v>
      </c>
      <c r="B3508" t="s">
        <v>7606</v>
      </c>
      <c r="C3508">
        <v>3</v>
      </c>
      <c r="D3508" t="s">
        <v>473</v>
      </c>
      <c r="E3508" t="s">
        <v>2078</v>
      </c>
    </row>
    <row r="3509" spans="1:9" x14ac:dyDescent="0.3">
      <c r="A3509" t="s">
        <v>7262</v>
      </c>
      <c r="B3509" t="s">
        <v>7607</v>
      </c>
      <c r="C3509">
        <v>0.5</v>
      </c>
      <c r="D3509" t="s">
        <v>37</v>
      </c>
      <c r="E3509" t="s">
        <v>6787</v>
      </c>
      <c r="I3509" t="s">
        <v>7608</v>
      </c>
    </row>
    <row r="3510" spans="1:9" x14ac:dyDescent="0.3">
      <c r="A3510" t="s">
        <v>7609</v>
      </c>
      <c r="B3510" t="s">
        <v>7610</v>
      </c>
      <c r="C3510">
        <v>0.5</v>
      </c>
      <c r="D3510" t="s">
        <v>23</v>
      </c>
      <c r="E3510" t="s">
        <v>7344</v>
      </c>
      <c r="I3510" t="s">
        <v>289</v>
      </c>
    </row>
    <row r="3511" spans="1:9" x14ac:dyDescent="0.3">
      <c r="A3511" t="s">
        <v>7611</v>
      </c>
      <c r="B3511" t="s">
        <v>7612</v>
      </c>
      <c r="C3511">
        <v>1.5</v>
      </c>
      <c r="D3511" t="s">
        <v>23</v>
      </c>
      <c r="E3511" t="s">
        <v>365</v>
      </c>
    </row>
    <row r="3512" spans="1:9" x14ac:dyDescent="0.3">
      <c r="A3512" t="s">
        <v>7613</v>
      </c>
      <c r="B3512" t="s">
        <v>7614</v>
      </c>
      <c r="C3512">
        <v>1</v>
      </c>
      <c r="D3512" t="s">
        <v>37</v>
      </c>
      <c r="E3512" t="s">
        <v>1788</v>
      </c>
    </row>
    <row r="3513" spans="1:9" x14ac:dyDescent="0.3">
      <c r="A3513" t="s">
        <v>7615</v>
      </c>
      <c r="B3513" t="s">
        <v>7616</v>
      </c>
      <c r="C3513">
        <v>2</v>
      </c>
      <c r="D3513" t="s">
        <v>345</v>
      </c>
      <c r="E3513" t="s">
        <v>529</v>
      </c>
      <c r="I3513" t="s">
        <v>7617</v>
      </c>
    </row>
    <row r="3514" spans="1:9" x14ac:dyDescent="0.3">
      <c r="A3514" t="s">
        <v>7618</v>
      </c>
      <c r="B3514" t="s">
        <v>3446</v>
      </c>
      <c r="C3514">
        <v>2</v>
      </c>
      <c r="D3514" t="s">
        <v>23</v>
      </c>
      <c r="E3514" t="s">
        <v>3447</v>
      </c>
    </row>
    <row r="3515" spans="1:9" x14ac:dyDescent="0.3">
      <c r="A3515" t="s">
        <v>7619</v>
      </c>
      <c r="B3515" t="s">
        <v>7620</v>
      </c>
      <c r="C3515">
        <v>1</v>
      </c>
      <c r="D3515" t="s">
        <v>37</v>
      </c>
      <c r="E3515" t="s">
        <v>7621</v>
      </c>
      <c r="I3515" t="s">
        <v>1931</v>
      </c>
    </row>
    <row r="3516" spans="1:9" x14ac:dyDescent="0.3">
      <c r="A3516" t="s">
        <v>7622</v>
      </c>
      <c r="B3516" t="s">
        <v>7623</v>
      </c>
      <c r="C3516">
        <v>2</v>
      </c>
      <c r="D3516" t="s">
        <v>91</v>
      </c>
      <c r="E3516" t="s">
        <v>7624</v>
      </c>
      <c r="I3516" t="s">
        <v>7625</v>
      </c>
    </row>
    <row r="3517" spans="1:9" x14ac:dyDescent="0.3">
      <c r="A3517" t="s">
        <v>1001</v>
      </c>
      <c r="B3517" t="s">
        <v>7626</v>
      </c>
      <c r="C3517">
        <v>3</v>
      </c>
      <c r="D3517" t="s">
        <v>7627</v>
      </c>
      <c r="E3517" t="s">
        <v>7628</v>
      </c>
      <c r="G3517" t="s">
        <v>68</v>
      </c>
      <c r="I3517" t="s">
        <v>325</v>
      </c>
    </row>
    <row r="3518" spans="1:9" x14ac:dyDescent="0.3">
      <c r="A3518" t="s">
        <v>7629</v>
      </c>
      <c r="B3518" t="s">
        <v>7630</v>
      </c>
      <c r="C3518">
        <v>10</v>
      </c>
      <c r="D3518" t="s">
        <v>29</v>
      </c>
      <c r="E3518" t="s">
        <v>7631</v>
      </c>
    </row>
    <row r="3519" spans="1:9" x14ac:dyDescent="0.3">
      <c r="A3519" t="s">
        <v>7632</v>
      </c>
      <c r="B3519" t="s">
        <v>7633</v>
      </c>
      <c r="C3519">
        <v>2</v>
      </c>
      <c r="D3519" t="s">
        <v>345</v>
      </c>
      <c r="E3519" t="s">
        <v>1204</v>
      </c>
      <c r="I3519" t="s">
        <v>1146</v>
      </c>
    </row>
    <row r="3520" spans="1:9" x14ac:dyDescent="0.3">
      <c r="A3520" t="s">
        <v>5283</v>
      </c>
      <c r="B3520" t="s">
        <v>5496</v>
      </c>
      <c r="C3520">
        <v>0.25</v>
      </c>
      <c r="D3520" t="s">
        <v>23</v>
      </c>
      <c r="E3520" t="s">
        <v>38</v>
      </c>
      <c r="G3520" t="s">
        <v>68</v>
      </c>
    </row>
    <row r="3521" spans="1:9" x14ac:dyDescent="0.3">
      <c r="A3521" t="s">
        <v>7634</v>
      </c>
      <c r="B3521" t="s">
        <v>7635</v>
      </c>
      <c r="C3521">
        <v>1</v>
      </c>
      <c r="D3521" t="s">
        <v>18</v>
      </c>
      <c r="E3521" t="s">
        <v>7636</v>
      </c>
    </row>
    <row r="3522" spans="1:9" x14ac:dyDescent="0.3">
      <c r="A3522" t="s">
        <v>7637</v>
      </c>
      <c r="B3522" t="s">
        <v>2417</v>
      </c>
      <c r="C3522">
        <v>1</v>
      </c>
      <c r="D3522" t="s">
        <v>426</v>
      </c>
      <c r="E3522" t="s">
        <v>857</v>
      </c>
    </row>
    <row r="3523" spans="1:9" x14ac:dyDescent="0.3">
      <c r="A3523" t="s">
        <v>6149</v>
      </c>
      <c r="B3523" t="s">
        <v>7638</v>
      </c>
      <c r="C3523">
        <v>1</v>
      </c>
      <c r="D3523" t="s">
        <v>11</v>
      </c>
      <c r="E3523" t="s">
        <v>5046</v>
      </c>
      <c r="I3523" t="s">
        <v>7639</v>
      </c>
    </row>
    <row r="3524" spans="1:9" x14ac:dyDescent="0.3">
      <c r="A3524" t="s">
        <v>7640</v>
      </c>
      <c r="B3524" t="s">
        <v>674</v>
      </c>
      <c r="C3524">
        <v>0.5</v>
      </c>
      <c r="D3524" t="s">
        <v>23</v>
      </c>
      <c r="E3524" t="s">
        <v>38</v>
      </c>
      <c r="G3524" t="s">
        <v>68</v>
      </c>
    </row>
    <row r="3525" spans="1:9" x14ac:dyDescent="0.3">
      <c r="A3525" t="s">
        <v>7641</v>
      </c>
      <c r="B3525" t="s">
        <v>7642</v>
      </c>
      <c r="C3525">
        <v>1.5</v>
      </c>
      <c r="D3525" t="s">
        <v>345</v>
      </c>
      <c r="E3525" t="s">
        <v>1883</v>
      </c>
    </row>
    <row r="3526" spans="1:9" x14ac:dyDescent="0.3">
      <c r="A3526" t="s">
        <v>2906</v>
      </c>
      <c r="B3526" t="s">
        <v>7643</v>
      </c>
      <c r="C3526">
        <v>15</v>
      </c>
      <c r="D3526" t="s">
        <v>29</v>
      </c>
      <c r="E3526" t="s">
        <v>1407</v>
      </c>
    </row>
    <row r="3527" spans="1:9" x14ac:dyDescent="0.3">
      <c r="A3527" t="s">
        <v>7644</v>
      </c>
      <c r="B3527" t="s">
        <v>7645</v>
      </c>
      <c r="C3527">
        <v>2</v>
      </c>
      <c r="D3527" t="s">
        <v>345</v>
      </c>
      <c r="E3527" t="s">
        <v>7646</v>
      </c>
    </row>
    <row r="3528" spans="1:9" x14ac:dyDescent="0.3">
      <c r="A3528" t="s">
        <v>7647</v>
      </c>
      <c r="B3528" t="s">
        <v>7504</v>
      </c>
      <c r="C3528">
        <v>0.25</v>
      </c>
      <c r="E3528" t="s">
        <v>88</v>
      </c>
      <c r="I3528" t="s">
        <v>289</v>
      </c>
    </row>
    <row r="3529" spans="1:9" x14ac:dyDescent="0.3">
      <c r="A3529" t="s">
        <v>7648</v>
      </c>
      <c r="B3529" t="s">
        <v>7649</v>
      </c>
      <c r="C3529">
        <v>0.75</v>
      </c>
      <c r="D3529" t="s">
        <v>23</v>
      </c>
      <c r="E3529" t="s">
        <v>638</v>
      </c>
    </row>
    <row r="3530" spans="1:9" x14ac:dyDescent="0.3">
      <c r="A3530" t="s">
        <v>7650</v>
      </c>
      <c r="B3530" t="s">
        <v>7651</v>
      </c>
      <c r="C3530">
        <v>4</v>
      </c>
      <c r="D3530" t="s">
        <v>176</v>
      </c>
      <c r="E3530" t="s">
        <v>7652</v>
      </c>
      <c r="I3530" t="s">
        <v>4067</v>
      </c>
    </row>
    <row r="3531" spans="1:9" x14ac:dyDescent="0.3">
      <c r="A3531" t="s">
        <v>1255</v>
      </c>
      <c r="B3531" t="s">
        <v>7653</v>
      </c>
      <c r="C3531">
        <v>1</v>
      </c>
      <c r="D3531" t="s">
        <v>23</v>
      </c>
      <c r="E3531" t="s">
        <v>2207</v>
      </c>
    </row>
    <row r="3532" spans="1:9" x14ac:dyDescent="0.3">
      <c r="A3532" t="s">
        <v>7654</v>
      </c>
      <c r="B3532" t="s">
        <v>563</v>
      </c>
      <c r="E3532" t="s">
        <v>563</v>
      </c>
    </row>
    <row r="3533" spans="1:9" x14ac:dyDescent="0.3">
      <c r="A3533" t="s">
        <v>7655</v>
      </c>
      <c r="B3533" t="s">
        <v>7656</v>
      </c>
      <c r="C3533">
        <v>4</v>
      </c>
      <c r="D3533" t="s">
        <v>23</v>
      </c>
      <c r="E3533" t="s">
        <v>3442</v>
      </c>
    </row>
    <row r="3534" spans="1:9" x14ac:dyDescent="0.3">
      <c r="A3534" t="s">
        <v>7657</v>
      </c>
      <c r="B3534" t="s">
        <v>7658</v>
      </c>
      <c r="C3534">
        <v>0.5</v>
      </c>
      <c r="D3534" t="s">
        <v>23</v>
      </c>
      <c r="E3534" t="s">
        <v>7659</v>
      </c>
      <c r="I3534" t="s">
        <v>7660</v>
      </c>
    </row>
    <row r="3535" spans="1:9" x14ac:dyDescent="0.3">
      <c r="A3535" t="s">
        <v>7661</v>
      </c>
      <c r="B3535" t="s">
        <v>163</v>
      </c>
      <c r="E3535" t="s">
        <v>163</v>
      </c>
    </row>
    <row r="3536" spans="1:9" x14ac:dyDescent="0.3">
      <c r="A3536" t="s">
        <v>7662</v>
      </c>
      <c r="B3536" t="s">
        <v>2009</v>
      </c>
      <c r="C3536">
        <v>0.5</v>
      </c>
      <c r="D3536" t="s">
        <v>23</v>
      </c>
      <c r="E3536" t="s">
        <v>292</v>
      </c>
    </row>
    <row r="3537" spans="1:9" x14ac:dyDescent="0.3">
      <c r="A3537" t="s">
        <v>7663</v>
      </c>
      <c r="B3537" t="s">
        <v>7664</v>
      </c>
      <c r="E3537" t="s">
        <v>7665</v>
      </c>
      <c r="I3537" t="s">
        <v>5072</v>
      </c>
    </row>
    <row r="3538" spans="1:9" x14ac:dyDescent="0.3">
      <c r="A3538" t="s">
        <v>7666</v>
      </c>
      <c r="B3538" t="s">
        <v>7667</v>
      </c>
      <c r="C3538">
        <v>1</v>
      </c>
      <c r="D3538" t="s">
        <v>426</v>
      </c>
      <c r="E3538" t="s">
        <v>7668</v>
      </c>
      <c r="I3538" t="s">
        <v>1565</v>
      </c>
    </row>
    <row r="3539" spans="1:9" x14ac:dyDescent="0.3">
      <c r="A3539" t="s">
        <v>7669</v>
      </c>
      <c r="B3539" t="s">
        <v>7670</v>
      </c>
      <c r="C3539">
        <v>100</v>
      </c>
      <c r="D3539" t="s">
        <v>29</v>
      </c>
      <c r="E3539" t="s">
        <v>7671</v>
      </c>
    </row>
    <row r="3540" spans="1:9" x14ac:dyDescent="0.3">
      <c r="A3540" t="s">
        <v>7672</v>
      </c>
      <c r="B3540" t="s">
        <v>7673</v>
      </c>
      <c r="C3540">
        <v>2</v>
      </c>
      <c r="D3540" t="s">
        <v>11</v>
      </c>
      <c r="E3540" t="s">
        <v>7674</v>
      </c>
      <c r="I3540" t="s">
        <v>1565</v>
      </c>
    </row>
    <row r="3541" spans="1:9" x14ac:dyDescent="0.3">
      <c r="A3541" t="s">
        <v>7675</v>
      </c>
      <c r="B3541" t="s">
        <v>5701</v>
      </c>
      <c r="C3541">
        <v>2</v>
      </c>
      <c r="D3541" t="s">
        <v>345</v>
      </c>
      <c r="E3541" t="s">
        <v>41</v>
      </c>
    </row>
    <row r="3542" spans="1:9" x14ac:dyDescent="0.3">
      <c r="A3542" t="s">
        <v>488</v>
      </c>
      <c r="B3542" t="s">
        <v>2573</v>
      </c>
      <c r="E3542" t="s">
        <v>2573</v>
      </c>
    </row>
    <row r="3543" spans="1:9" x14ac:dyDescent="0.3">
      <c r="A3543" t="s">
        <v>7676</v>
      </c>
      <c r="B3543" t="s">
        <v>7677</v>
      </c>
      <c r="C3543">
        <v>2.25</v>
      </c>
      <c r="D3543" t="s">
        <v>345</v>
      </c>
      <c r="E3543" t="s">
        <v>7678</v>
      </c>
      <c r="I3543" t="s">
        <v>7679</v>
      </c>
    </row>
    <row r="3544" spans="1:9" x14ac:dyDescent="0.3">
      <c r="A3544" t="s">
        <v>7680</v>
      </c>
      <c r="B3544" t="s">
        <v>1179</v>
      </c>
      <c r="C3544">
        <v>1</v>
      </c>
      <c r="D3544" t="s">
        <v>23</v>
      </c>
      <c r="E3544" t="s">
        <v>233</v>
      </c>
    </row>
    <row r="3545" spans="1:9" x14ac:dyDescent="0.3">
      <c r="A3545" t="s">
        <v>7681</v>
      </c>
      <c r="B3545" t="s">
        <v>1606</v>
      </c>
      <c r="C3545">
        <v>1</v>
      </c>
      <c r="D3545" t="s">
        <v>23</v>
      </c>
      <c r="E3545" t="s">
        <v>1607</v>
      </c>
    </row>
    <row r="3546" spans="1:9" x14ac:dyDescent="0.3">
      <c r="A3546" t="s">
        <v>5287</v>
      </c>
      <c r="B3546" t="s">
        <v>6571</v>
      </c>
      <c r="C3546">
        <v>1</v>
      </c>
      <c r="D3546" t="s">
        <v>284</v>
      </c>
      <c r="E3546" t="s">
        <v>2178</v>
      </c>
    </row>
    <row r="3547" spans="1:9" x14ac:dyDescent="0.3">
      <c r="A3547" t="s">
        <v>7682</v>
      </c>
      <c r="B3547" t="s">
        <v>7683</v>
      </c>
      <c r="C3547">
        <v>2</v>
      </c>
      <c r="D3547" t="s">
        <v>23</v>
      </c>
      <c r="E3547" t="s">
        <v>7684</v>
      </c>
    </row>
    <row r="3548" spans="1:9" x14ac:dyDescent="0.3">
      <c r="A3548" t="s">
        <v>7685</v>
      </c>
      <c r="B3548" t="s">
        <v>7686</v>
      </c>
      <c r="C3548">
        <v>100</v>
      </c>
      <c r="D3548" t="s">
        <v>29</v>
      </c>
      <c r="E3548" t="s">
        <v>4589</v>
      </c>
    </row>
    <row r="3549" spans="1:9" x14ac:dyDescent="0.3">
      <c r="A3549" t="s">
        <v>7687</v>
      </c>
      <c r="B3549" t="s">
        <v>7688</v>
      </c>
      <c r="C3549">
        <v>1</v>
      </c>
      <c r="D3549" t="s">
        <v>23</v>
      </c>
      <c r="E3549" t="s">
        <v>1543</v>
      </c>
    </row>
    <row r="3550" spans="1:9" x14ac:dyDescent="0.3">
      <c r="A3550" t="s">
        <v>7689</v>
      </c>
      <c r="B3550" t="s">
        <v>7690</v>
      </c>
      <c r="C3550">
        <v>3</v>
      </c>
      <c r="E3550" t="s">
        <v>1561</v>
      </c>
    </row>
    <row r="3551" spans="1:9" x14ac:dyDescent="0.3">
      <c r="A3551" t="s">
        <v>6337</v>
      </c>
      <c r="B3551" t="s">
        <v>7691</v>
      </c>
      <c r="C3551">
        <v>1.5</v>
      </c>
      <c r="D3551" t="s">
        <v>23</v>
      </c>
      <c r="E3551" t="s">
        <v>75</v>
      </c>
    </row>
    <row r="3552" spans="1:9" x14ac:dyDescent="0.3">
      <c r="A3552" t="s">
        <v>7692</v>
      </c>
      <c r="B3552" t="s">
        <v>7206</v>
      </c>
      <c r="C3552">
        <v>70</v>
      </c>
      <c r="D3552" t="s">
        <v>29</v>
      </c>
      <c r="E3552" t="s">
        <v>2776</v>
      </c>
      <c r="I3552" t="s">
        <v>306</v>
      </c>
    </row>
    <row r="3553" spans="1:9" x14ac:dyDescent="0.3">
      <c r="A3553" t="s">
        <v>7693</v>
      </c>
      <c r="B3553" t="s">
        <v>7694</v>
      </c>
      <c r="E3553" t="s">
        <v>413</v>
      </c>
      <c r="I3553" t="s">
        <v>7695</v>
      </c>
    </row>
    <row r="3554" spans="1:9" x14ac:dyDescent="0.3">
      <c r="A3554" t="s">
        <v>2621</v>
      </c>
      <c r="B3554" t="s">
        <v>7696</v>
      </c>
      <c r="C3554">
        <v>1</v>
      </c>
      <c r="D3554" t="s">
        <v>23</v>
      </c>
      <c r="E3554" t="s">
        <v>7697</v>
      </c>
    </row>
    <row r="3555" spans="1:9" x14ac:dyDescent="0.3">
      <c r="A3555" t="s">
        <v>7698</v>
      </c>
      <c r="B3555" t="s">
        <v>4287</v>
      </c>
      <c r="C3555">
        <v>50</v>
      </c>
      <c r="D3555" t="s">
        <v>29</v>
      </c>
      <c r="E3555" t="s">
        <v>4288</v>
      </c>
      <c r="I3555" t="s">
        <v>4289</v>
      </c>
    </row>
    <row r="3556" spans="1:9" x14ac:dyDescent="0.3">
      <c r="A3556" t="s">
        <v>307</v>
      </c>
      <c r="B3556" t="s">
        <v>7699</v>
      </c>
      <c r="C3556">
        <v>1.5</v>
      </c>
      <c r="D3556" t="s">
        <v>91</v>
      </c>
      <c r="E3556" t="s">
        <v>7700</v>
      </c>
      <c r="I3556" t="s">
        <v>2243</v>
      </c>
    </row>
    <row r="3557" spans="1:9" x14ac:dyDescent="0.3">
      <c r="A3557" t="s">
        <v>7701</v>
      </c>
      <c r="B3557" t="s">
        <v>1611</v>
      </c>
      <c r="C3557">
        <v>0.75</v>
      </c>
      <c r="D3557" t="s">
        <v>37</v>
      </c>
      <c r="E3557" t="s">
        <v>160</v>
      </c>
    </row>
    <row r="3558" spans="1:9" x14ac:dyDescent="0.3">
      <c r="A3558" t="s">
        <v>6826</v>
      </c>
      <c r="B3558" t="s">
        <v>7702</v>
      </c>
      <c r="C3558">
        <v>1</v>
      </c>
      <c r="E3558" t="s">
        <v>5161</v>
      </c>
    </row>
    <row r="3559" spans="1:9" x14ac:dyDescent="0.3">
      <c r="A3559" t="s">
        <v>7703</v>
      </c>
      <c r="B3559" t="s">
        <v>5350</v>
      </c>
      <c r="C3559">
        <v>2</v>
      </c>
      <c r="D3559" t="s">
        <v>23</v>
      </c>
      <c r="E3559" t="s">
        <v>399</v>
      </c>
    </row>
    <row r="3560" spans="1:9" x14ac:dyDescent="0.3">
      <c r="A3560" t="s">
        <v>5961</v>
      </c>
      <c r="B3560" t="s">
        <v>7704</v>
      </c>
      <c r="C3560">
        <v>1</v>
      </c>
      <c r="D3560" t="s">
        <v>37</v>
      </c>
      <c r="E3560" t="s">
        <v>3269</v>
      </c>
      <c r="I3560" t="s">
        <v>7705</v>
      </c>
    </row>
    <row r="3561" spans="1:9" x14ac:dyDescent="0.3">
      <c r="A3561" t="s">
        <v>7706</v>
      </c>
      <c r="B3561" t="s">
        <v>6901</v>
      </c>
      <c r="C3561">
        <v>1.5</v>
      </c>
      <c r="D3561" t="s">
        <v>345</v>
      </c>
      <c r="E3561" t="s">
        <v>516</v>
      </c>
    </row>
    <row r="3562" spans="1:9" x14ac:dyDescent="0.3">
      <c r="A3562" t="s">
        <v>7707</v>
      </c>
      <c r="B3562" t="s">
        <v>7708</v>
      </c>
      <c r="C3562">
        <v>12.5</v>
      </c>
      <c r="D3562" t="s">
        <v>29</v>
      </c>
      <c r="E3562" t="s">
        <v>4410</v>
      </c>
    </row>
    <row r="3563" spans="1:9" x14ac:dyDescent="0.3">
      <c r="A3563" t="s">
        <v>7709</v>
      </c>
      <c r="B3563" t="s">
        <v>5043</v>
      </c>
      <c r="C3563">
        <v>1.5</v>
      </c>
      <c r="D3563" t="s">
        <v>23</v>
      </c>
      <c r="E3563" t="s">
        <v>233</v>
      </c>
      <c r="I3563" t="s">
        <v>289</v>
      </c>
    </row>
    <row r="3564" spans="1:9" x14ac:dyDescent="0.3">
      <c r="A3564" t="s">
        <v>7479</v>
      </c>
      <c r="B3564" t="s">
        <v>7710</v>
      </c>
      <c r="C3564">
        <v>37.5</v>
      </c>
      <c r="D3564" t="s">
        <v>29</v>
      </c>
      <c r="E3564" t="s">
        <v>966</v>
      </c>
    </row>
    <row r="3565" spans="1:9" x14ac:dyDescent="0.3">
      <c r="A3565" t="s">
        <v>7711</v>
      </c>
      <c r="B3565" t="s">
        <v>3434</v>
      </c>
      <c r="C3565">
        <v>1.5</v>
      </c>
      <c r="D3565" t="s">
        <v>23</v>
      </c>
      <c r="E3565" t="s">
        <v>281</v>
      </c>
    </row>
    <row r="3566" spans="1:9" x14ac:dyDescent="0.3">
      <c r="A3566" t="s">
        <v>7712</v>
      </c>
      <c r="B3566" t="s">
        <v>7713</v>
      </c>
      <c r="C3566">
        <v>0.5</v>
      </c>
      <c r="D3566" t="s">
        <v>23</v>
      </c>
      <c r="E3566" t="s">
        <v>7714</v>
      </c>
    </row>
    <row r="3567" spans="1:9" x14ac:dyDescent="0.3">
      <c r="A3567" t="s">
        <v>7715</v>
      </c>
      <c r="B3567" t="s">
        <v>7716</v>
      </c>
      <c r="C3567">
        <v>0.75</v>
      </c>
      <c r="D3567" t="s">
        <v>11</v>
      </c>
      <c r="E3567" t="s">
        <v>1032</v>
      </c>
    </row>
    <row r="3568" spans="1:9" x14ac:dyDescent="0.3">
      <c r="A3568" t="s">
        <v>7717</v>
      </c>
      <c r="B3568" t="s">
        <v>3424</v>
      </c>
      <c r="C3568">
        <v>1</v>
      </c>
      <c r="D3568" t="s">
        <v>23</v>
      </c>
      <c r="E3568" t="s">
        <v>1209</v>
      </c>
    </row>
    <row r="3569" spans="1:9" x14ac:dyDescent="0.3">
      <c r="A3569" t="s">
        <v>7718</v>
      </c>
      <c r="B3569" t="s">
        <v>7719</v>
      </c>
      <c r="C3569">
        <v>1</v>
      </c>
      <c r="D3569" t="s">
        <v>37</v>
      </c>
      <c r="E3569" t="s">
        <v>741</v>
      </c>
    </row>
    <row r="3570" spans="1:9" x14ac:dyDescent="0.3">
      <c r="A3570" t="s">
        <v>7720</v>
      </c>
      <c r="B3570" t="s">
        <v>7721</v>
      </c>
      <c r="C3570">
        <v>0.75</v>
      </c>
      <c r="D3570" t="s">
        <v>91</v>
      </c>
      <c r="E3570" t="s">
        <v>5205</v>
      </c>
    </row>
    <row r="3571" spans="1:9" x14ac:dyDescent="0.3">
      <c r="A3571" t="s">
        <v>818</v>
      </c>
      <c r="B3571" t="s">
        <v>7722</v>
      </c>
      <c r="C3571">
        <v>1.5</v>
      </c>
      <c r="D3571" t="s">
        <v>227</v>
      </c>
      <c r="E3571" t="s">
        <v>413</v>
      </c>
      <c r="I3571" t="s">
        <v>7695</v>
      </c>
    </row>
    <row r="3572" spans="1:9" x14ac:dyDescent="0.3">
      <c r="A3572" t="s">
        <v>7723</v>
      </c>
      <c r="B3572" t="s">
        <v>7724</v>
      </c>
      <c r="C3572">
        <v>1</v>
      </c>
      <c r="D3572" t="s">
        <v>23</v>
      </c>
      <c r="E3572" t="s">
        <v>5046</v>
      </c>
    </row>
    <row r="3573" spans="1:9" x14ac:dyDescent="0.3">
      <c r="A3573" t="s">
        <v>7725</v>
      </c>
      <c r="B3573" t="s">
        <v>1097</v>
      </c>
      <c r="E3573" t="s">
        <v>1097</v>
      </c>
    </row>
    <row r="3574" spans="1:9" x14ac:dyDescent="0.3">
      <c r="A3574" t="s">
        <v>7726</v>
      </c>
      <c r="B3574" t="s">
        <v>489</v>
      </c>
      <c r="C3574">
        <v>1</v>
      </c>
      <c r="D3574" t="s">
        <v>23</v>
      </c>
      <c r="E3574" t="s">
        <v>233</v>
      </c>
    </row>
    <row r="3575" spans="1:9" x14ac:dyDescent="0.3">
      <c r="A3575" t="s">
        <v>7727</v>
      </c>
      <c r="B3575" t="s">
        <v>7728</v>
      </c>
      <c r="C3575">
        <v>10.25</v>
      </c>
      <c r="D3575" t="s">
        <v>23</v>
      </c>
      <c r="E3575" t="s">
        <v>7729</v>
      </c>
    </row>
    <row r="3576" spans="1:9" x14ac:dyDescent="0.3">
      <c r="A3576" t="s">
        <v>1114</v>
      </c>
      <c r="B3576" t="s">
        <v>7730</v>
      </c>
      <c r="C3576">
        <v>2</v>
      </c>
      <c r="D3576" t="s">
        <v>2191</v>
      </c>
      <c r="E3576" t="s">
        <v>288</v>
      </c>
    </row>
    <row r="3577" spans="1:9" x14ac:dyDescent="0.3">
      <c r="A3577" t="s">
        <v>1041</v>
      </c>
      <c r="B3577" t="s">
        <v>7731</v>
      </c>
      <c r="C3577">
        <v>12.5</v>
      </c>
      <c r="D3577" t="s">
        <v>29</v>
      </c>
      <c r="E3577" t="s">
        <v>4142</v>
      </c>
    </row>
    <row r="3578" spans="1:9" x14ac:dyDescent="0.3">
      <c r="A3578" t="s">
        <v>7732</v>
      </c>
      <c r="B3578" t="s">
        <v>7733</v>
      </c>
      <c r="C3578">
        <v>5</v>
      </c>
      <c r="E3578" t="s">
        <v>7734</v>
      </c>
    </row>
    <row r="3579" spans="1:9" x14ac:dyDescent="0.3">
      <c r="A3579" t="s">
        <v>7735</v>
      </c>
      <c r="B3579" t="s">
        <v>7736</v>
      </c>
      <c r="C3579">
        <v>1</v>
      </c>
      <c r="D3579" t="s">
        <v>120</v>
      </c>
      <c r="E3579" t="s">
        <v>299</v>
      </c>
    </row>
    <row r="3580" spans="1:9" x14ac:dyDescent="0.3">
      <c r="A3580" t="s">
        <v>7737</v>
      </c>
      <c r="B3580" t="s">
        <v>240</v>
      </c>
      <c r="C3580">
        <v>1</v>
      </c>
      <c r="D3580" t="s">
        <v>23</v>
      </c>
      <c r="E3580" t="s">
        <v>241</v>
      </c>
    </row>
    <row r="3581" spans="1:9" x14ac:dyDescent="0.3">
      <c r="A3581" t="s">
        <v>2186</v>
      </c>
      <c r="B3581" t="s">
        <v>5254</v>
      </c>
      <c r="C3581">
        <v>0.5</v>
      </c>
      <c r="D3581" t="s">
        <v>23</v>
      </c>
      <c r="E3581" t="s">
        <v>3269</v>
      </c>
    </row>
    <row r="3582" spans="1:9" x14ac:dyDescent="0.3">
      <c r="A3582" t="s">
        <v>7738</v>
      </c>
      <c r="B3582" t="s">
        <v>7537</v>
      </c>
      <c r="C3582">
        <v>4.5</v>
      </c>
      <c r="D3582" t="s">
        <v>23</v>
      </c>
      <c r="E3582" t="s">
        <v>738</v>
      </c>
    </row>
    <row r="3583" spans="1:9" x14ac:dyDescent="0.3">
      <c r="A3583" t="s">
        <v>7739</v>
      </c>
      <c r="B3583" t="s">
        <v>7740</v>
      </c>
      <c r="C3583">
        <v>2.25</v>
      </c>
      <c r="D3583" t="s">
        <v>345</v>
      </c>
      <c r="E3583" t="s">
        <v>7741</v>
      </c>
    </row>
    <row r="3584" spans="1:9" x14ac:dyDescent="0.3">
      <c r="A3584" t="s">
        <v>7742</v>
      </c>
      <c r="B3584" t="s">
        <v>7743</v>
      </c>
      <c r="C3584" t="s">
        <v>665</v>
      </c>
      <c r="D3584" t="s">
        <v>1113</v>
      </c>
      <c r="E3584" t="s">
        <v>7744</v>
      </c>
      <c r="I3584" t="s">
        <v>7745</v>
      </c>
    </row>
    <row r="3585" spans="1:9" x14ac:dyDescent="0.3">
      <c r="A3585" t="s">
        <v>3610</v>
      </c>
      <c r="B3585" t="s">
        <v>7746</v>
      </c>
      <c r="C3585">
        <v>1</v>
      </c>
      <c r="D3585" t="s">
        <v>37</v>
      </c>
      <c r="E3585" t="s">
        <v>1009</v>
      </c>
    </row>
    <row r="3586" spans="1:9" x14ac:dyDescent="0.3">
      <c r="A3586" t="s">
        <v>6974</v>
      </c>
      <c r="B3586" t="s">
        <v>7747</v>
      </c>
      <c r="C3586">
        <v>1</v>
      </c>
      <c r="D3586" t="s">
        <v>18</v>
      </c>
      <c r="E3586" t="s">
        <v>3353</v>
      </c>
    </row>
    <row r="3587" spans="1:9" x14ac:dyDescent="0.3">
      <c r="A3587" t="s">
        <v>7748</v>
      </c>
      <c r="B3587" t="s">
        <v>7749</v>
      </c>
      <c r="C3587">
        <v>2</v>
      </c>
      <c r="D3587" t="s">
        <v>460</v>
      </c>
      <c r="E3587" t="s">
        <v>183</v>
      </c>
      <c r="I3587" t="s">
        <v>289</v>
      </c>
    </row>
    <row r="3588" spans="1:9" x14ac:dyDescent="0.3">
      <c r="A3588" t="s">
        <v>7750</v>
      </c>
      <c r="B3588" t="s">
        <v>7751</v>
      </c>
      <c r="C3588">
        <v>1</v>
      </c>
      <c r="D3588" t="s">
        <v>2646</v>
      </c>
      <c r="E3588" t="s">
        <v>292</v>
      </c>
    </row>
    <row r="3589" spans="1:9" x14ac:dyDescent="0.3">
      <c r="A3589" t="s">
        <v>7752</v>
      </c>
      <c r="B3589" t="s">
        <v>7753</v>
      </c>
      <c r="C3589">
        <v>2</v>
      </c>
      <c r="D3589" t="s">
        <v>189</v>
      </c>
      <c r="E3589" t="s">
        <v>1739</v>
      </c>
    </row>
    <row r="3590" spans="1:9" x14ac:dyDescent="0.3">
      <c r="A3590" t="s">
        <v>7754</v>
      </c>
      <c r="B3590" t="s">
        <v>1179</v>
      </c>
      <c r="C3590">
        <v>1</v>
      </c>
      <c r="D3590" t="s">
        <v>23</v>
      </c>
      <c r="E3590" t="s">
        <v>233</v>
      </c>
    </row>
    <row r="3591" spans="1:9" x14ac:dyDescent="0.3">
      <c r="A3591" t="s">
        <v>7755</v>
      </c>
      <c r="B3591" t="s">
        <v>333</v>
      </c>
      <c r="E3591" t="s">
        <v>333</v>
      </c>
    </row>
    <row r="3592" spans="1:9" x14ac:dyDescent="0.3">
      <c r="A3592" t="s">
        <v>7756</v>
      </c>
      <c r="B3592" t="s">
        <v>7757</v>
      </c>
      <c r="C3592">
        <v>0.5</v>
      </c>
      <c r="D3592" t="s">
        <v>11</v>
      </c>
      <c r="E3592" t="s">
        <v>1479</v>
      </c>
    </row>
    <row r="3593" spans="1:9" x14ac:dyDescent="0.3">
      <c r="A3593" t="s">
        <v>7758</v>
      </c>
      <c r="B3593" t="s">
        <v>7759</v>
      </c>
      <c r="C3593">
        <v>0.5</v>
      </c>
      <c r="D3593" t="s">
        <v>23</v>
      </c>
      <c r="E3593" t="s">
        <v>7760</v>
      </c>
    </row>
    <row r="3594" spans="1:9" x14ac:dyDescent="0.3">
      <c r="A3594" t="s">
        <v>1762</v>
      </c>
      <c r="B3594" t="s">
        <v>1626</v>
      </c>
      <c r="C3594">
        <v>1</v>
      </c>
      <c r="D3594" t="s">
        <v>11</v>
      </c>
      <c r="E3594" t="s">
        <v>1627</v>
      </c>
      <c r="I3594" t="s">
        <v>1628</v>
      </c>
    </row>
    <row r="3595" spans="1:9" x14ac:dyDescent="0.3">
      <c r="A3595" t="s">
        <v>7761</v>
      </c>
      <c r="B3595" t="s">
        <v>7762</v>
      </c>
      <c r="C3595">
        <v>1</v>
      </c>
      <c r="D3595" t="s">
        <v>120</v>
      </c>
      <c r="E3595" t="s">
        <v>115</v>
      </c>
    </row>
    <row r="3596" spans="1:9" x14ac:dyDescent="0.3">
      <c r="A3596" t="s">
        <v>7763</v>
      </c>
      <c r="B3596" t="s">
        <v>7764</v>
      </c>
      <c r="C3596">
        <v>5</v>
      </c>
      <c r="E3596" t="s">
        <v>7765</v>
      </c>
    </row>
    <row r="3597" spans="1:9" x14ac:dyDescent="0.3">
      <c r="A3597" t="s">
        <v>3440</v>
      </c>
      <c r="B3597" t="s">
        <v>7766</v>
      </c>
      <c r="C3597">
        <v>0.67</v>
      </c>
      <c r="D3597" t="s">
        <v>284</v>
      </c>
      <c r="E3597" t="s">
        <v>7767</v>
      </c>
      <c r="F3597" t="s">
        <v>1994</v>
      </c>
      <c r="G3597" t="s">
        <v>68</v>
      </c>
      <c r="H3597" t="s">
        <v>3945</v>
      </c>
      <c r="I3597" t="s">
        <v>7768</v>
      </c>
    </row>
    <row r="3598" spans="1:9" x14ac:dyDescent="0.3">
      <c r="A3598" t="s">
        <v>7769</v>
      </c>
      <c r="B3598" t="s">
        <v>1056</v>
      </c>
      <c r="E3598" t="s">
        <v>1056</v>
      </c>
    </row>
    <row r="3599" spans="1:9" x14ac:dyDescent="0.3">
      <c r="A3599" t="s">
        <v>7770</v>
      </c>
      <c r="B3599" t="s">
        <v>7771</v>
      </c>
      <c r="C3599">
        <v>0.5</v>
      </c>
      <c r="D3599" t="s">
        <v>23</v>
      </c>
      <c r="E3599" t="s">
        <v>7063</v>
      </c>
    </row>
    <row r="3600" spans="1:9" x14ac:dyDescent="0.3">
      <c r="A3600" t="s">
        <v>7772</v>
      </c>
      <c r="B3600" t="s">
        <v>968</v>
      </c>
      <c r="C3600">
        <v>1</v>
      </c>
      <c r="D3600" t="s">
        <v>23</v>
      </c>
      <c r="E3600" t="s">
        <v>199</v>
      </c>
    </row>
    <row r="3601" spans="1:9" x14ac:dyDescent="0.3">
      <c r="A3601" t="s">
        <v>7773</v>
      </c>
      <c r="B3601" t="s">
        <v>6214</v>
      </c>
      <c r="C3601">
        <v>1</v>
      </c>
      <c r="D3601" t="s">
        <v>284</v>
      </c>
      <c r="E3601" t="s">
        <v>7774</v>
      </c>
      <c r="F3601" t="s">
        <v>1571</v>
      </c>
      <c r="I3601" t="s">
        <v>4067</v>
      </c>
    </row>
    <row r="3602" spans="1:9" x14ac:dyDescent="0.3">
      <c r="A3602" t="s">
        <v>7775</v>
      </c>
      <c r="B3602" t="s">
        <v>1150</v>
      </c>
      <c r="C3602">
        <v>1</v>
      </c>
      <c r="D3602" t="s">
        <v>23</v>
      </c>
      <c r="E3602" t="s">
        <v>115</v>
      </c>
    </row>
    <row r="3603" spans="1:9" x14ac:dyDescent="0.3">
      <c r="A3603" t="s">
        <v>7776</v>
      </c>
      <c r="B3603" t="s">
        <v>7777</v>
      </c>
      <c r="C3603">
        <v>15</v>
      </c>
      <c r="D3603" t="s">
        <v>29</v>
      </c>
      <c r="E3603" t="s">
        <v>4142</v>
      </c>
    </row>
    <row r="3604" spans="1:9" x14ac:dyDescent="0.3">
      <c r="A3604" t="s">
        <v>7778</v>
      </c>
      <c r="B3604" t="s">
        <v>5984</v>
      </c>
      <c r="C3604">
        <v>2</v>
      </c>
      <c r="D3604" t="s">
        <v>23</v>
      </c>
      <c r="E3604" t="s">
        <v>1003</v>
      </c>
    </row>
    <row r="3605" spans="1:9" x14ac:dyDescent="0.3">
      <c r="A3605" t="s">
        <v>619</v>
      </c>
      <c r="B3605" t="s">
        <v>7779</v>
      </c>
      <c r="C3605">
        <v>0.25</v>
      </c>
      <c r="D3605" t="s">
        <v>284</v>
      </c>
      <c r="E3605" t="s">
        <v>1594</v>
      </c>
    </row>
    <row r="3606" spans="1:9" x14ac:dyDescent="0.3">
      <c r="A3606" t="s">
        <v>7780</v>
      </c>
      <c r="B3606" t="s">
        <v>7781</v>
      </c>
      <c r="C3606">
        <v>4</v>
      </c>
      <c r="D3606" t="s">
        <v>835</v>
      </c>
      <c r="E3606" t="s">
        <v>7782</v>
      </c>
    </row>
    <row r="3607" spans="1:9" x14ac:dyDescent="0.3">
      <c r="A3607" t="s">
        <v>7783</v>
      </c>
      <c r="B3607" t="s">
        <v>7784</v>
      </c>
      <c r="C3607">
        <v>12</v>
      </c>
      <c r="D3607" t="s">
        <v>23</v>
      </c>
      <c r="E3607" t="s">
        <v>7785</v>
      </c>
    </row>
    <row r="3608" spans="1:9" x14ac:dyDescent="0.3">
      <c r="A3608" t="s">
        <v>7786</v>
      </c>
      <c r="B3608" t="s">
        <v>2260</v>
      </c>
      <c r="C3608">
        <v>25</v>
      </c>
      <c r="D3608" t="s">
        <v>29</v>
      </c>
      <c r="E3608" t="s">
        <v>30</v>
      </c>
    </row>
    <row r="3609" spans="1:9" x14ac:dyDescent="0.3">
      <c r="A3609" t="s">
        <v>7787</v>
      </c>
      <c r="B3609" t="s">
        <v>7788</v>
      </c>
      <c r="C3609">
        <v>0.5</v>
      </c>
      <c r="D3609" t="s">
        <v>23</v>
      </c>
      <c r="E3609" t="s">
        <v>936</v>
      </c>
    </row>
    <row r="3610" spans="1:9" x14ac:dyDescent="0.3">
      <c r="A3610" t="s">
        <v>7789</v>
      </c>
      <c r="B3610" t="s">
        <v>1269</v>
      </c>
      <c r="C3610">
        <v>1</v>
      </c>
      <c r="D3610" t="s">
        <v>23</v>
      </c>
      <c r="E3610" t="s">
        <v>380</v>
      </c>
    </row>
    <row r="3611" spans="1:9" x14ac:dyDescent="0.3">
      <c r="A3611" t="s">
        <v>7790</v>
      </c>
      <c r="B3611" t="s">
        <v>7791</v>
      </c>
      <c r="C3611">
        <v>1.5</v>
      </c>
      <c r="D3611" t="s">
        <v>345</v>
      </c>
      <c r="E3611" t="s">
        <v>456</v>
      </c>
    </row>
    <row r="3612" spans="1:9" x14ac:dyDescent="0.3">
      <c r="A3612" t="s">
        <v>7792</v>
      </c>
      <c r="B3612" t="s">
        <v>7793</v>
      </c>
      <c r="C3612">
        <v>0.75</v>
      </c>
      <c r="D3612" t="s">
        <v>37</v>
      </c>
      <c r="E3612" t="s">
        <v>7794</v>
      </c>
    </row>
    <row r="3613" spans="1:9" x14ac:dyDescent="0.3">
      <c r="A3613" t="s">
        <v>7795</v>
      </c>
      <c r="B3613" t="s">
        <v>7796</v>
      </c>
      <c r="C3613">
        <v>20.25</v>
      </c>
      <c r="D3613" t="s">
        <v>91</v>
      </c>
      <c r="E3613" t="s">
        <v>3092</v>
      </c>
    </row>
    <row r="3614" spans="1:9" x14ac:dyDescent="0.3">
      <c r="A3614" t="s">
        <v>7797</v>
      </c>
      <c r="B3614" t="s">
        <v>4184</v>
      </c>
      <c r="C3614">
        <v>0.75</v>
      </c>
      <c r="D3614" t="s">
        <v>37</v>
      </c>
      <c r="E3614" t="s">
        <v>38</v>
      </c>
      <c r="F3614" t="s">
        <v>167</v>
      </c>
      <c r="G3614" t="s">
        <v>168</v>
      </c>
      <c r="I3614" t="s">
        <v>325</v>
      </c>
    </row>
    <row r="3615" spans="1:9" x14ac:dyDescent="0.3">
      <c r="A3615" t="s">
        <v>7798</v>
      </c>
      <c r="B3615" t="s">
        <v>7799</v>
      </c>
      <c r="C3615">
        <v>0.5</v>
      </c>
      <c r="D3615" t="s">
        <v>11</v>
      </c>
      <c r="E3615" t="s">
        <v>3755</v>
      </c>
      <c r="I3615" t="s">
        <v>7800</v>
      </c>
    </row>
    <row r="3616" spans="1:9" x14ac:dyDescent="0.3">
      <c r="A3616" t="s">
        <v>7801</v>
      </c>
      <c r="B3616" t="s">
        <v>7802</v>
      </c>
      <c r="C3616">
        <v>1.5</v>
      </c>
      <c r="D3616" t="s">
        <v>345</v>
      </c>
      <c r="E3616" t="s">
        <v>7803</v>
      </c>
    </row>
    <row r="3617" spans="1:9" x14ac:dyDescent="0.3">
      <c r="A3617" t="s">
        <v>7804</v>
      </c>
      <c r="B3617" t="s">
        <v>7805</v>
      </c>
      <c r="C3617">
        <v>100</v>
      </c>
      <c r="D3617" t="s">
        <v>29</v>
      </c>
      <c r="E3617" t="s">
        <v>7806</v>
      </c>
    </row>
    <row r="3618" spans="1:9" x14ac:dyDescent="0.3">
      <c r="A3618" t="s">
        <v>4525</v>
      </c>
      <c r="B3618" t="s">
        <v>61</v>
      </c>
      <c r="E3618" t="s">
        <v>61</v>
      </c>
    </row>
    <row r="3619" spans="1:9" x14ac:dyDescent="0.3">
      <c r="A3619" t="s">
        <v>7807</v>
      </c>
      <c r="B3619" t="s">
        <v>7808</v>
      </c>
      <c r="C3619">
        <v>50</v>
      </c>
      <c r="D3619" t="s">
        <v>29</v>
      </c>
      <c r="E3619" t="s">
        <v>781</v>
      </c>
      <c r="I3619" t="s">
        <v>7809</v>
      </c>
    </row>
    <row r="3620" spans="1:9" x14ac:dyDescent="0.3">
      <c r="A3620" t="s">
        <v>7810</v>
      </c>
      <c r="B3620" t="s">
        <v>1568</v>
      </c>
      <c r="E3620" t="s">
        <v>1568</v>
      </c>
    </row>
    <row r="3621" spans="1:9" x14ac:dyDescent="0.3">
      <c r="A3621" t="s">
        <v>7811</v>
      </c>
      <c r="B3621" t="s">
        <v>7812</v>
      </c>
      <c r="C3621">
        <v>35</v>
      </c>
      <c r="D3621" t="s">
        <v>29</v>
      </c>
      <c r="E3621" t="s">
        <v>7813</v>
      </c>
    </row>
    <row r="3622" spans="1:9" x14ac:dyDescent="0.3">
      <c r="A3622" t="s">
        <v>7814</v>
      </c>
      <c r="B3622" t="s">
        <v>7815</v>
      </c>
      <c r="C3622">
        <v>0.75</v>
      </c>
      <c r="D3622" t="s">
        <v>37</v>
      </c>
      <c r="E3622" t="s">
        <v>5676</v>
      </c>
    </row>
    <row r="3623" spans="1:9" x14ac:dyDescent="0.3">
      <c r="A3623" t="s">
        <v>7816</v>
      </c>
      <c r="B3623" t="s">
        <v>4602</v>
      </c>
      <c r="C3623">
        <v>1</v>
      </c>
      <c r="D3623" t="s">
        <v>1990</v>
      </c>
      <c r="E3623" t="s">
        <v>1056</v>
      </c>
      <c r="I3623" t="s">
        <v>248</v>
      </c>
    </row>
    <row r="3624" spans="1:9" x14ac:dyDescent="0.3">
      <c r="A3624" t="s">
        <v>7817</v>
      </c>
      <c r="B3624" t="s">
        <v>4467</v>
      </c>
      <c r="C3624">
        <v>0.5</v>
      </c>
      <c r="D3624" t="s">
        <v>23</v>
      </c>
      <c r="E3624" t="s">
        <v>936</v>
      </c>
    </row>
    <row r="3625" spans="1:9" x14ac:dyDescent="0.3">
      <c r="A3625" t="s">
        <v>6000</v>
      </c>
      <c r="B3625" t="s">
        <v>7818</v>
      </c>
      <c r="C3625">
        <v>1</v>
      </c>
      <c r="D3625" t="s">
        <v>368</v>
      </c>
      <c r="E3625" t="s">
        <v>7819</v>
      </c>
      <c r="F3625" t="s">
        <v>3326</v>
      </c>
    </row>
    <row r="3626" spans="1:9" x14ac:dyDescent="0.3">
      <c r="A3626" t="s">
        <v>7820</v>
      </c>
      <c r="B3626" t="s">
        <v>7821</v>
      </c>
      <c r="C3626">
        <v>2</v>
      </c>
      <c r="D3626" t="s">
        <v>1785</v>
      </c>
      <c r="E3626" t="s">
        <v>738</v>
      </c>
    </row>
    <row r="3627" spans="1:9" x14ac:dyDescent="0.3">
      <c r="A3627" t="s">
        <v>7822</v>
      </c>
      <c r="B3627" t="s">
        <v>7823</v>
      </c>
      <c r="C3627">
        <v>1</v>
      </c>
      <c r="D3627" t="s">
        <v>37</v>
      </c>
      <c r="E3627" t="s">
        <v>1644</v>
      </c>
      <c r="H3627" t="s">
        <v>1078</v>
      </c>
      <c r="I3627" t="s">
        <v>325</v>
      </c>
    </row>
    <row r="3628" spans="1:9" x14ac:dyDescent="0.3">
      <c r="A3628" t="s">
        <v>7824</v>
      </c>
      <c r="B3628" t="s">
        <v>7825</v>
      </c>
      <c r="C3628">
        <v>1.5</v>
      </c>
      <c r="D3628" t="s">
        <v>176</v>
      </c>
      <c r="E3628" t="s">
        <v>38</v>
      </c>
      <c r="F3628" t="s">
        <v>167</v>
      </c>
      <c r="G3628" t="s">
        <v>168</v>
      </c>
    </row>
    <row r="3629" spans="1:9" x14ac:dyDescent="0.3">
      <c r="A3629" t="s">
        <v>7826</v>
      </c>
      <c r="B3629" t="s">
        <v>7827</v>
      </c>
      <c r="C3629">
        <v>3</v>
      </c>
      <c r="D3629" t="s">
        <v>23</v>
      </c>
      <c r="E3629" t="s">
        <v>7828</v>
      </c>
    </row>
    <row r="3630" spans="1:9" x14ac:dyDescent="0.3">
      <c r="A3630" t="s">
        <v>7829</v>
      </c>
      <c r="B3630" t="s">
        <v>7830</v>
      </c>
      <c r="C3630">
        <v>28</v>
      </c>
      <c r="D3630" t="s">
        <v>835</v>
      </c>
      <c r="E3630" t="s">
        <v>7831</v>
      </c>
    </row>
    <row r="3631" spans="1:9" x14ac:dyDescent="0.3">
      <c r="A3631" t="s">
        <v>7832</v>
      </c>
      <c r="B3631" t="s">
        <v>4732</v>
      </c>
      <c r="C3631">
        <v>0.5</v>
      </c>
      <c r="D3631" t="s">
        <v>23</v>
      </c>
      <c r="E3631" t="s">
        <v>183</v>
      </c>
    </row>
    <row r="3632" spans="1:9" x14ac:dyDescent="0.3">
      <c r="A3632" t="s">
        <v>7833</v>
      </c>
      <c r="B3632" t="s">
        <v>7834</v>
      </c>
      <c r="C3632">
        <v>15</v>
      </c>
      <c r="D3632" t="s">
        <v>29</v>
      </c>
      <c r="E3632" t="s">
        <v>7835</v>
      </c>
    </row>
    <row r="3633" spans="1:9" x14ac:dyDescent="0.3">
      <c r="A3633" t="s">
        <v>7836</v>
      </c>
      <c r="B3633" t="s">
        <v>4395</v>
      </c>
      <c r="C3633">
        <v>1</v>
      </c>
      <c r="D3633" t="s">
        <v>23</v>
      </c>
      <c r="E3633" t="s">
        <v>102</v>
      </c>
    </row>
    <row r="3634" spans="1:9" x14ac:dyDescent="0.3">
      <c r="A3634" t="s">
        <v>7837</v>
      </c>
      <c r="B3634" t="s">
        <v>7838</v>
      </c>
      <c r="C3634">
        <v>0.5</v>
      </c>
      <c r="D3634" t="s">
        <v>11</v>
      </c>
      <c r="E3634" t="s">
        <v>7543</v>
      </c>
    </row>
    <row r="3635" spans="1:9" x14ac:dyDescent="0.3">
      <c r="A3635" t="s">
        <v>7839</v>
      </c>
      <c r="B3635" t="s">
        <v>7840</v>
      </c>
      <c r="C3635">
        <v>10.5</v>
      </c>
      <c r="D3635" t="s">
        <v>91</v>
      </c>
      <c r="E3635" t="s">
        <v>3704</v>
      </c>
    </row>
    <row r="3636" spans="1:9" x14ac:dyDescent="0.3">
      <c r="A3636" t="s">
        <v>7841</v>
      </c>
      <c r="B3636" t="s">
        <v>7842</v>
      </c>
      <c r="C3636">
        <v>1</v>
      </c>
      <c r="D3636" t="s">
        <v>111</v>
      </c>
      <c r="E3636" t="s">
        <v>95</v>
      </c>
    </row>
    <row r="3637" spans="1:9" x14ac:dyDescent="0.3">
      <c r="A3637" t="s">
        <v>7843</v>
      </c>
      <c r="B3637" t="s">
        <v>7844</v>
      </c>
      <c r="C3637">
        <v>1.5</v>
      </c>
      <c r="D3637" t="s">
        <v>23</v>
      </c>
      <c r="E3637" t="s">
        <v>602</v>
      </c>
    </row>
    <row r="3638" spans="1:9" x14ac:dyDescent="0.3">
      <c r="A3638" t="s">
        <v>7845</v>
      </c>
      <c r="B3638" t="s">
        <v>7846</v>
      </c>
      <c r="C3638">
        <v>1</v>
      </c>
      <c r="D3638" t="s">
        <v>2646</v>
      </c>
      <c r="E3638" t="s">
        <v>7847</v>
      </c>
      <c r="H3638" t="s">
        <v>1078</v>
      </c>
      <c r="I3638" t="s">
        <v>7848</v>
      </c>
    </row>
    <row r="3639" spans="1:9" x14ac:dyDescent="0.3">
      <c r="A3639" t="s">
        <v>7849</v>
      </c>
      <c r="B3639" t="s">
        <v>7850</v>
      </c>
      <c r="C3639">
        <v>1.7</v>
      </c>
      <c r="D3639" t="s">
        <v>23</v>
      </c>
      <c r="E3639" t="s">
        <v>7851</v>
      </c>
    </row>
    <row r="3640" spans="1:9" x14ac:dyDescent="0.3">
      <c r="A3640" t="s">
        <v>6343</v>
      </c>
      <c r="B3640" t="s">
        <v>7852</v>
      </c>
      <c r="C3640">
        <v>1</v>
      </c>
      <c r="D3640" t="s">
        <v>284</v>
      </c>
      <c r="E3640" t="s">
        <v>7853</v>
      </c>
      <c r="I3640" t="s">
        <v>7854</v>
      </c>
    </row>
    <row r="3641" spans="1:9" x14ac:dyDescent="0.3">
      <c r="A3641" t="s">
        <v>7855</v>
      </c>
      <c r="B3641" t="s">
        <v>7091</v>
      </c>
      <c r="C3641">
        <v>1</v>
      </c>
      <c r="E3641" t="s">
        <v>7856</v>
      </c>
    </row>
    <row r="3642" spans="1:9" x14ac:dyDescent="0.3">
      <c r="A3642" t="s">
        <v>7857</v>
      </c>
      <c r="B3642" t="s">
        <v>152</v>
      </c>
      <c r="E3642" t="s">
        <v>152</v>
      </c>
    </row>
    <row r="3643" spans="1:9" x14ac:dyDescent="0.3">
      <c r="A3643" t="s">
        <v>7858</v>
      </c>
      <c r="B3643" t="s">
        <v>261</v>
      </c>
      <c r="C3643">
        <v>1</v>
      </c>
      <c r="D3643" t="s">
        <v>111</v>
      </c>
      <c r="E3643" t="s">
        <v>262</v>
      </c>
    </row>
    <row r="3644" spans="1:9" x14ac:dyDescent="0.3">
      <c r="A3644" t="s">
        <v>7859</v>
      </c>
      <c r="B3644" t="s">
        <v>7860</v>
      </c>
      <c r="C3644">
        <v>70</v>
      </c>
      <c r="D3644" t="s">
        <v>29</v>
      </c>
      <c r="E3644" t="s">
        <v>98</v>
      </c>
    </row>
    <row r="3645" spans="1:9" x14ac:dyDescent="0.3">
      <c r="A3645" t="s">
        <v>7861</v>
      </c>
      <c r="B3645" t="s">
        <v>7862</v>
      </c>
      <c r="C3645">
        <v>1</v>
      </c>
      <c r="D3645" t="s">
        <v>18</v>
      </c>
      <c r="E3645" t="s">
        <v>1895</v>
      </c>
      <c r="I3645" t="s">
        <v>7863</v>
      </c>
    </row>
    <row r="3646" spans="1:9" x14ac:dyDescent="0.3">
      <c r="A3646" t="s">
        <v>7864</v>
      </c>
      <c r="B3646" t="s">
        <v>2663</v>
      </c>
      <c r="C3646">
        <v>15</v>
      </c>
      <c r="D3646" t="s">
        <v>29</v>
      </c>
      <c r="E3646" t="s">
        <v>30</v>
      </c>
    </row>
    <row r="3647" spans="1:9" x14ac:dyDescent="0.3">
      <c r="A3647" t="s">
        <v>7865</v>
      </c>
      <c r="B3647" t="s">
        <v>7866</v>
      </c>
      <c r="C3647">
        <v>3</v>
      </c>
      <c r="D3647" t="s">
        <v>120</v>
      </c>
      <c r="E3647" t="s">
        <v>1050</v>
      </c>
    </row>
    <row r="3648" spans="1:9" x14ac:dyDescent="0.3">
      <c r="A3648" t="s">
        <v>7867</v>
      </c>
      <c r="B3648" t="s">
        <v>7868</v>
      </c>
      <c r="C3648">
        <v>6</v>
      </c>
      <c r="D3648" t="s">
        <v>23</v>
      </c>
      <c r="E3648" t="s">
        <v>7869</v>
      </c>
    </row>
    <row r="3649" spans="1:9" x14ac:dyDescent="0.3">
      <c r="A3649" t="s">
        <v>7870</v>
      </c>
      <c r="B3649" t="s">
        <v>7871</v>
      </c>
      <c r="D3649" t="s">
        <v>33</v>
      </c>
      <c r="E3649" t="s">
        <v>1056</v>
      </c>
      <c r="I3649" t="s">
        <v>2932</v>
      </c>
    </row>
    <row r="3650" spans="1:9" x14ac:dyDescent="0.3">
      <c r="A3650" t="s">
        <v>7872</v>
      </c>
      <c r="B3650" t="s">
        <v>7873</v>
      </c>
      <c r="C3650">
        <v>0.5</v>
      </c>
      <c r="D3650" t="s">
        <v>361</v>
      </c>
      <c r="E3650" t="s">
        <v>7874</v>
      </c>
    </row>
    <row r="3651" spans="1:9" x14ac:dyDescent="0.3">
      <c r="A3651" t="s">
        <v>7875</v>
      </c>
      <c r="B3651" t="s">
        <v>3134</v>
      </c>
      <c r="C3651">
        <v>2</v>
      </c>
      <c r="D3651" t="s">
        <v>23</v>
      </c>
      <c r="E3651" t="s">
        <v>1209</v>
      </c>
    </row>
    <row r="3652" spans="1:9" x14ac:dyDescent="0.3">
      <c r="A3652" t="s">
        <v>7876</v>
      </c>
      <c r="B3652" t="s">
        <v>7877</v>
      </c>
      <c r="C3652">
        <v>2</v>
      </c>
      <c r="D3652" t="s">
        <v>23</v>
      </c>
      <c r="E3652" t="s">
        <v>4797</v>
      </c>
    </row>
    <row r="3653" spans="1:9" x14ac:dyDescent="0.3">
      <c r="A3653" t="s">
        <v>2176</v>
      </c>
      <c r="B3653" t="s">
        <v>7878</v>
      </c>
      <c r="D3653" t="s">
        <v>7879</v>
      </c>
      <c r="E3653" t="s">
        <v>7880</v>
      </c>
    </row>
    <row r="3654" spans="1:9" x14ac:dyDescent="0.3">
      <c r="A3654" t="s">
        <v>7881</v>
      </c>
      <c r="B3654" t="s">
        <v>7882</v>
      </c>
      <c r="E3654" t="s">
        <v>7882</v>
      </c>
    </row>
    <row r="3655" spans="1:9" x14ac:dyDescent="0.3">
      <c r="A3655" t="s">
        <v>7883</v>
      </c>
      <c r="B3655" t="s">
        <v>7884</v>
      </c>
      <c r="D3655" t="s">
        <v>435</v>
      </c>
      <c r="E3655" t="s">
        <v>237</v>
      </c>
      <c r="I3655" t="s">
        <v>1968</v>
      </c>
    </row>
    <row r="3656" spans="1:9" x14ac:dyDescent="0.3">
      <c r="A3656" t="s">
        <v>7885</v>
      </c>
      <c r="B3656" t="s">
        <v>7886</v>
      </c>
      <c r="C3656">
        <v>0.5</v>
      </c>
      <c r="D3656" t="s">
        <v>23</v>
      </c>
      <c r="E3656" t="s">
        <v>7887</v>
      </c>
      <c r="I3656" t="s">
        <v>7888</v>
      </c>
    </row>
    <row r="3657" spans="1:9" x14ac:dyDescent="0.3">
      <c r="A3657" t="s">
        <v>7889</v>
      </c>
      <c r="B3657" t="s">
        <v>7890</v>
      </c>
      <c r="C3657">
        <v>0.5</v>
      </c>
      <c r="D3657" t="s">
        <v>206</v>
      </c>
      <c r="E3657" t="s">
        <v>3045</v>
      </c>
    </row>
    <row r="3658" spans="1:9" x14ac:dyDescent="0.3">
      <c r="A3658" t="s">
        <v>5732</v>
      </c>
      <c r="B3658" t="s">
        <v>7891</v>
      </c>
      <c r="C3658">
        <v>0.25</v>
      </c>
      <c r="D3658" t="s">
        <v>284</v>
      </c>
      <c r="E3658" t="s">
        <v>292</v>
      </c>
    </row>
    <row r="3659" spans="1:9" x14ac:dyDescent="0.3">
      <c r="A3659" t="s">
        <v>7892</v>
      </c>
      <c r="B3659" t="s">
        <v>7893</v>
      </c>
      <c r="C3659">
        <v>1</v>
      </c>
      <c r="E3659" t="s">
        <v>7894</v>
      </c>
    </row>
    <row r="3660" spans="1:9" x14ac:dyDescent="0.3">
      <c r="A3660" t="s">
        <v>4093</v>
      </c>
      <c r="B3660" t="s">
        <v>5054</v>
      </c>
      <c r="C3660">
        <v>0.5</v>
      </c>
      <c r="D3660" t="s">
        <v>23</v>
      </c>
      <c r="E3660" t="s">
        <v>638</v>
      </c>
    </row>
    <row r="3661" spans="1:9" x14ac:dyDescent="0.3">
      <c r="A3661" t="s">
        <v>7895</v>
      </c>
      <c r="B3661" t="s">
        <v>7896</v>
      </c>
      <c r="C3661">
        <v>220</v>
      </c>
      <c r="D3661" t="s">
        <v>29</v>
      </c>
      <c r="E3661" t="s">
        <v>7897</v>
      </c>
    </row>
    <row r="3662" spans="1:9" x14ac:dyDescent="0.3">
      <c r="A3662" t="s">
        <v>7898</v>
      </c>
      <c r="B3662" t="s">
        <v>7899</v>
      </c>
      <c r="C3662">
        <v>1.5</v>
      </c>
      <c r="D3662" t="s">
        <v>345</v>
      </c>
      <c r="E3662" t="s">
        <v>456</v>
      </c>
      <c r="I3662" t="s">
        <v>7900</v>
      </c>
    </row>
    <row r="3663" spans="1:9" x14ac:dyDescent="0.3">
      <c r="A3663" t="s">
        <v>1066</v>
      </c>
      <c r="B3663" t="s">
        <v>7901</v>
      </c>
      <c r="C3663">
        <v>50</v>
      </c>
      <c r="D3663" t="s">
        <v>29</v>
      </c>
      <c r="E3663" t="s">
        <v>7902</v>
      </c>
      <c r="I3663" t="s">
        <v>7241</v>
      </c>
    </row>
    <row r="3664" spans="1:9" x14ac:dyDescent="0.3">
      <c r="A3664" t="s">
        <v>6596</v>
      </c>
      <c r="B3664" t="s">
        <v>26</v>
      </c>
      <c r="E3664" t="s">
        <v>26</v>
      </c>
    </row>
    <row r="3665" spans="1:9" x14ac:dyDescent="0.3">
      <c r="A3665" t="s">
        <v>7903</v>
      </c>
      <c r="B3665" t="s">
        <v>4134</v>
      </c>
      <c r="C3665">
        <v>1</v>
      </c>
      <c r="D3665" t="s">
        <v>23</v>
      </c>
      <c r="E3665" t="s">
        <v>233</v>
      </c>
      <c r="I3665" t="s">
        <v>289</v>
      </c>
    </row>
    <row r="3666" spans="1:9" x14ac:dyDescent="0.3">
      <c r="A3666" t="s">
        <v>7904</v>
      </c>
      <c r="B3666" t="s">
        <v>7905</v>
      </c>
      <c r="C3666">
        <v>10</v>
      </c>
      <c r="E3666" t="s">
        <v>4253</v>
      </c>
    </row>
    <row r="3667" spans="1:9" x14ac:dyDescent="0.3">
      <c r="A3667" t="s">
        <v>7906</v>
      </c>
      <c r="B3667" t="s">
        <v>7907</v>
      </c>
      <c r="C3667">
        <v>2</v>
      </c>
      <c r="D3667" t="s">
        <v>23</v>
      </c>
      <c r="E3667" t="s">
        <v>423</v>
      </c>
    </row>
    <row r="3668" spans="1:9" x14ac:dyDescent="0.3">
      <c r="A3668" t="s">
        <v>7908</v>
      </c>
      <c r="B3668" t="s">
        <v>3977</v>
      </c>
      <c r="E3668" t="s">
        <v>3977</v>
      </c>
    </row>
    <row r="3669" spans="1:9" x14ac:dyDescent="0.3">
      <c r="A3669" t="s">
        <v>7909</v>
      </c>
      <c r="B3669" t="s">
        <v>986</v>
      </c>
      <c r="C3669">
        <v>0.5</v>
      </c>
      <c r="D3669" t="s">
        <v>23</v>
      </c>
      <c r="E3669" t="s">
        <v>712</v>
      </c>
    </row>
    <row r="3670" spans="1:9" x14ac:dyDescent="0.3">
      <c r="A3670" t="s">
        <v>1255</v>
      </c>
      <c r="B3670" t="s">
        <v>7910</v>
      </c>
      <c r="C3670">
        <v>15</v>
      </c>
      <c r="D3670" t="s">
        <v>29</v>
      </c>
      <c r="E3670" t="s">
        <v>7911</v>
      </c>
    </row>
    <row r="3671" spans="1:9" x14ac:dyDescent="0.3">
      <c r="A3671" t="s">
        <v>7912</v>
      </c>
      <c r="B3671" t="s">
        <v>7913</v>
      </c>
      <c r="E3671" t="s">
        <v>6091</v>
      </c>
      <c r="I3671" t="s">
        <v>164</v>
      </c>
    </row>
    <row r="3672" spans="1:9" x14ac:dyDescent="0.3">
      <c r="A3672" t="s">
        <v>7914</v>
      </c>
      <c r="B3672" t="s">
        <v>7915</v>
      </c>
      <c r="C3672">
        <v>1</v>
      </c>
      <c r="D3672" t="s">
        <v>11</v>
      </c>
      <c r="E3672" t="s">
        <v>7916</v>
      </c>
      <c r="I3672" t="s">
        <v>20</v>
      </c>
    </row>
    <row r="3673" spans="1:9" x14ac:dyDescent="0.3">
      <c r="A3673" t="s">
        <v>7917</v>
      </c>
      <c r="B3673" t="s">
        <v>7918</v>
      </c>
      <c r="C3673">
        <v>0.5</v>
      </c>
      <c r="E3673" t="s">
        <v>183</v>
      </c>
      <c r="I3673" t="s">
        <v>289</v>
      </c>
    </row>
    <row r="3674" spans="1:9" x14ac:dyDescent="0.3">
      <c r="A3674" t="s">
        <v>7919</v>
      </c>
      <c r="B3674" t="s">
        <v>5927</v>
      </c>
      <c r="C3674">
        <v>1</v>
      </c>
      <c r="D3674" t="s">
        <v>361</v>
      </c>
      <c r="E3674" t="s">
        <v>81</v>
      </c>
    </row>
    <row r="3675" spans="1:9" x14ac:dyDescent="0.3">
      <c r="A3675" t="s">
        <v>7920</v>
      </c>
      <c r="B3675" t="s">
        <v>5701</v>
      </c>
      <c r="C3675">
        <v>2</v>
      </c>
      <c r="D3675" t="s">
        <v>345</v>
      </c>
      <c r="E3675" t="s">
        <v>41</v>
      </c>
    </row>
    <row r="3676" spans="1:9" x14ac:dyDescent="0.3">
      <c r="A3676" t="s">
        <v>7921</v>
      </c>
      <c r="B3676" t="s">
        <v>7922</v>
      </c>
      <c r="C3676">
        <v>2</v>
      </c>
      <c r="D3676" t="s">
        <v>23</v>
      </c>
      <c r="E3676" t="s">
        <v>3269</v>
      </c>
    </row>
    <row r="3677" spans="1:9" x14ac:dyDescent="0.3">
      <c r="A3677" t="s">
        <v>2195</v>
      </c>
      <c r="B3677" t="s">
        <v>7923</v>
      </c>
      <c r="C3677">
        <v>0.5</v>
      </c>
      <c r="D3677" t="s">
        <v>361</v>
      </c>
      <c r="E3677" t="s">
        <v>3710</v>
      </c>
      <c r="I3677" t="s">
        <v>4067</v>
      </c>
    </row>
    <row r="3678" spans="1:9" x14ac:dyDescent="0.3">
      <c r="A3678" t="s">
        <v>286</v>
      </c>
      <c r="B3678" t="s">
        <v>7924</v>
      </c>
      <c r="C3678">
        <v>0.75</v>
      </c>
      <c r="D3678" t="s">
        <v>23</v>
      </c>
      <c r="E3678" t="s">
        <v>7925</v>
      </c>
    </row>
    <row r="3679" spans="1:9" x14ac:dyDescent="0.3">
      <c r="A3679" t="s">
        <v>7926</v>
      </c>
      <c r="B3679" t="s">
        <v>7927</v>
      </c>
      <c r="C3679">
        <v>2</v>
      </c>
      <c r="D3679" t="s">
        <v>84</v>
      </c>
      <c r="E3679" t="s">
        <v>152</v>
      </c>
      <c r="I3679" t="s">
        <v>7928</v>
      </c>
    </row>
    <row r="3680" spans="1:9" x14ac:dyDescent="0.3">
      <c r="A3680" t="s">
        <v>7929</v>
      </c>
      <c r="B3680" t="s">
        <v>152</v>
      </c>
      <c r="E3680" t="s">
        <v>152</v>
      </c>
    </row>
    <row r="3681" spans="1:9" x14ac:dyDescent="0.3">
      <c r="A3681" t="s">
        <v>4776</v>
      </c>
      <c r="B3681" t="s">
        <v>7930</v>
      </c>
      <c r="C3681">
        <v>75</v>
      </c>
      <c r="D3681" t="s">
        <v>29</v>
      </c>
      <c r="E3681" t="s">
        <v>98</v>
      </c>
    </row>
    <row r="3682" spans="1:9" x14ac:dyDescent="0.3">
      <c r="A3682" t="s">
        <v>7931</v>
      </c>
      <c r="B3682" t="s">
        <v>7932</v>
      </c>
      <c r="C3682">
        <v>0.25</v>
      </c>
      <c r="D3682" t="s">
        <v>23</v>
      </c>
      <c r="E3682" t="s">
        <v>7933</v>
      </c>
    </row>
    <row r="3683" spans="1:9" x14ac:dyDescent="0.3">
      <c r="A3683" t="s">
        <v>7934</v>
      </c>
      <c r="B3683" t="s">
        <v>7935</v>
      </c>
      <c r="C3683">
        <v>1.75</v>
      </c>
      <c r="D3683" t="s">
        <v>345</v>
      </c>
      <c r="E3683" t="s">
        <v>1416</v>
      </c>
      <c r="I3683" t="s">
        <v>7936</v>
      </c>
    </row>
    <row r="3684" spans="1:9" x14ac:dyDescent="0.3">
      <c r="A3684" t="s">
        <v>7937</v>
      </c>
      <c r="B3684" t="s">
        <v>7938</v>
      </c>
      <c r="C3684">
        <v>11.33</v>
      </c>
      <c r="D3684" t="s">
        <v>176</v>
      </c>
      <c r="E3684" t="s">
        <v>7939</v>
      </c>
    </row>
    <row r="3685" spans="1:9" x14ac:dyDescent="0.3">
      <c r="A3685" t="s">
        <v>7940</v>
      </c>
      <c r="B3685" t="s">
        <v>4597</v>
      </c>
      <c r="C3685">
        <v>3</v>
      </c>
      <c r="D3685" t="s">
        <v>189</v>
      </c>
      <c r="E3685" t="s">
        <v>190</v>
      </c>
    </row>
    <row r="3686" spans="1:9" x14ac:dyDescent="0.3">
      <c r="A3686" t="s">
        <v>7941</v>
      </c>
      <c r="B3686" t="s">
        <v>6571</v>
      </c>
      <c r="C3686">
        <v>1</v>
      </c>
      <c r="D3686" t="s">
        <v>284</v>
      </c>
      <c r="E3686" t="s">
        <v>2178</v>
      </c>
    </row>
    <row r="3687" spans="1:9" x14ac:dyDescent="0.3">
      <c r="A3687" t="s">
        <v>7942</v>
      </c>
      <c r="B3687" t="s">
        <v>7943</v>
      </c>
      <c r="C3687">
        <v>1</v>
      </c>
      <c r="D3687" t="s">
        <v>60</v>
      </c>
      <c r="E3687" t="s">
        <v>320</v>
      </c>
    </row>
    <row r="3688" spans="1:9" x14ac:dyDescent="0.3">
      <c r="A3688" t="s">
        <v>7944</v>
      </c>
      <c r="B3688" t="s">
        <v>1539</v>
      </c>
      <c r="C3688">
        <v>1</v>
      </c>
      <c r="D3688" t="s">
        <v>23</v>
      </c>
      <c r="E3688" t="s">
        <v>738</v>
      </c>
    </row>
    <row r="3689" spans="1:9" x14ac:dyDescent="0.3">
      <c r="A3689" t="s">
        <v>7945</v>
      </c>
      <c r="B3689" t="s">
        <v>3600</v>
      </c>
      <c r="C3689">
        <v>1</v>
      </c>
      <c r="D3689" t="s">
        <v>11</v>
      </c>
      <c r="E3689" t="s">
        <v>2211</v>
      </c>
    </row>
    <row r="3690" spans="1:9" x14ac:dyDescent="0.3">
      <c r="A3690" t="s">
        <v>2141</v>
      </c>
      <c r="B3690" t="s">
        <v>7946</v>
      </c>
      <c r="C3690">
        <v>1.5</v>
      </c>
      <c r="D3690" t="s">
        <v>23</v>
      </c>
      <c r="E3690" t="s">
        <v>7947</v>
      </c>
    </row>
    <row r="3691" spans="1:9" x14ac:dyDescent="0.3">
      <c r="A3691" t="s">
        <v>7948</v>
      </c>
      <c r="B3691" t="s">
        <v>7949</v>
      </c>
      <c r="E3691" t="s">
        <v>7950</v>
      </c>
      <c r="I3691" t="s">
        <v>1124</v>
      </c>
    </row>
    <row r="3692" spans="1:9" x14ac:dyDescent="0.3">
      <c r="A3692" t="s">
        <v>3637</v>
      </c>
      <c r="B3692" t="s">
        <v>7951</v>
      </c>
      <c r="D3692" t="s">
        <v>469</v>
      </c>
      <c r="E3692" t="s">
        <v>932</v>
      </c>
    </row>
    <row r="3693" spans="1:9" x14ac:dyDescent="0.3">
      <c r="A3693" t="s">
        <v>7952</v>
      </c>
      <c r="B3693" t="s">
        <v>7488</v>
      </c>
      <c r="C3693">
        <v>4</v>
      </c>
      <c r="D3693" t="s">
        <v>91</v>
      </c>
      <c r="E3693" t="s">
        <v>7489</v>
      </c>
      <c r="I3693" t="s">
        <v>20</v>
      </c>
    </row>
    <row r="3694" spans="1:9" x14ac:dyDescent="0.3">
      <c r="A3694" t="s">
        <v>7953</v>
      </c>
      <c r="B3694" t="s">
        <v>968</v>
      </c>
      <c r="C3694">
        <v>1</v>
      </c>
      <c r="D3694" t="s">
        <v>23</v>
      </c>
      <c r="E3694" t="s">
        <v>199</v>
      </c>
    </row>
    <row r="3695" spans="1:9" x14ac:dyDescent="0.3">
      <c r="A3695" t="s">
        <v>7954</v>
      </c>
      <c r="B3695" t="s">
        <v>2021</v>
      </c>
      <c r="C3695">
        <v>0.5</v>
      </c>
      <c r="D3695" t="s">
        <v>23</v>
      </c>
      <c r="E3695" t="s">
        <v>183</v>
      </c>
    </row>
    <row r="3696" spans="1:9" x14ac:dyDescent="0.3">
      <c r="A3696" t="s">
        <v>7955</v>
      </c>
      <c r="B3696" t="s">
        <v>2160</v>
      </c>
      <c r="C3696">
        <v>0.5</v>
      </c>
      <c r="D3696" t="s">
        <v>23</v>
      </c>
      <c r="E3696" t="s">
        <v>355</v>
      </c>
    </row>
    <row r="3697" spans="1:9" x14ac:dyDescent="0.3">
      <c r="A3697" t="s">
        <v>7956</v>
      </c>
      <c r="B3697" t="s">
        <v>7957</v>
      </c>
      <c r="D3697" t="s">
        <v>1990</v>
      </c>
      <c r="E3697" t="s">
        <v>163</v>
      </c>
    </row>
    <row r="3698" spans="1:9" x14ac:dyDescent="0.3">
      <c r="A3698" t="s">
        <v>7958</v>
      </c>
      <c r="B3698" t="s">
        <v>7959</v>
      </c>
      <c r="C3698">
        <v>0.75</v>
      </c>
      <c r="D3698" t="s">
        <v>284</v>
      </c>
      <c r="E3698" t="s">
        <v>7960</v>
      </c>
    </row>
    <row r="3699" spans="1:9" x14ac:dyDescent="0.3">
      <c r="A3699" t="s">
        <v>7961</v>
      </c>
      <c r="B3699" t="s">
        <v>773</v>
      </c>
      <c r="C3699">
        <v>1</v>
      </c>
      <c r="D3699" t="s">
        <v>11</v>
      </c>
      <c r="E3699" t="s">
        <v>88</v>
      </c>
    </row>
    <row r="3700" spans="1:9" x14ac:dyDescent="0.3">
      <c r="A3700" t="s">
        <v>6188</v>
      </c>
      <c r="B3700" t="s">
        <v>7962</v>
      </c>
      <c r="C3700">
        <v>0.5</v>
      </c>
      <c r="D3700" t="s">
        <v>11</v>
      </c>
      <c r="E3700" t="s">
        <v>7963</v>
      </c>
      <c r="I3700" t="s">
        <v>20</v>
      </c>
    </row>
    <row r="3701" spans="1:9" x14ac:dyDescent="0.3">
      <c r="A3701" t="s">
        <v>7964</v>
      </c>
      <c r="B3701" t="s">
        <v>7965</v>
      </c>
      <c r="C3701">
        <v>4</v>
      </c>
      <c r="D3701" t="s">
        <v>227</v>
      </c>
      <c r="E3701" t="s">
        <v>1980</v>
      </c>
    </row>
    <row r="3702" spans="1:9" x14ac:dyDescent="0.3">
      <c r="A3702" t="s">
        <v>6345</v>
      </c>
      <c r="B3702" t="s">
        <v>604</v>
      </c>
      <c r="C3702">
        <v>0.5</v>
      </c>
      <c r="D3702" t="s">
        <v>11</v>
      </c>
      <c r="E3702" t="s">
        <v>605</v>
      </c>
      <c r="I3702" t="s">
        <v>20</v>
      </c>
    </row>
    <row r="3703" spans="1:9" x14ac:dyDescent="0.3">
      <c r="A3703" t="s">
        <v>3683</v>
      </c>
      <c r="B3703" t="s">
        <v>3562</v>
      </c>
      <c r="C3703">
        <v>0.5</v>
      </c>
      <c r="D3703" t="s">
        <v>23</v>
      </c>
      <c r="E3703" t="s">
        <v>233</v>
      </c>
    </row>
    <row r="3704" spans="1:9" x14ac:dyDescent="0.3">
      <c r="A3704" t="s">
        <v>4739</v>
      </c>
      <c r="B3704" t="s">
        <v>7966</v>
      </c>
      <c r="C3704">
        <v>1</v>
      </c>
      <c r="D3704" t="s">
        <v>460</v>
      </c>
      <c r="E3704" t="s">
        <v>7967</v>
      </c>
    </row>
    <row r="3705" spans="1:9" x14ac:dyDescent="0.3">
      <c r="A3705" t="s">
        <v>4737</v>
      </c>
      <c r="B3705" t="s">
        <v>486</v>
      </c>
      <c r="C3705">
        <v>1</v>
      </c>
      <c r="D3705" t="s">
        <v>23</v>
      </c>
      <c r="E3705" t="s">
        <v>487</v>
      </c>
    </row>
    <row r="3706" spans="1:9" x14ac:dyDescent="0.3">
      <c r="A3706" t="s">
        <v>7968</v>
      </c>
      <c r="B3706" t="s">
        <v>7969</v>
      </c>
      <c r="C3706">
        <v>16</v>
      </c>
      <c r="D3706" t="s">
        <v>345</v>
      </c>
      <c r="E3706" t="s">
        <v>1047</v>
      </c>
    </row>
    <row r="3707" spans="1:9" x14ac:dyDescent="0.3">
      <c r="A3707" t="s">
        <v>7970</v>
      </c>
      <c r="B3707" t="s">
        <v>7971</v>
      </c>
      <c r="C3707">
        <v>1</v>
      </c>
      <c r="D3707" t="s">
        <v>37</v>
      </c>
      <c r="E3707" t="s">
        <v>7972</v>
      </c>
      <c r="I3707" t="s">
        <v>1931</v>
      </c>
    </row>
    <row r="3708" spans="1:9" x14ac:dyDescent="0.3">
      <c r="A3708" t="s">
        <v>7973</v>
      </c>
      <c r="B3708" t="s">
        <v>7974</v>
      </c>
      <c r="C3708">
        <v>0.75</v>
      </c>
      <c r="D3708" t="s">
        <v>37</v>
      </c>
      <c r="E3708" t="s">
        <v>5918</v>
      </c>
      <c r="I3708" t="s">
        <v>5582</v>
      </c>
    </row>
    <row r="3709" spans="1:9" x14ac:dyDescent="0.3">
      <c r="A3709" t="s">
        <v>990</v>
      </c>
      <c r="B3709" t="s">
        <v>7975</v>
      </c>
      <c r="C3709">
        <v>1</v>
      </c>
      <c r="D3709" t="s">
        <v>7976</v>
      </c>
      <c r="E3709" t="s">
        <v>940</v>
      </c>
    </row>
    <row r="3710" spans="1:9" x14ac:dyDescent="0.3">
      <c r="A3710" t="s">
        <v>7977</v>
      </c>
      <c r="B3710" t="s">
        <v>7978</v>
      </c>
      <c r="C3710">
        <v>1</v>
      </c>
      <c r="D3710" t="s">
        <v>752</v>
      </c>
      <c r="E3710" t="s">
        <v>1006</v>
      </c>
    </row>
    <row r="3711" spans="1:9" x14ac:dyDescent="0.3">
      <c r="A3711" t="s">
        <v>7979</v>
      </c>
      <c r="B3711" t="s">
        <v>7980</v>
      </c>
      <c r="C3711">
        <v>12</v>
      </c>
      <c r="D3711" t="s">
        <v>23</v>
      </c>
      <c r="E3711" t="s">
        <v>26</v>
      </c>
    </row>
    <row r="3712" spans="1:9" x14ac:dyDescent="0.3">
      <c r="A3712" t="s">
        <v>7981</v>
      </c>
      <c r="B3712" t="s">
        <v>2609</v>
      </c>
      <c r="C3712">
        <v>1.5</v>
      </c>
      <c r="D3712" t="s">
        <v>345</v>
      </c>
      <c r="E3712" t="s">
        <v>220</v>
      </c>
    </row>
    <row r="3713" spans="1:9" x14ac:dyDescent="0.3">
      <c r="A3713" t="s">
        <v>7982</v>
      </c>
      <c r="B3713" t="s">
        <v>4589</v>
      </c>
      <c r="E3713" t="s">
        <v>4589</v>
      </c>
    </row>
    <row r="3714" spans="1:9" x14ac:dyDescent="0.3">
      <c r="A3714" t="s">
        <v>5376</v>
      </c>
      <c r="B3714" t="s">
        <v>7983</v>
      </c>
      <c r="C3714">
        <v>3</v>
      </c>
      <c r="D3714" t="s">
        <v>23</v>
      </c>
      <c r="E3714" t="s">
        <v>2867</v>
      </c>
    </row>
    <row r="3715" spans="1:9" x14ac:dyDescent="0.3">
      <c r="A3715" t="s">
        <v>7984</v>
      </c>
      <c r="B3715" t="s">
        <v>152</v>
      </c>
      <c r="E3715" t="s">
        <v>152</v>
      </c>
    </row>
    <row r="3716" spans="1:9" x14ac:dyDescent="0.3">
      <c r="A3716" t="s">
        <v>7985</v>
      </c>
      <c r="B3716" t="s">
        <v>7986</v>
      </c>
      <c r="C3716">
        <v>50</v>
      </c>
      <c r="D3716" t="s">
        <v>29</v>
      </c>
      <c r="E3716" t="s">
        <v>7987</v>
      </c>
    </row>
    <row r="3717" spans="1:9" x14ac:dyDescent="0.3">
      <c r="A3717" t="s">
        <v>7988</v>
      </c>
      <c r="B3717" t="s">
        <v>7989</v>
      </c>
      <c r="C3717">
        <v>1</v>
      </c>
      <c r="D3717" t="s">
        <v>37</v>
      </c>
      <c r="E3717" t="s">
        <v>7990</v>
      </c>
    </row>
    <row r="3718" spans="1:9" x14ac:dyDescent="0.3">
      <c r="A3718" t="s">
        <v>7991</v>
      </c>
      <c r="B3718" t="s">
        <v>7992</v>
      </c>
      <c r="C3718">
        <v>1</v>
      </c>
      <c r="D3718" t="s">
        <v>426</v>
      </c>
      <c r="E3718" t="s">
        <v>1238</v>
      </c>
    </row>
    <row r="3719" spans="1:9" x14ac:dyDescent="0.3">
      <c r="A3719" t="s">
        <v>7993</v>
      </c>
      <c r="B3719" t="s">
        <v>1101</v>
      </c>
      <c r="C3719">
        <v>1</v>
      </c>
      <c r="D3719" t="s">
        <v>23</v>
      </c>
      <c r="E3719" t="s">
        <v>328</v>
      </c>
    </row>
    <row r="3720" spans="1:9" x14ac:dyDescent="0.3">
      <c r="A3720" t="s">
        <v>5831</v>
      </c>
      <c r="B3720" t="s">
        <v>2154</v>
      </c>
      <c r="E3720" t="s">
        <v>333</v>
      </c>
      <c r="I3720" t="s">
        <v>2155</v>
      </c>
    </row>
    <row r="3721" spans="1:9" x14ac:dyDescent="0.3">
      <c r="A3721" t="s">
        <v>7994</v>
      </c>
      <c r="B3721" t="s">
        <v>7995</v>
      </c>
      <c r="E3721" t="s">
        <v>7996</v>
      </c>
      <c r="I3721" t="s">
        <v>1124</v>
      </c>
    </row>
    <row r="3722" spans="1:9" x14ac:dyDescent="0.3">
      <c r="A3722" t="s">
        <v>7552</v>
      </c>
      <c r="B3722" t="s">
        <v>7997</v>
      </c>
      <c r="C3722">
        <v>0.75</v>
      </c>
      <c r="D3722" t="s">
        <v>91</v>
      </c>
      <c r="E3722" t="s">
        <v>7998</v>
      </c>
    </row>
    <row r="3723" spans="1:9" x14ac:dyDescent="0.3">
      <c r="A3723" t="s">
        <v>6701</v>
      </c>
      <c r="B3723" t="s">
        <v>7999</v>
      </c>
      <c r="C3723">
        <v>0.5</v>
      </c>
      <c r="E3723" t="s">
        <v>183</v>
      </c>
    </row>
    <row r="3724" spans="1:9" x14ac:dyDescent="0.3">
      <c r="A3724" t="s">
        <v>2479</v>
      </c>
      <c r="B3724" t="s">
        <v>8000</v>
      </c>
      <c r="E3724" t="s">
        <v>8000</v>
      </c>
    </row>
    <row r="3725" spans="1:9" x14ac:dyDescent="0.3">
      <c r="A3725" t="s">
        <v>8001</v>
      </c>
      <c r="B3725" t="s">
        <v>8002</v>
      </c>
      <c r="C3725">
        <v>0.5</v>
      </c>
      <c r="D3725" t="s">
        <v>284</v>
      </c>
      <c r="E3725" t="s">
        <v>1594</v>
      </c>
    </row>
    <row r="3726" spans="1:9" x14ac:dyDescent="0.3">
      <c r="A3726" t="s">
        <v>8003</v>
      </c>
      <c r="B3726" t="s">
        <v>7871</v>
      </c>
      <c r="D3726" t="s">
        <v>33</v>
      </c>
      <c r="E3726" t="s">
        <v>1056</v>
      </c>
      <c r="I3726" t="s">
        <v>2932</v>
      </c>
    </row>
    <row r="3727" spans="1:9" x14ac:dyDescent="0.3">
      <c r="A3727" t="s">
        <v>8004</v>
      </c>
      <c r="B3727" t="s">
        <v>8005</v>
      </c>
      <c r="C3727">
        <v>4</v>
      </c>
      <c r="D3727" t="s">
        <v>1338</v>
      </c>
      <c r="E3727" t="s">
        <v>8006</v>
      </c>
      <c r="I3727" t="s">
        <v>289</v>
      </c>
    </row>
    <row r="3728" spans="1:9" x14ac:dyDescent="0.3">
      <c r="A3728" t="s">
        <v>8007</v>
      </c>
      <c r="B3728" t="s">
        <v>1584</v>
      </c>
      <c r="C3728">
        <v>35</v>
      </c>
      <c r="D3728" t="s">
        <v>29</v>
      </c>
      <c r="E3728" t="s">
        <v>311</v>
      </c>
    </row>
    <row r="3729" spans="1:9" x14ac:dyDescent="0.3">
      <c r="A3729" t="s">
        <v>8008</v>
      </c>
      <c r="B3729" t="s">
        <v>407</v>
      </c>
      <c r="C3729">
        <v>1</v>
      </c>
      <c r="D3729" t="s">
        <v>23</v>
      </c>
      <c r="E3729" t="s">
        <v>171</v>
      </c>
    </row>
    <row r="3730" spans="1:9" x14ac:dyDescent="0.3">
      <c r="A3730" t="s">
        <v>8009</v>
      </c>
      <c r="B3730" t="s">
        <v>8010</v>
      </c>
      <c r="C3730">
        <v>6</v>
      </c>
      <c r="D3730" t="s">
        <v>345</v>
      </c>
      <c r="E3730" t="s">
        <v>8011</v>
      </c>
      <c r="F3730" t="s">
        <v>8012</v>
      </c>
    </row>
    <row r="3731" spans="1:9" x14ac:dyDescent="0.3">
      <c r="A3731" t="s">
        <v>8013</v>
      </c>
      <c r="B3731" t="s">
        <v>8014</v>
      </c>
      <c r="C3731">
        <v>2</v>
      </c>
      <c r="D3731" t="s">
        <v>4520</v>
      </c>
      <c r="E3731" t="s">
        <v>8015</v>
      </c>
    </row>
    <row r="3732" spans="1:9" x14ac:dyDescent="0.3">
      <c r="A3732" t="s">
        <v>8016</v>
      </c>
      <c r="B3732" t="s">
        <v>2613</v>
      </c>
      <c r="C3732">
        <v>1</v>
      </c>
      <c r="D3732" t="s">
        <v>23</v>
      </c>
      <c r="E3732" t="s">
        <v>2614</v>
      </c>
    </row>
    <row r="3733" spans="1:9" x14ac:dyDescent="0.3">
      <c r="A3733" t="s">
        <v>8017</v>
      </c>
      <c r="B3733" t="s">
        <v>8018</v>
      </c>
      <c r="C3733">
        <v>1</v>
      </c>
      <c r="D3733" t="s">
        <v>284</v>
      </c>
      <c r="E3733" t="s">
        <v>8019</v>
      </c>
    </row>
    <row r="3734" spans="1:9" x14ac:dyDescent="0.3">
      <c r="A3734" t="s">
        <v>7929</v>
      </c>
      <c r="B3734" t="s">
        <v>8020</v>
      </c>
      <c r="C3734">
        <v>1.5</v>
      </c>
      <c r="D3734" t="s">
        <v>23</v>
      </c>
      <c r="E3734" t="s">
        <v>57</v>
      </c>
    </row>
    <row r="3735" spans="1:9" x14ac:dyDescent="0.3">
      <c r="A3735" t="s">
        <v>8021</v>
      </c>
      <c r="B3735" t="s">
        <v>1392</v>
      </c>
      <c r="C3735">
        <v>1</v>
      </c>
      <c r="D3735" t="s">
        <v>151</v>
      </c>
      <c r="E3735" t="s">
        <v>152</v>
      </c>
    </row>
    <row r="3736" spans="1:9" x14ac:dyDescent="0.3">
      <c r="A3736" t="s">
        <v>8022</v>
      </c>
      <c r="B3736" t="s">
        <v>1618</v>
      </c>
      <c r="C3736">
        <v>1</v>
      </c>
      <c r="D3736" t="s">
        <v>23</v>
      </c>
      <c r="E3736" t="s">
        <v>1619</v>
      </c>
    </row>
    <row r="3737" spans="1:9" x14ac:dyDescent="0.3">
      <c r="A3737" t="s">
        <v>8023</v>
      </c>
      <c r="B3737" t="s">
        <v>1570</v>
      </c>
      <c r="E3737" t="s">
        <v>413</v>
      </c>
      <c r="F3737" t="s">
        <v>1571</v>
      </c>
      <c r="I3737" t="s">
        <v>1572</v>
      </c>
    </row>
    <row r="3738" spans="1:9" x14ac:dyDescent="0.3">
      <c r="A3738" t="s">
        <v>8024</v>
      </c>
      <c r="B3738" t="s">
        <v>8025</v>
      </c>
      <c r="C3738">
        <v>6</v>
      </c>
      <c r="E3738" t="s">
        <v>8026</v>
      </c>
    </row>
    <row r="3739" spans="1:9" x14ac:dyDescent="0.3">
      <c r="A3739" t="s">
        <v>8027</v>
      </c>
      <c r="B3739" t="s">
        <v>8028</v>
      </c>
      <c r="C3739">
        <v>1</v>
      </c>
      <c r="D3739" t="s">
        <v>23</v>
      </c>
      <c r="E3739" t="s">
        <v>8029</v>
      </c>
      <c r="I3739" t="s">
        <v>289</v>
      </c>
    </row>
    <row r="3740" spans="1:9" x14ac:dyDescent="0.3">
      <c r="A3740" t="s">
        <v>1533</v>
      </c>
      <c r="B3740" t="s">
        <v>8030</v>
      </c>
      <c r="E3740" t="s">
        <v>2882</v>
      </c>
      <c r="I3740" t="s">
        <v>1124</v>
      </c>
    </row>
    <row r="3741" spans="1:9" x14ac:dyDescent="0.3">
      <c r="A3741" t="s">
        <v>2422</v>
      </c>
      <c r="B3741" t="s">
        <v>2069</v>
      </c>
      <c r="C3741">
        <v>2</v>
      </c>
      <c r="D3741" t="s">
        <v>23</v>
      </c>
      <c r="E3741" t="s">
        <v>64</v>
      </c>
    </row>
    <row r="3742" spans="1:9" x14ac:dyDescent="0.3">
      <c r="A3742" t="s">
        <v>5751</v>
      </c>
      <c r="B3742" t="s">
        <v>1726</v>
      </c>
      <c r="C3742">
        <v>0.5</v>
      </c>
      <c r="D3742" t="s">
        <v>23</v>
      </c>
      <c r="E3742" t="s">
        <v>95</v>
      </c>
    </row>
    <row r="3743" spans="1:9" x14ac:dyDescent="0.3">
      <c r="A3743" t="s">
        <v>8031</v>
      </c>
      <c r="B3743" t="s">
        <v>8032</v>
      </c>
      <c r="C3743">
        <v>2</v>
      </c>
      <c r="D3743" t="s">
        <v>91</v>
      </c>
      <c r="E3743" t="s">
        <v>4397</v>
      </c>
      <c r="I3743" t="s">
        <v>20</v>
      </c>
    </row>
    <row r="3744" spans="1:9" x14ac:dyDescent="0.3">
      <c r="A3744" t="s">
        <v>8033</v>
      </c>
      <c r="B3744" t="s">
        <v>8034</v>
      </c>
      <c r="C3744">
        <v>1</v>
      </c>
      <c r="D3744" t="s">
        <v>23</v>
      </c>
      <c r="E3744" t="s">
        <v>4212</v>
      </c>
    </row>
    <row r="3745" spans="1:9" x14ac:dyDescent="0.3">
      <c r="A3745" t="s">
        <v>8035</v>
      </c>
      <c r="B3745" t="s">
        <v>1976</v>
      </c>
      <c r="C3745">
        <v>1</v>
      </c>
      <c r="E3745" t="s">
        <v>1977</v>
      </c>
    </row>
    <row r="3746" spans="1:9" x14ac:dyDescent="0.3">
      <c r="A3746" t="s">
        <v>8036</v>
      </c>
      <c r="B3746" t="s">
        <v>8037</v>
      </c>
      <c r="C3746">
        <v>50</v>
      </c>
      <c r="D3746" t="s">
        <v>29</v>
      </c>
      <c r="E3746" t="s">
        <v>8038</v>
      </c>
    </row>
    <row r="3747" spans="1:9" x14ac:dyDescent="0.3">
      <c r="A3747" t="s">
        <v>8039</v>
      </c>
      <c r="B3747" t="s">
        <v>8040</v>
      </c>
      <c r="C3747">
        <v>1</v>
      </c>
      <c r="E3747" t="s">
        <v>8041</v>
      </c>
    </row>
    <row r="3748" spans="1:9" x14ac:dyDescent="0.3">
      <c r="A3748" t="s">
        <v>7961</v>
      </c>
      <c r="B3748" t="s">
        <v>3697</v>
      </c>
      <c r="C3748">
        <v>1</v>
      </c>
      <c r="D3748" t="s">
        <v>11</v>
      </c>
      <c r="E3748" t="s">
        <v>605</v>
      </c>
      <c r="I3748" t="s">
        <v>20</v>
      </c>
    </row>
    <row r="3749" spans="1:9" x14ac:dyDescent="0.3">
      <c r="A3749" t="s">
        <v>8042</v>
      </c>
      <c r="B3749" t="s">
        <v>8043</v>
      </c>
      <c r="C3749">
        <v>1</v>
      </c>
      <c r="D3749" t="s">
        <v>50</v>
      </c>
      <c r="E3749" t="s">
        <v>3442</v>
      </c>
    </row>
    <row r="3750" spans="1:9" x14ac:dyDescent="0.3">
      <c r="A3750" t="s">
        <v>510</v>
      </c>
      <c r="B3750" t="s">
        <v>333</v>
      </c>
      <c r="E3750" t="s">
        <v>333</v>
      </c>
    </row>
    <row r="3751" spans="1:9" x14ac:dyDescent="0.3">
      <c r="A3751" t="s">
        <v>8044</v>
      </c>
      <c r="B3751" t="s">
        <v>5775</v>
      </c>
      <c r="E3751" t="s">
        <v>5775</v>
      </c>
    </row>
    <row r="3752" spans="1:9" x14ac:dyDescent="0.3">
      <c r="A3752" t="s">
        <v>6616</v>
      </c>
      <c r="B3752" t="s">
        <v>8045</v>
      </c>
      <c r="C3752">
        <v>3</v>
      </c>
      <c r="D3752" t="s">
        <v>151</v>
      </c>
      <c r="E3752" t="s">
        <v>1568</v>
      </c>
    </row>
    <row r="3753" spans="1:9" x14ac:dyDescent="0.3">
      <c r="A3753" t="s">
        <v>8046</v>
      </c>
      <c r="B3753" t="s">
        <v>8047</v>
      </c>
      <c r="C3753">
        <v>9</v>
      </c>
      <c r="D3753" t="s">
        <v>23</v>
      </c>
      <c r="E3753" t="s">
        <v>738</v>
      </c>
      <c r="I3753" t="s">
        <v>289</v>
      </c>
    </row>
    <row r="3754" spans="1:9" x14ac:dyDescent="0.3">
      <c r="A3754" t="s">
        <v>8048</v>
      </c>
      <c r="B3754" t="s">
        <v>8049</v>
      </c>
      <c r="C3754">
        <v>2</v>
      </c>
      <c r="D3754" t="s">
        <v>91</v>
      </c>
      <c r="E3754" t="s">
        <v>1788</v>
      </c>
    </row>
    <row r="3755" spans="1:9" x14ac:dyDescent="0.3">
      <c r="A3755" t="s">
        <v>8050</v>
      </c>
      <c r="B3755" t="s">
        <v>8051</v>
      </c>
      <c r="C3755">
        <v>0.75</v>
      </c>
      <c r="D3755" t="s">
        <v>37</v>
      </c>
      <c r="E3755" t="s">
        <v>8052</v>
      </c>
    </row>
    <row r="3756" spans="1:9" x14ac:dyDescent="0.3">
      <c r="A3756" t="s">
        <v>411</v>
      </c>
      <c r="B3756" t="s">
        <v>8053</v>
      </c>
      <c r="C3756">
        <v>3</v>
      </c>
      <c r="D3756" t="s">
        <v>227</v>
      </c>
      <c r="E3756" t="s">
        <v>7344</v>
      </c>
    </row>
    <row r="3757" spans="1:9" x14ac:dyDescent="0.3">
      <c r="A3757" t="s">
        <v>8054</v>
      </c>
      <c r="B3757" t="s">
        <v>8055</v>
      </c>
      <c r="C3757">
        <v>1</v>
      </c>
      <c r="D3757" t="s">
        <v>11</v>
      </c>
      <c r="E3757" t="s">
        <v>183</v>
      </c>
      <c r="G3757" t="s">
        <v>68</v>
      </c>
    </row>
    <row r="3758" spans="1:9" x14ac:dyDescent="0.3">
      <c r="A3758" t="s">
        <v>1372</v>
      </c>
      <c r="B3758" t="s">
        <v>8056</v>
      </c>
      <c r="C3758">
        <v>1</v>
      </c>
      <c r="D3758" t="s">
        <v>270</v>
      </c>
      <c r="E3758" t="s">
        <v>8057</v>
      </c>
    </row>
    <row r="3759" spans="1:9" x14ac:dyDescent="0.3">
      <c r="A3759" t="s">
        <v>8058</v>
      </c>
      <c r="B3759" t="s">
        <v>8059</v>
      </c>
      <c r="C3759">
        <v>2.5</v>
      </c>
      <c r="D3759" t="s">
        <v>23</v>
      </c>
      <c r="E3759" t="s">
        <v>64</v>
      </c>
    </row>
    <row r="3760" spans="1:9" x14ac:dyDescent="0.3">
      <c r="A3760" t="s">
        <v>8060</v>
      </c>
      <c r="B3760" t="s">
        <v>8061</v>
      </c>
      <c r="C3760">
        <v>5</v>
      </c>
      <c r="D3760" t="s">
        <v>227</v>
      </c>
      <c r="E3760" t="s">
        <v>2078</v>
      </c>
    </row>
    <row r="3761" spans="1:9" x14ac:dyDescent="0.3">
      <c r="A3761" t="s">
        <v>8062</v>
      </c>
      <c r="B3761" t="s">
        <v>8063</v>
      </c>
      <c r="C3761">
        <v>45</v>
      </c>
      <c r="D3761" t="s">
        <v>29</v>
      </c>
      <c r="E3761" t="s">
        <v>8064</v>
      </c>
    </row>
    <row r="3762" spans="1:9" x14ac:dyDescent="0.3">
      <c r="A3762" t="s">
        <v>8065</v>
      </c>
      <c r="B3762" t="s">
        <v>3780</v>
      </c>
      <c r="C3762">
        <v>0.5</v>
      </c>
      <c r="E3762" t="s">
        <v>183</v>
      </c>
      <c r="I3762" t="s">
        <v>289</v>
      </c>
    </row>
    <row r="3763" spans="1:9" x14ac:dyDescent="0.3">
      <c r="A3763" t="s">
        <v>8066</v>
      </c>
      <c r="B3763" t="s">
        <v>8067</v>
      </c>
      <c r="C3763">
        <v>0.5</v>
      </c>
      <c r="D3763" t="s">
        <v>11</v>
      </c>
      <c r="E3763" t="s">
        <v>2434</v>
      </c>
    </row>
    <row r="3764" spans="1:9" x14ac:dyDescent="0.3">
      <c r="A3764" t="s">
        <v>8068</v>
      </c>
      <c r="B3764" t="s">
        <v>8069</v>
      </c>
      <c r="C3764">
        <v>1</v>
      </c>
      <c r="D3764" t="s">
        <v>7249</v>
      </c>
      <c r="E3764" t="s">
        <v>847</v>
      </c>
    </row>
    <row r="3765" spans="1:9" x14ac:dyDescent="0.3">
      <c r="A3765" t="s">
        <v>8070</v>
      </c>
      <c r="B3765" t="s">
        <v>8071</v>
      </c>
      <c r="C3765">
        <v>2</v>
      </c>
      <c r="D3765" t="s">
        <v>345</v>
      </c>
      <c r="E3765" t="s">
        <v>2218</v>
      </c>
      <c r="I3765" t="s">
        <v>8072</v>
      </c>
    </row>
    <row r="3766" spans="1:9" x14ac:dyDescent="0.3">
      <c r="A3766" t="s">
        <v>8073</v>
      </c>
      <c r="B3766" t="s">
        <v>8074</v>
      </c>
      <c r="C3766">
        <v>1.5</v>
      </c>
      <c r="D3766" t="s">
        <v>23</v>
      </c>
      <c r="E3766" t="s">
        <v>1185</v>
      </c>
    </row>
    <row r="3767" spans="1:9" x14ac:dyDescent="0.3">
      <c r="A3767" t="s">
        <v>8075</v>
      </c>
      <c r="B3767" t="s">
        <v>3920</v>
      </c>
      <c r="C3767">
        <v>0.75</v>
      </c>
      <c r="D3767" t="s">
        <v>37</v>
      </c>
      <c r="E3767" t="s">
        <v>38</v>
      </c>
      <c r="F3767" t="s">
        <v>167</v>
      </c>
      <c r="G3767" t="s">
        <v>168</v>
      </c>
      <c r="I3767" t="s">
        <v>325</v>
      </c>
    </row>
    <row r="3768" spans="1:9" x14ac:dyDescent="0.3">
      <c r="A3768" t="s">
        <v>8076</v>
      </c>
      <c r="B3768" t="s">
        <v>8077</v>
      </c>
      <c r="C3768">
        <v>5</v>
      </c>
      <c r="D3768" t="s">
        <v>345</v>
      </c>
      <c r="E3768" t="s">
        <v>8078</v>
      </c>
    </row>
    <row r="3769" spans="1:9" x14ac:dyDescent="0.3">
      <c r="A3769" t="s">
        <v>8079</v>
      </c>
      <c r="B3769" t="s">
        <v>8080</v>
      </c>
      <c r="C3769" t="s">
        <v>1650</v>
      </c>
      <c r="D3769" t="s">
        <v>23</v>
      </c>
      <c r="E3769" t="s">
        <v>224</v>
      </c>
    </row>
    <row r="3770" spans="1:9" x14ac:dyDescent="0.3">
      <c r="A3770" t="s">
        <v>2109</v>
      </c>
      <c r="B3770" t="s">
        <v>8081</v>
      </c>
      <c r="C3770">
        <v>1</v>
      </c>
      <c r="E3770" t="s">
        <v>4580</v>
      </c>
      <c r="I3770" t="s">
        <v>8082</v>
      </c>
    </row>
    <row r="3771" spans="1:9" x14ac:dyDescent="0.3">
      <c r="A3771" t="s">
        <v>174</v>
      </c>
      <c r="B3771" t="s">
        <v>4382</v>
      </c>
      <c r="E3771" t="s">
        <v>2166</v>
      </c>
      <c r="F3771" t="s">
        <v>4383</v>
      </c>
      <c r="G3771" t="s">
        <v>168</v>
      </c>
      <c r="I3771" t="s">
        <v>1124</v>
      </c>
    </row>
    <row r="3772" spans="1:9" x14ac:dyDescent="0.3">
      <c r="A3772" t="s">
        <v>8083</v>
      </c>
      <c r="B3772" t="s">
        <v>8084</v>
      </c>
      <c r="C3772">
        <v>0.5</v>
      </c>
      <c r="E3772" t="s">
        <v>8085</v>
      </c>
      <c r="I3772" t="s">
        <v>289</v>
      </c>
    </row>
    <row r="3773" spans="1:9" x14ac:dyDescent="0.3">
      <c r="A3773" t="s">
        <v>7977</v>
      </c>
      <c r="B3773" t="s">
        <v>6248</v>
      </c>
      <c r="C3773">
        <v>0.5</v>
      </c>
      <c r="D3773" t="s">
        <v>23</v>
      </c>
      <c r="E3773" t="s">
        <v>6249</v>
      </c>
    </row>
    <row r="3774" spans="1:9" x14ac:dyDescent="0.3">
      <c r="A3774" t="s">
        <v>8086</v>
      </c>
      <c r="B3774" t="s">
        <v>7462</v>
      </c>
      <c r="C3774">
        <v>1</v>
      </c>
      <c r="D3774" t="s">
        <v>1990</v>
      </c>
      <c r="E3774" t="s">
        <v>152</v>
      </c>
      <c r="I3774" t="s">
        <v>248</v>
      </c>
    </row>
    <row r="3775" spans="1:9" x14ac:dyDescent="0.3">
      <c r="A3775" t="s">
        <v>8087</v>
      </c>
      <c r="B3775" t="s">
        <v>423</v>
      </c>
      <c r="E3775" t="s">
        <v>423</v>
      </c>
    </row>
    <row r="3776" spans="1:9" x14ac:dyDescent="0.3">
      <c r="A3776" t="s">
        <v>8088</v>
      </c>
      <c r="B3776" t="s">
        <v>4467</v>
      </c>
      <c r="C3776">
        <v>0.5</v>
      </c>
      <c r="D3776" t="s">
        <v>23</v>
      </c>
      <c r="E3776" t="s">
        <v>936</v>
      </c>
    </row>
    <row r="3777" spans="1:7" x14ac:dyDescent="0.3">
      <c r="A3777" t="s">
        <v>8089</v>
      </c>
      <c r="B3777" t="s">
        <v>364</v>
      </c>
      <c r="C3777">
        <v>1</v>
      </c>
      <c r="D3777" t="s">
        <v>23</v>
      </c>
      <c r="E3777" t="s">
        <v>365</v>
      </c>
    </row>
    <row r="3778" spans="1:7" x14ac:dyDescent="0.3">
      <c r="A3778" t="s">
        <v>8090</v>
      </c>
      <c r="B3778" t="s">
        <v>8091</v>
      </c>
      <c r="C3778">
        <v>0.25</v>
      </c>
      <c r="D3778" t="s">
        <v>284</v>
      </c>
      <c r="E3778" t="s">
        <v>51</v>
      </c>
    </row>
    <row r="3779" spans="1:7" x14ac:dyDescent="0.3">
      <c r="A3779" t="s">
        <v>8092</v>
      </c>
      <c r="B3779" t="s">
        <v>8093</v>
      </c>
      <c r="C3779">
        <v>2</v>
      </c>
      <c r="D3779" t="s">
        <v>91</v>
      </c>
      <c r="E3779" t="s">
        <v>8094</v>
      </c>
    </row>
    <row r="3780" spans="1:7" x14ac:dyDescent="0.3">
      <c r="A3780" t="s">
        <v>8095</v>
      </c>
      <c r="B3780" t="s">
        <v>8096</v>
      </c>
      <c r="C3780">
        <v>1</v>
      </c>
      <c r="D3780" t="s">
        <v>2712</v>
      </c>
      <c r="E3780" t="s">
        <v>8097</v>
      </c>
    </row>
    <row r="3781" spans="1:7" x14ac:dyDescent="0.3">
      <c r="A3781" t="s">
        <v>8098</v>
      </c>
      <c r="B3781" t="s">
        <v>879</v>
      </c>
      <c r="C3781">
        <v>1</v>
      </c>
      <c r="D3781" t="s">
        <v>23</v>
      </c>
      <c r="E3781" t="s">
        <v>880</v>
      </c>
    </row>
    <row r="3782" spans="1:7" x14ac:dyDescent="0.3">
      <c r="A3782" t="s">
        <v>3771</v>
      </c>
      <c r="B3782" t="s">
        <v>8099</v>
      </c>
      <c r="C3782">
        <v>1</v>
      </c>
      <c r="D3782" t="s">
        <v>1113</v>
      </c>
      <c r="E3782" t="s">
        <v>413</v>
      </c>
    </row>
    <row r="3783" spans="1:7" x14ac:dyDescent="0.3">
      <c r="A3783" t="s">
        <v>8100</v>
      </c>
      <c r="B3783" t="s">
        <v>8101</v>
      </c>
      <c r="E3783" t="s">
        <v>8101</v>
      </c>
    </row>
    <row r="3784" spans="1:7" x14ac:dyDescent="0.3">
      <c r="A3784" t="s">
        <v>8102</v>
      </c>
      <c r="B3784" t="s">
        <v>4458</v>
      </c>
      <c r="C3784">
        <v>0.5</v>
      </c>
      <c r="D3784" t="s">
        <v>37</v>
      </c>
      <c r="E3784" t="s">
        <v>38</v>
      </c>
    </row>
    <row r="3785" spans="1:7" x14ac:dyDescent="0.3">
      <c r="A3785" t="s">
        <v>8103</v>
      </c>
      <c r="B3785" t="s">
        <v>3230</v>
      </c>
      <c r="C3785">
        <v>10</v>
      </c>
      <c r="D3785" t="s">
        <v>29</v>
      </c>
      <c r="E3785" t="s">
        <v>1431</v>
      </c>
    </row>
    <row r="3786" spans="1:7" x14ac:dyDescent="0.3">
      <c r="A3786" t="s">
        <v>8104</v>
      </c>
      <c r="B3786" t="s">
        <v>5132</v>
      </c>
      <c r="C3786">
        <v>1</v>
      </c>
      <c r="D3786" t="s">
        <v>120</v>
      </c>
      <c r="E3786" t="s">
        <v>4306</v>
      </c>
    </row>
    <row r="3787" spans="1:7" x14ac:dyDescent="0.3">
      <c r="A3787" t="s">
        <v>2973</v>
      </c>
      <c r="B3787" t="s">
        <v>337</v>
      </c>
      <c r="C3787">
        <v>1</v>
      </c>
      <c r="D3787" t="s">
        <v>23</v>
      </c>
      <c r="E3787" t="s">
        <v>338</v>
      </c>
    </row>
    <row r="3788" spans="1:7" x14ac:dyDescent="0.3">
      <c r="A3788" t="s">
        <v>8105</v>
      </c>
      <c r="B3788" t="s">
        <v>5775</v>
      </c>
      <c r="E3788" t="s">
        <v>5775</v>
      </c>
    </row>
    <row r="3789" spans="1:7" x14ac:dyDescent="0.3">
      <c r="A3789" t="s">
        <v>8106</v>
      </c>
      <c r="B3789" t="s">
        <v>8107</v>
      </c>
      <c r="C3789">
        <v>1</v>
      </c>
      <c r="D3789" t="s">
        <v>11</v>
      </c>
      <c r="E3789" t="s">
        <v>8108</v>
      </c>
    </row>
    <row r="3790" spans="1:7" x14ac:dyDescent="0.3">
      <c r="A3790" t="s">
        <v>8109</v>
      </c>
      <c r="B3790" t="s">
        <v>8110</v>
      </c>
      <c r="C3790">
        <v>0.5</v>
      </c>
      <c r="D3790" t="s">
        <v>37</v>
      </c>
      <c r="E3790" t="s">
        <v>38</v>
      </c>
      <c r="F3790" t="s">
        <v>167</v>
      </c>
      <c r="G3790" t="s">
        <v>168</v>
      </c>
    </row>
    <row r="3791" spans="1:7" x14ac:dyDescent="0.3">
      <c r="A3791" t="s">
        <v>2914</v>
      </c>
      <c r="B3791" t="s">
        <v>8111</v>
      </c>
      <c r="C3791">
        <v>0.75</v>
      </c>
      <c r="D3791" t="s">
        <v>37</v>
      </c>
      <c r="E3791" t="s">
        <v>8112</v>
      </c>
    </row>
    <row r="3792" spans="1:7" x14ac:dyDescent="0.3">
      <c r="A3792" t="s">
        <v>8113</v>
      </c>
      <c r="B3792" t="s">
        <v>8114</v>
      </c>
      <c r="C3792">
        <v>0.25</v>
      </c>
      <c r="D3792" t="s">
        <v>11</v>
      </c>
      <c r="E3792" t="s">
        <v>2544</v>
      </c>
    </row>
    <row r="3793" spans="1:9" x14ac:dyDescent="0.3">
      <c r="A3793" t="s">
        <v>8115</v>
      </c>
      <c r="B3793" t="s">
        <v>8116</v>
      </c>
      <c r="C3793">
        <v>0.5</v>
      </c>
      <c r="D3793" t="s">
        <v>361</v>
      </c>
      <c r="E3793" t="s">
        <v>8117</v>
      </c>
    </row>
    <row r="3794" spans="1:9" x14ac:dyDescent="0.3">
      <c r="A3794" t="s">
        <v>8118</v>
      </c>
      <c r="B3794" t="s">
        <v>5207</v>
      </c>
      <c r="C3794">
        <v>2</v>
      </c>
      <c r="D3794" t="s">
        <v>23</v>
      </c>
      <c r="E3794" t="s">
        <v>1506</v>
      </c>
    </row>
    <row r="3795" spans="1:9" x14ac:dyDescent="0.3">
      <c r="A3795" t="s">
        <v>8119</v>
      </c>
      <c r="B3795" t="s">
        <v>8120</v>
      </c>
      <c r="C3795">
        <v>2</v>
      </c>
      <c r="D3795" t="s">
        <v>91</v>
      </c>
      <c r="E3795" t="s">
        <v>7159</v>
      </c>
    </row>
    <row r="3796" spans="1:9" x14ac:dyDescent="0.3">
      <c r="A3796" t="s">
        <v>8121</v>
      </c>
      <c r="B3796" t="s">
        <v>6550</v>
      </c>
      <c r="C3796">
        <v>1</v>
      </c>
      <c r="D3796" t="s">
        <v>37</v>
      </c>
      <c r="E3796" t="s">
        <v>38</v>
      </c>
      <c r="F3796" t="s">
        <v>167</v>
      </c>
      <c r="G3796" t="s">
        <v>168</v>
      </c>
      <c r="I3796" t="s">
        <v>325</v>
      </c>
    </row>
    <row r="3797" spans="1:9" x14ac:dyDescent="0.3">
      <c r="A3797" t="s">
        <v>8122</v>
      </c>
      <c r="B3797" t="s">
        <v>8123</v>
      </c>
      <c r="C3797">
        <v>2</v>
      </c>
      <c r="E3797" t="s">
        <v>281</v>
      </c>
    </row>
    <row r="3798" spans="1:9" x14ac:dyDescent="0.3">
      <c r="A3798" t="s">
        <v>8124</v>
      </c>
      <c r="B3798" t="s">
        <v>935</v>
      </c>
      <c r="C3798">
        <v>1</v>
      </c>
      <c r="D3798" t="s">
        <v>23</v>
      </c>
      <c r="E3798" t="s">
        <v>936</v>
      </c>
    </row>
    <row r="3799" spans="1:9" x14ac:dyDescent="0.3">
      <c r="A3799" t="s">
        <v>7619</v>
      </c>
      <c r="B3799" t="s">
        <v>8125</v>
      </c>
      <c r="D3799" t="s">
        <v>33</v>
      </c>
      <c r="E3799" t="s">
        <v>1056</v>
      </c>
      <c r="I3799" t="s">
        <v>998</v>
      </c>
    </row>
    <row r="3800" spans="1:9" x14ac:dyDescent="0.3">
      <c r="A3800" t="s">
        <v>8126</v>
      </c>
      <c r="B3800" t="s">
        <v>1037</v>
      </c>
      <c r="C3800">
        <v>1</v>
      </c>
      <c r="D3800" t="s">
        <v>460</v>
      </c>
      <c r="E3800" t="s">
        <v>30</v>
      </c>
    </row>
    <row r="3801" spans="1:9" x14ac:dyDescent="0.3">
      <c r="A3801" t="s">
        <v>8127</v>
      </c>
      <c r="B3801" t="s">
        <v>8128</v>
      </c>
      <c r="C3801">
        <v>1</v>
      </c>
      <c r="D3801" t="s">
        <v>23</v>
      </c>
      <c r="E3801" t="s">
        <v>8129</v>
      </c>
      <c r="I3801" t="s">
        <v>8130</v>
      </c>
    </row>
    <row r="3802" spans="1:9" x14ac:dyDescent="0.3">
      <c r="A3802" t="s">
        <v>8131</v>
      </c>
      <c r="B3802" t="s">
        <v>1618</v>
      </c>
      <c r="C3802">
        <v>1</v>
      </c>
      <c r="D3802" t="s">
        <v>23</v>
      </c>
      <c r="E3802" t="s">
        <v>1619</v>
      </c>
    </row>
    <row r="3803" spans="1:9" x14ac:dyDescent="0.3">
      <c r="A3803" t="s">
        <v>8132</v>
      </c>
      <c r="B3803" t="s">
        <v>8133</v>
      </c>
      <c r="C3803">
        <v>5</v>
      </c>
      <c r="E3803" t="s">
        <v>1561</v>
      </c>
    </row>
    <row r="3804" spans="1:9" x14ac:dyDescent="0.3">
      <c r="A3804" t="s">
        <v>2202</v>
      </c>
      <c r="B3804" t="s">
        <v>1187</v>
      </c>
      <c r="C3804">
        <v>1</v>
      </c>
      <c r="D3804" t="s">
        <v>23</v>
      </c>
      <c r="E3804" t="s">
        <v>1188</v>
      </c>
    </row>
    <row r="3805" spans="1:9" x14ac:dyDescent="0.3">
      <c r="A3805" t="s">
        <v>8134</v>
      </c>
      <c r="B3805" t="s">
        <v>8135</v>
      </c>
      <c r="C3805">
        <v>1</v>
      </c>
      <c r="D3805" t="s">
        <v>284</v>
      </c>
      <c r="E3805" t="s">
        <v>8136</v>
      </c>
      <c r="F3805" t="s">
        <v>8137</v>
      </c>
    </row>
    <row r="3806" spans="1:9" x14ac:dyDescent="0.3">
      <c r="A3806" t="s">
        <v>1364</v>
      </c>
      <c r="B3806" t="s">
        <v>8138</v>
      </c>
      <c r="C3806">
        <v>5</v>
      </c>
      <c r="D3806" t="s">
        <v>1366</v>
      </c>
      <c r="E3806" t="s">
        <v>1647</v>
      </c>
    </row>
    <row r="3807" spans="1:9" x14ac:dyDescent="0.3">
      <c r="A3807" t="s">
        <v>7525</v>
      </c>
      <c r="B3807" t="s">
        <v>8139</v>
      </c>
      <c r="C3807">
        <v>1.5</v>
      </c>
      <c r="D3807" t="s">
        <v>23</v>
      </c>
      <c r="E3807" t="s">
        <v>2211</v>
      </c>
    </row>
    <row r="3808" spans="1:9" x14ac:dyDescent="0.3">
      <c r="A3808" t="s">
        <v>8140</v>
      </c>
      <c r="B3808" t="s">
        <v>8141</v>
      </c>
      <c r="C3808">
        <v>1</v>
      </c>
      <c r="D3808" t="s">
        <v>426</v>
      </c>
      <c r="E3808" t="s">
        <v>3426</v>
      </c>
    </row>
    <row r="3809" spans="1:9" x14ac:dyDescent="0.3">
      <c r="A3809" t="s">
        <v>8142</v>
      </c>
      <c r="B3809" t="s">
        <v>8143</v>
      </c>
      <c r="C3809">
        <v>1.5</v>
      </c>
      <c r="D3809" t="s">
        <v>345</v>
      </c>
      <c r="E3809" t="s">
        <v>8144</v>
      </c>
    </row>
    <row r="3810" spans="1:9" x14ac:dyDescent="0.3">
      <c r="A3810" t="s">
        <v>851</v>
      </c>
      <c r="B3810" t="s">
        <v>8145</v>
      </c>
      <c r="C3810">
        <v>5</v>
      </c>
      <c r="D3810" t="s">
        <v>853</v>
      </c>
      <c r="E3810" t="s">
        <v>160</v>
      </c>
      <c r="G3810" t="s">
        <v>68</v>
      </c>
    </row>
    <row r="3811" spans="1:9" x14ac:dyDescent="0.3">
      <c r="A3811" t="s">
        <v>8146</v>
      </c>
      <c r="B3811" t="s">
        <v>51</v>
      </c>
      <c r="E3811" t="s">
        <v>51</v>
      </c>
    </row>
    <row r="3812" spans="1:9" x14ac:dyDescent="0.3">
      <c r="A3812" t="s">
        <v>6766</v>
      </c>
      <c r="B3812" t="s">
        <v>4184</v>
      </c>
      <c r="C3812">
        <v>0.75</v>
      </c>
      <c r="D3812" t="s">
        <v>37</v>
      </c>
      <c r="E3812" t="s">
        <v>38</v>
      </c>
      <c r="F3812" t="s">
        <v>167</v>
      </c>
      <c r="G3812" t="s">
        <v>168</v>
      </c>
      <c r="I3812" t="s">
        <v>325</v>
      </c>
    </row>
    <row r="3813" spans="1:9" x14ac:dyDescent="0.3">
      <c r="A3813" t="s">
        <v>8147</v>
      </c>
      <c r="B3813" t="s">
        <v>8148</v>
      </c>
      <c r="C3813">
        <v>2</v>
      </c>
      <c r="D3813" t="s">
        <v>345</v>
      </c>
      <c r="E3813" t="s">
        <v>581</v>
      </c>
      <c r="I3813" t="s">
        <v>8149</v>
      </c>
    </row>
    <row r="3814" spans="1:9" x14ac:dyDescent="0.3">
      <c r="A3814" t="s">
        <v>8150</v>
      </c>
      <c r="B3814" t="s">
        <v>8151</v>
      </c>
      <c r="C3814">
        <v>2.75</v>
      </c>
      <c r="D3814" t="s">
        <v>23</v>
      </c>
      <c r="E3814" t="s">
        <v>587</v>
      </c>
      <c r="I3814" t="s">
        <v>289</v>
      </c>
    </row>
    <row r="3815" spans="1:9" x14ac:dyDescent="0.3">
      <c r="A3815" t="s">
        <v>7814</v>
      </c>
      <c r="B3815" t="s">
        <v>8152</v>
      </c>
      <c r="C3815">
        <v>1</v>
      </c>
      <c r="D3815" t="s">
        <v>33</v>
      </c>
      <c r="E3815" t="s">
        <v>1984</v>
      </c>
    </row>
    <row r="3816" spans="1:9" x14ac:dyDescent="0.3">
      <c r="A3816" t="s">
        <v>6824</v>
      </c>
      <c r="B3816" t="s">
        <v>1190</v>
      </c>
      <c r="C3816">
        <v>0.5</v>
      </c>
      <c r="D3816" t="s">
        <v>23</v>
      </c>
      <c r="E3816" t="s">
        <v>199</v>
      </c>
    </row>
    <row r="3817" spans="1:9" x14ac:dyDescent="0.3">
      <c r="A3817" t="s">
        <v>8153</v>
      </c>
      <c r="B3817" t="s">
        <v>8154</v>
      </c>
      <c r="C3817">
        <v>50</v>
      </c>
      <c r="D3817" t="s">
        <v>29</v>
      </c>
      <c r="E3817" t="s">
        <v>8155</v>
      </c>
    </row>
    <row r="3818" spans="1:9" x14ac:dyDescent="0.3">
      <c r="A3818" t="s">
        <v>7157</v>
      </c>
      <c r="B3818" t="s">
        <v>8156</v>
      </c>
      <c r="C3818">
        <v>10.5</v>
      </c>
      <c r="D3818" t="s">
        <v>91</v>
      </c>
      <c r="E3818" t="s">
        <v>2862</v>
      </c>
      <c r="I3818" t="s">
        <v>20</v>
      </c>
    </row>
    <row r="3819" spans="1:9" x14ac:dyDescent="0.3">
      <c r="A3819" t="s">
        <v>8157</v>
      </c>
      <c r="B3819" t="s">
        <v>8158</v>
      </c>
      <c r="C3819">
        <v>0.25</v>
      </c>
      <c r="D3819" t="s">
        <v>37</v>
      </c>
      <c r="E3819" t="s">
        <v>8159</v>
      </c>
    </row>
    <row r="3820" spans="1:9" x14ac:dyDescent="0.3">
      <c r="A3820" t="s">
        <v>8160</v>
      </c>
      <c r="B3820" t="s">
        <v>8161</v>
      </c>
      <c r="D3820" t="s">
        <v>2397</v>
      </c>
      <c r="E3820" t="s">
        <v>163</v>
      </c>
      <c r="I3820" t="s">
        <v>164</v>
      </c>
    </row>
    <row r="3821" spans="1:9" x14ac:dyDescent="0.3">
      <c r="A3821" t="s">
        <v>6325</v>
      </c>
      <c r="B3821" t="s">
        <v>2567</v>
      </c>
      <c r="C3821">
        <v>3</v>
      </c>
      <c r="D3821" t="s">
        <v>91</v>
      </c>
      <c r="E3821" t="s">
        <v>482</v>
      </c>
      <c r="I3821" t="s">
        <v>20</v>
      </c>
    </row>
    <row r="3822" spans="1:9" x14ac:dyDescent="0.3">
      <c r="A3822" t="s">
        <v>8162</v>
      </c>
      <c r="B3822" t="s">
        <v>3687</v>
      </c>
      <c r="C3822">
        <v>200</v>
      </c>
      <c r="D3822" t="s">
        <v>29</v>
      </c>
      <c r="E3822" t="s">
        <v>3132</v>
      </c>
    </row>
    <row r="3823" spans="1:9" x14ac:dyDescent="0.3">
      <c r="A3823" t="s">
        <v>2578</v>
      </c>
      <c r="B3823" t="s">
        <v>8163</v>
      </c>
      <c r="C3823">
        <v>2.5</v>
      </c>
      <c r="D3823" t="s">
        <v>227</v>
      </c>
      <c r="E3823" t="s">
        <v>413</v>
      </c>
    </row>
    <row r="3824" spans="1:9" x14ac:dyDescent="0.3">
      <c r="A3824" t="s">
        <v>3170</v>
      </c>
      <c r="B3824" t="s">
        <v>8164</v>
      </c>
      <c r="C3824">
        <v>1</v>
      </c>
      <c r="E3824" t="s">
        <v>8165</v>
      </c>
    </row>
    <row r="3825" spans="1:6" x14ac:dyDescent="0.3">
      <c r="A3825" t="s">
        <v>8166</v>
      </c>
      <c r="B3825" t="s">
        <v>3554</v>
      </c>
      <c r="C3825">
        <v>0.5</v>
      </c>
      <c r="D3825" t="s">
        <v>23</v>
      </c>
      <c r="E3825" t="s">
        <v>160</v>
      </c>
      <c r="F3825" t="s">
        <v>68</v>
      </c>
    </row>
    <row r="3826" spans="1:6" x14ac:dyDescent="0.3">
      <c r="A3826" t="s">
        <v>1899</v>
      </c>
      <c r="B3826" t="s">
        <v>8167</v>
      </c>
      <c r="C3826">
        <v>1</v>
      </c>
      <c r="D3826" t="s">
        <v>71</v>
      </c>
      <c r="E3826" t="s">
        <v>8168</v>
      </c>
    </row>
    <row r="3827" spans="1:6" x14ac:dyDescent="0.3">
      <c r="A3827" t="s">
        <v>8169</v>
      </c>
      <c r="B3827" t="s">
        <v>8170</v>
      </c>
      <c r="C3827">
        <v>4</v>
      </c>
      <c r="D3827" t="s">
        <v>23</v>
      </c>
      <c r="E3827" t="s">
        <v>738</v>
      </c>
    </row>
    <row r="3828" spans="1:6" x14ac:dyDescent="0.3">
      <c r="A3828" t="s">
        <v>8171</v>
      </c>
      <c r="B3828" t="s">
        <v>8172</v>
      </c>
      <c r="C3828">
        <v>0.5</v>
      </c>
      <c r="E3828" t="s">
        <v>1056</v>
      </c>
    </row>
    <row r="3829" spans="1:6" x14ac:dyDescent="0.3">
      <c r="A3829" t="s">
        <v>8173</v>
      </c>
      <c r="B3829" t="s">
        <v>8174</v>
      </c>
      <c r="C3829">
        <v>0.33</v>
      </c>
      <c r="D3829" t="s">
        <v>23</v>
      </c>
      <c r="E3829" t="s">
        <v>75</v>
      </c>
    </row>
    <row r="3830" spans="1:6" x14ac:dyDescent="0.3">
      <c r="A3830" t="s">
        <v>8175</v>
      </c>
      <c r="B3830" t="s">
        <v>743</v>
      </c>
      <c r="E3830" t="s">
        <v>743</v>
      </c>
    </row>
    <row r="3831" spans="1:6" x14ac:dyDescent="0.3">
      <c r="A3831" t="s">
        <v>8176</v>
      </c>
      <c r="B3831" t="s">
        <v>8177</v>
      </c>
      <c r="C3831">
        <v>1</v>
      </c>
      <c r="D3831" t="s">
        <v>18</v>
      </c>
      <c r="E3831" t="s">
        <v>8178</v>
      </c>
    </row>
    <row r="3832" spans="1:6" x14ac:dyDescent="0.3">
      <c r="A3832" t="s">
        <v>8179</v>
      </c>
      <c r="B3832" t="s">
        <v>8180</v>
      </c>
      <c r="D3832" t="s">
        <v>111</v>
      </c>
      <c r="E3832" t="s">
        <v>8181</v>
      </c>
    </row>
    <row r="3833" spans="1:6" x14ac:dyDescent="0.3">
      <c r="A3833" t="s">
        <v>8182</v>
      </c>
      <c r="B3833" t="s">
        <v>8183</v>
      </c>
      <c r="C3833">
        <v>2</v>
      </c>
      <c r="D3833" t="s">
        <v>189</v>
      </c>
      <c r="E3833" t="s">
        <v>1578</v>
      </c>
    </row>
    <row r="3834" spans="1:6" x14ac:dyDescent="0.3">
      <c r="A3834" t="s">
        <v>8184</v>
      </c>
      <c r="B3834" t="s">
        <v>8185</v>
      </c>
      <c r="C3834">
        <v>1.5</v>
      </c>
      <c r="D3834" t="s">
        <v>176</v>
      </c>
      <c r="E3834" t="s">
        <v>4610</v>
      </c>
    </row>
    <row r="3835" spans="1:6" x14ac:dyDescent="0.3">
      <c r="A3835" t="s">
        <v>8186</v>
      </c>
      <c r="B3835" t="s">
        <v>8187</v>
      </c>
      <c r="C3835">
        <v>3</v>
      </c>
      <c r="D3835" t="s">
        <v>189</v>
      </c>
      <c r="E3835" t="s">
        <v>3942</v>
      </c>
    </row>
    <row r="3836" spans="1:6" x14ac:dyDescent="0.3">
      <c r="A3836" t="s">
        <v>8188</v>
      </c>
      <c r="B3836" t="s">
        <v>8189</v>
      </c>
      <c r="C3836">
        <v>1</v>
      </c>
      <c r="D3836" t="s">
        <v>460</v>
      </c>
      <c r="E3836" t="s">
        <v>2614</v>
      </c>
    </row>
    <row r="3837" spans="1:6" x14ac:dyDescent="0.3">
      <c r="A3837" t="s">
        <v>8190</v>
      </c>
      <c r="B3837" t="s">
        <v>4492</v>
      </c>
      <c r="C3837">
        <v>1</v>
      </c>
      <c r="D3837" t="s">
        <v>23</v>
      </c>
      <c r="E3837" t="s">
        <v>3447</v>
      </c>
    </row>
    <row r="3838" spans="1:6" x14ac:dyDescent="0.3">
      <c r="A3838" t="s">
        <v>8191</v>
      </c>
      <c r="B3838" t="s">
        <v>8192</v>
      </c>
      <c r="C3838">
        <v>2</v>
      </c>
      <c r="D3838" t="s">
        <v>91</v>
      </c>
      <c r="E3838" t="s">
        <v>8193</v>
      </c>
    </row>
    <row r="3839" spans="1:6" x14ac:dyDescent="0.3">
      <c r="A3839" t="s">
        <v>4836</v>
      </c>
      <c r="B3839" t="s">
        <v>152</v>
      </c>
      <c r="E3839" t="s">
        <v>152</v>
      </c>
    </row>
    <row r="3840" spans="1:6" x14ac:dyDescent="0.3">
      <c r="A3840" t="s">
        <v>8194</v>
      </c>
      <c r="B3840" t="s">
        <v>8195</v>
      </c>
      <c r="C3840">
        <v>10.5</v>
      </c>
      <c r="D3840" t="s">
        <v>91</v>
      </c>
      <c r="E3840" t="s">
        <v>793</v>
      </c>
    </row>
    <row r="3841" spans="1:9" x14ac:dyDescent="0.3">
      <c r="A3841" t="s">
        <v>8196</v>
      </c>
      <c r="B3841" t="s">
        <v>8197</v>
      </c>
      <c r="C3841">
        <v>2</v>
      </c>
      <c r="D3841" t="s">
        <v>23</v>
      </c>
      <c r="E3841" t="s">
        <v>638</v>
      </c>
    </row>
    <row r="3842" spans="1:9" x14ac:dyDescent="0.3">
      <c r="A3842" t="s">
        <v>8198</v>
      </c>
      <c r="B3842" t="s">
        <v>8199</v>
      </c>
      <c r="C3842">
        <v>1</v>
      </c>
      <c r="D3842" t="s">
        <v>23</v>
      </c>
      <c r="E3842" t="s">
        <v>8200</v>
      </c>
    </row>
    <row r="3843" spans="1:9" x14ac:dyDescent="0.3">
      <c r="A3843" t="s">
        <v>8201</v>
      </c>
      <c r="B3843" t="s">
        <v>8202</v>
      </c>
      <c r="C3843">
        <v>0.5</v>
      </c>
      <c r="D3843" t="s">
        <v>435</v>
      </c>
      <c r="E3843" t="s">
        <v>237</v>
      </c>
      <c r="I3843" t="s">
        <v>164</v>
      </c>
    </row>
    <row r="3844" spans="1:9" x14ac:dyDescent="0.3">
      <c r="A3844" t="s">
        <v>8203</v>
      </c>
      <c r="B3844" t="s">
        <v>8204</v>
      </c>
      <c r="C3844">
        <v>1</v>
      </c>
      <c r="D3844" t="s">
        <v>1990</v>
      </c>
      <c r="E3844" t="s">
        <v>4583</v>
      </c>
      <c r="I3844" t="s">
        <v>8205</v>
      </c>
    </row>
    <row r="3845" spans="1:9" x14ac:dyDescent="0.3">
      <c r="A3845" t="s">
        <v>2894</v>
      </c>
      <c r="B3845" t="s">
        <v>8206</v>
      </c>
      <c r="C3845">
        <v>60</v>
      </c>
      <c r="D3845" t="s">
        <v>29</v>
      </c>
      <c r="E3845" t="s">
        <v>8207</v>
      </c>
    </row>
    <row r="3846" spans="1:9" x14ac:dyDescent="0.3">
      <c r="A3846" t="s">
        <v>8208</v>
      </c>
      <c r="B3846" t="s">
        <v>8209</v>
      </c>
      <c r="C3846">
        <v>1.5</v>
      </c>
      <c r="D3846" t="s">
        <v>8210</v>
      </c>
      <c r="E3846" t="s">
        <v>8211</v>
      </c>
    </row>
    <row r="3847" spans="1:9" x14ac:dyDescent="0.3">
      <c r="A3847" t="s">
        <v>6701</v>
      </c>
      <c r="B3847" t="s">
        <v>8212</v>
      </c>
      <c r="C3847">
        <v>4</v>
      </c>
      <c r="D3847" t="s">
        <v>6703</v>
      </c>
      <c r="E3847" t="s">
        <v>8213</v>
      </c>
    </row>
    <row r="3848" spans="1:9" x14ac:dyDescent="0.3">
      <c r="A3848" t="s">
        <v>2608</v>
      </c>
      <c r="B3848" t="s">
        <v>8161</v>
      </c>
      <c r="D3848" t="s">
        <v>2397</v>
      </c>
      <c r="E3848" t="s">
        <v>163</v>
      </c>
      <c r="I3848" t="s">
        <v>164</v>
      </c>
    </row>
    <row r="3849" spans="1:9" x14ac:dyDescent="0.3">
      <c r="A3849" t="s">
        <v>5793</v>
      </c>
      <c r="B3849" t="s">
        <v>8214</v>
      </c>
      <c r="C3849">
        <v>2</v>
      </c>
      <c r="D3849" t="s">
        <v>460</v>
      </c>
      <c r="E3849" t="s">
        <v>8215</v>
      </c>
    </row>
    <row r="3850" spans="1:9" x14ac:dyDescent="0.3">
      <c r="A3850" t="s">
        <v>8216</v>
      </c>
      <c r="B3850" t="s">
        <v>3085</v>
      </c>
      <c r="C3850">
        <v>1</v>
      </c>
      <c r="D3850" t="s">
        <v>23</v>
      </c>
      <c r="E3850" t="s">
        <v>1059</v>
      </c>
    </row>
    <row r="3851" spans="1:9" x14ac:dyDescent="0.3">
      <c r="A3851" t="s">
        <v>8217</v>
      </c>
      <c r="B3851" t="s">
        <v>780</v>
      </c>
      <c r="C3851">
        <v>2</v>
      </c>
      <c r="D3851" t="s">
        <v>23</v>
      </c>
      <c r="E3851" t="s">
        <v>781</v>
      </c>
      <c r="I3851" t="s">
        <v>289</v>
      </c>
    </row>
    <row r="3852" spans="1:9" x14ac:dyDescent="0.3">
      <c r="A3852" t="s">
        <v>8218</v>
      </c>
      <c r="B3852" t="s">
        <v>8219</v>
      </c>
      <c r="C3852">
        <v>3</v>
      </c>
      <c r="D3852" t="s">
        <v>23</v>
      </c>
      <c r="E3852" t="s">
        <v>1644</v>
      </c>
    </row>
    <row r="3853" spans="1:9" x14ac:dyDescent="0.3">
      <c r="A3853" t="s">
        <v>8220</v>
      </c>
      <c r="B3853" t="s">
        <v>8221</v>
      </c>
      <c r="C3853">
        <v>1</v>
      </c>
      <c r="E3853" t="s">
        <v>8222</v>
      </c>
      <c r="I3853" t="s">
        <v>248</v>
      </c>
    </row>
    <row r="3854" spans="1:9" x14ac:dyDescent="0.3">
      <c r="A3854" t="s">
        <v>8223</v>
      </c>
      <c r="B3854" t="s">
        <v>7757</v>
      </c>
      <c r="C3854">
        <v>0.5</v>
      </c>
      <c r="D3854" t="s">
        <v>11</v>
      </c>
      <c r="E3854" t="s">
        <v>1479</v>
      </c>
    </row>
    <row r="3855" spans="1:9" x14ac:dyDescent="0.3">
      <c r="A3855" t="s">
        <v>8224</v>
      </c>
      <c r="B3855" t="s">
        <v>8225</v>
      </c>
      <c r="C3855">
        <v>3</v>
      </c>
      <c r="D3855" t="s">
        <v>835</v>
      </c>
      <c r="E3855" t="s">
        <v>8226</v>
      </c>
    </row>
    <row r="3856" spans="1:9" x14ac:dyDescent="0.3">
      <c r="A3856" t="s">
        <v>4097</v>
      </c>
      <c r="B3856" t="s">
        <v>2579</v>
      </c>
      <c r="C3856">
        <v>2</v>
      </c>
      <c r="D3856" t="s">
        <v>345</v>
      </c>
      <c r="E3856" t="s">
        <v>81</v>
      </c>
    </row>
    <row r="3857" spans="1:9" x14ac:dyDescent="0.3">
      <c r="A3857" t="s">
        <v>5928</v>
      </c>
      <c r="B3857" t="s">
        <v>8227</v>
      </c>
      <c r="C3857">
        <v>1</v>
      </c>
      <c r="D3857" t="s">
        <v>426</v>
      </c>
      <c r="E3857" t="s">
        <v>3704</v>
      </c>
    </row>
    <row r="3858" spans="1:9" x14ac:dyDescent="0.3">
      <c r="A3858" t="s">
        <v>8228</v>
      </c>
      <c r="B3858" t="s">
        <v>8229</v>
      </c>
      <c r="C3858">
        <v>0.33</v>
      </c>
      <c r="D3858" t="s">
        <v>284</v>
      </c>
      <c r="E3858" t="s">
        <v>5706</v>
      </c>
    </row>
    <row r="3859" spans="1:9" x14ac:dyDescent="0.3">
      <c r="A3859" t="s">
        <v>31</v>
      </c>
      <c r="B3859" t="s">
        <v>8230</v>
      </c>
      <c r="C3859">
        <v>1</v>
      </c>
      <c r="D3859" t="s">
        <v>18</v>
      </c>
      <c r="E3859" t="s">
        <v>8231</v>
      </c>
    </row>
    <row r="3860" spans="1:9" x14ac:dyDescent="0.3">
      <c r="A3860" t="s">
        <v>6937</v>
      </c>
      <c r="B3860" t="s">
        <v>1796</v>
      </c>
      <c r="E3860" t="s">
        <v>333</v>
      </c>
      <c r="F3860" t="s">
        <v>1571</v>
      </c>
    </row>
    <row r="3861" spans="1:9" x14ac:dyDescent="0.3">
      <c r="A3861" t="s">
        <v>8232</v>
      </c>
      <c r="B3861" t="s">
        <v>8233</v>
      </c>
      <c r="C3861">
        <v>2</v>
      </c>
      <c r="D3861" t="s">
        <v>23</v>
      </c>
      <c r="E3861" t="s">
        <v>8234</v>
      </c>
    </row>
    <row r="3862" spans="1:9" x14ac:dyDescent="0.3">
      <c r="A3862" t="s">
        <v>187</v>
      </c>
      <c r="B3862" t="s">
        <v>4142</v>
      </c>
      <c r="E3862" t="s">
        <v>4142</v>
      </c>
    </row>
    <row r="3863" spans="1:9" x14ac:dyDescent="0.3">
      <c r="A3863" t="s">
        <v>8235</v>
      </c>
      <c r="B3863" t="s">
        <v>8236</v>
      </c>
      <c r="C3863" t="s">
        <v>546</v>
      </c>
      <c r="D3863" t="s">
        <v>23</v>
      </c>
      <c r="E3863" t="s">
        <v>262</v>
      </c>
      <c r="I3863" t="s">
        <v>1177</v>
      </c>
    </row>
    <row r="3864" spans="1:9" x14ac:dyDescent="0.3">
      <c r="A3864" t="s">
        <v>8237</v>
      </c>
      <c r="B3864" t="s">
        <v>8238</v>
      </c>
      <c r="C3864">
        <v>1.5</v>
      </c>
      <c r="D3864" t="s">
        <v>460</v>
      </c>
      <c r="E3864" t="s">
        <v>2292</v>
      </c>
    </row>
    <row r="3865" spans="1:9" x14ac:dyDescent="0.3">
      <c r="A3865" t="s">
        <v>8239</v>
      </c>
      <c r="B3865" t="s">
        <v>8240</v>
      </c>
      <c r="C3865">
        <v>10.5</v>
      </c>
      <c r="D3865" t="s">
        <v>91</v>
      </c>
      <c r="E3865" t="s">
        <v>8241</v>
      </c>
    </row>
    <row r="3866" spans="1:9" x14ac:dyDescent="0.3">
      <c r="A3866" t="s">
        <v>8242</v>
      </c>
      <c r="B3866" t="s">
        <v>8243</v>
      </c>
      <c r="C3866">
        <v>1.5</v>
      </c>
      <c r="D3866" t="s">
        <v>345</v>
      </c>
      <c r="E3866" t="s">
        <v>5164</v>
      </c>
    </row>
    <row r="3867" spans="1:9" x14ac:dyDescent="0.3">
      <c r="A3867" t="s">
        <v>8244</v>
      </c>
      <c r="B3867" t="s">
        <v>8245</v>
      </c>
      <c r="C3867">
        <v>0.5</v>
      </c>
      <c r="D3867" t="s">
        <v>37</v>
      </c>
      <c r="E3867" t="s">
        <v>8246</v>
      </c>
      <c r="I3867" t="s">
        <v>8247</v>
      </c>
    </row>
    <row r="3868" spans="1:9" x14ac:dyDescent="0.3">
      <c r="A3868" t="s">
        <v>8248</v>
      </c>
      <c r="B3868" t="s">
        <v>8249</v>
      </c>
      <c r="C3868">
        <v>0.5</v>
      </c>
      <c r="D3868" t="s">
        <v>4545</v>
      </c>
      <c r="E3868" t="s">
        <v>1718</v>
      </c>
    </row>
    <row r="3869" spans="1:9" x14ac:dyDescent="0.3">
      <c r="A3869" t="s">
        <v>8250</v>
      </c>
      <c r="B3869" t="s">
        <v>8251</v>
      </c>
      <c r="C3869">
        <v>1</v>
      </c>
      <c r="D3869" t="s">
        <v>11</v>
      </c>
      <c r="E3869" t="s">
        <v>8252</v>
      </c>
      <c r="I3869" t="s">
        <v>20</v>
      </c>
    </row>
    <row r="3870" spans="1:9" x14ac:dyDescent="0.3">
      <c r="A3870" t="s">
        <v>8253</v>
      </c>
      <c r="B3870" t="s">
        <v>8254</v>
      </c>
      <c r="C3870">
        <v>2</v>
      </c>
      <c r="D3870" t="s">
        <v>176</v>
      </c>
      <c r="E3870" t="s">
        <v>7344</v>
      </c>
    </row>
    <row r="3871" spans="1:9" x14ac:dyDescent="0.3">
      <c r="A3871" t="s">
        <v>1273</v>
      </c>
      <c r="B3871" t="s">
        <v>8255</v>
      </c>
      <c r="D3871" t="s">
        <v>18</v>
      </c>
      <c r="E3871" t="s">
        <v>1043</v>
      </c>
    </row>
    <row r="3872" spans="1:9" x14ac:dyDescent="0.3">
      <c r="A3872" t="s">
        <v>8256</v>
      </c>
      <c r="B3872" t="s">
        <v>8257</v>
      </c>
      <c r="C3872">
        <v>0.5</v>
      </c>
      <c r="D3872" t="s">
        <v>284</v>
      </c>
      <c r="E3872" t="s">
        <v>581</v>
      </c>
      <c r="H3872" t="s">
        <v>5392</v>
      </c>
      <c r="I3872" t="s">
        <v>8258</v>
      </c>
    </row>
    <row r="3873" spans="1:9" x14ac:dyDescent="0.3">
      <c r="A3873" t="s">
        <v>8259</v>
      </c>
      <c r="B3873" t="s">
        <v>1055</v>
      </c>
      <c r="C3873">
        <v>1</v>
      </c>
      <c r="D3873" t="s">
        <v>585</v>
      </c>
      <c r="E3873" t="s">
        <v>1056</v>
      </c>
      <c r="I3873" t="s">
        <v>248</v>
      </c>
    </row>
    <row r="3874" spans="1:9" x14ac:dyDescent="0.3">
      <c r="A3874" t="s">
        <v>1899</v>
      </c>
      <c r="B3874" t="s">
        <v>8260</v>
      </c>
      <c r="D3874" t="s">
        <v>435</v>
      </c>
      <c r="E3874" t="s">
        <v>8261</v>
      </c>
      <c r="I3874" t="s">
        <v>8262</v>
      </c>
    </row>
    <row r="3875" spans="1:9" x14ac:dyDescent="0.3">
      <c r="A3875" t="s">
        <v>1010</v>
      </c>
      <c r="B3875" t="s">
        <v>1011</v>
      </c>
      <c r="E3875" t="s">
        <v>1011</v>
      </c>
    </row>
    <row r="3876" spans="1:9" x14ac:dyDescent="0.3">
      <c r="A3876" t="s">
        <v>8263</v>
      </c>
      <c r="B3876" t="s">
        <v>8264</v>
      </c>
      <c r="C3876">
        <v>2</v>
      </c>
      <c r="D3876" t="s">
        <v>120</v>
      </c>
      <c r="E3876" t="s">
        <v>8265</v>
      </c>
    </row>
    <row r="3877" spans="1:9" x14ac:dyDescent="0.3">
      <c r="A3877" t="s">
        <v>8266</v>
      </c>
      <c r="B3877" t="s">
        <v>8267</v>
      </c>
      <c r="C3877">
        <v>2</v>
      </c>
      <c r="D3877" t="s">
        <v>1113</v>
      </c>
      <c r="E3877" t="s">
        <v>2424</v>
      </c>
    </row>
    <row r="3878" spans="1:9" x14ac:dyDescent="0.3">
      <c r="A3878" t="s">
        <v>8268</v>
      </c>
      <c r="B3878" t="s">
        <v>8269</v>
      </c>
      <c r="C3878">
        <v>50</v>
      </c>
      <c r="D3878" t="s">
        <v>29</v>
      </c>
      <c r="E3878" t="s">
        <v>365</v>
      </c>
    </row>
    <row r="3879" spans="1:9" x14ac:dyDescent="0.3">
      <c r="A3879" t="s">
        <v>2865</v>
      </c>
      <c r="B3879" t="s">
        <v>8270</v>
      </c>
      <c r="C3879">
        <v>2</v>
      </c>
      <c r="D3879" t="s">
        <v>23</v>
      </c>
      <c r="E3879" t="s">
        <v>5448</v>
      </c>
    </row>
    <row r="3880" spans="1:9" x14ac:dyDescent="0.3">
      <c r="A3880" t="s">
        <v>2254</v>
      </c>
      <c r="B3880" t="s">
        <v>8271</v>
      </c>
      <c r="C3880">
        <v>6</v>
      </c>
      <c r="D3880" t="s">
        <v>23</v>
      </c>
      <c r="E3880" t="s">
        <v>8272</v>
      </c>
    </row>
    <row r="3881" spans="1:9" x14ac:dyDescent="0.3">
      <c r="A3881" t="s">
        <v>8273</v>
      </c>
      <c r="B3881" t="s">
        <v>8274</v>
      </c>
      <c r="C3881">
        <v>0.5</v>
      </c>
      <c r="D3881" t="s">
        <v>284</v>
      </c>
      <c r="E3881" t="s">
        <v>5161</v>
      </c>
      <c r="F3881" t="s">
        <v>3348</v>
      </c>
      <c r="I3881" t="s">
        <v>3032</v>
      </c>
    </row>
    <row r="3882" spans="1:9" x14ac:dyDescent="0.3">
      <c r="A3882" t="s">
        <v>8275</v>
      </c>
      <c r="B3882" t="s">
        <v>1190</v>
      </c>
      <c r="C3882">
        <v>0.5</v>
      </c>
      <c r="D3882" t="s">
        <v>23</v>
      </c>
      <c r="E3882" t="s">
        <v>199</v>
      </c>
    </row>
    <row r="3883" spans="1:9" x14ac:dyDescent="0.3">
      <c r="A3883" t="s">
        <v>8276</v>
      </c>
      <c r="B3883" t="s">
        <v>8277</v>
      </c>
      <c r="C3883">
        <v>10</v>
      </c>
      <c r="D3883" t="s">
        <v>29</v>
      </c>
      <c r="E3883" t="s">
        <v>8278</v>
      </c>
    </row>
    <row r="3884" spans="1:9" x14ac:dyDescent="0.3">
      <c r="A3884" t="s">
        <v>7088</v>
      </c>
      <c r="B3884" t="s">
        <v>3925</v>
      </c>
      <c r="C3884">
        <v>0.5</v>
      </c>
      <c r="D3884" t="s">
        <v>23</v>
      </c>
      <c r="E3884" t="s">
        <v>793</v>
      </c>
    </row>
    <row r="3885" spans="1:9" x14ac:dyDescent="0.3">
      <c r="A3885" t="s">
        <v>8279</v>
      </c>
      <c r="B3885" t="s">
        <v>1976</v>
      </c>
      <c r="C3885">
        <v>1</v>
      </c>
      <c r="E3885" t="s">
        <v>1977</v>
      </c>
    </row>
    <row r="3886" spans="1:9" x14ac:dyDescent="0.3">
      <c r="A3886" t="s">
        <v>8280</v>
      </c>
      <c r="B3886" t="s">
        <v>841</v>
      </c>
      <c r="C3886">
        <v>1</v>
      </c>
      <c r="D3886" t="s">
        <v>23</v>
      </c>
      <c r="E3886" t="s">
        <v>793</v>
      </c>
    </row>
    <row r="3887" spans="1:9" x14ac:dyDescent="0.3">
      <c r="A3887" t="s">
        <v>1986</v>
      </c>
      <c r="B3887" t="s">
        <v>8281</v>
      </c>
      <c r="C3887">
        <v>2</v>
      </c>
      <c r="D3887" t="s">
        <v>176</v>
      </c>
      <c r="E3887" t="s">
        <v>209</v>
      </c>
    </row>
    <row r="3888" spans="1:9" x14ac:dyDescent="0.3">
      <c r="A3888" t="s">
        <v>8282</v>
      </c>
      <c r="B3888" t="s">
        <v>8283</v>
      </c>
      <c r="C3888">
        <v>2</v>
      </c>
      <c r="D3888" t="s">
        <v>91</v>
      </c>
      <c r="E3888" t="s">
        <v>365</v>
      </c>
    </row>
    <row r="3889" spans="1:9" x14ac:dyDescent="0.3">
      <c r="A3889" t="s">
        <v>8284</v>
      </c>
      <c r="B3889" t="s">
        <v>885</v>
      </c>
      <c r="C3889">
        <v>0.25</v>
      </c>
      <c r="D3889" t="s">
        <v>37</v>
      </c>
      <c r="E3889" t="s">
        <v>886</v>
      </c>
    </row>
    <row r="3890" spans="1:9" x14ac:dyDescent="0.3">
      <c r="A3890" t="s">
        <v>8285</v>
      </c>
      <c r="B3890" t="s">
        <v>8286</v>
      </c>
      <c r="C3890">
        <v>1</v>
      </c>
      <c r="E3890" t="s">
        <v>8287</v>
      </c>
      <c r="I3890" t="s">
        <v>248</v>
      </c>
    </row>
    <row r="3891" spans="1:9" x14ac:dyDescent="0.3">
      <c r="A3891" t="s">
        <v>8288</v>
      </c>
      <c r="B3891" t="s">
        <v>1404</v>
      </c>
      <c r="C3891">
        <v>1</v>
      </c>
      <c r="D3891" t="s">
        <v>11</v>
      </c>
      <c r="E3891" t="s">
        <v>183</v>
      </c>
    </row>
    <row r="3892" spans="1:9" x14ac:dyDescent="0.3">
      <c r="A3892" t="s">
        <v>4133</v>
      </c>
      <c r="B3892" t="s">
        <v>8289</v>
      </c>
      <c r="C3892">
        <v>1.5</v>
      </c>
      <c r="D3892" t="s">
        <v>23</v>
      </c>
      <c r="E3892" t="s">
        <v>2024</v>
      </c>
    </row>
    <row r="3893" spans="1:9" x14ac:dyDescent="0.3">
      <c r="A3893" t="s">
        <v>8290</v>
      </c>
      <c r="B3893" t="s">
        <v>2279</v>
      </c>
      <c r="C3893">
        <v>0.75</v>
      </c>
      <c r="D3893" t="s">
        <v>11</v>
      </c>
      <c r="E3893" t="s">
        <v>793</v>
      </c>
    </row>
    <row r="3894" spans="1:9" x14ac:dyDescent="0.3">
      <c r="A3894" t="s">
        <v>8291</v>
      </c>
      <c r="B3894" t="s">
        <v>4597</v>
      </c>
      <c r="C3894">
        <v>3</v>
      </c>
      <c r="D3894" t="s">
        <v>189</v>
      </c>
      <c r="E3894" t="s">
        <v>190</v>
      </c>
    </row>
    <row r="3895" spans="1:9" x14ac:dyDescent="0.3">
      <c r="A3895" t="s">
        <v>8292</v>
      </c>
      <c r="B3895" t="s">
        <v>8293</v>
      </c>
      <c r="C3895">
        <v>2</v>
      </c>
      <c r="D3895" t="s">
        <v>227</v>
      </c>
      <c r="E3895" t="s">
        <v>2078</v>
      </c>
    </row>
    <row r="3896" spans="1:9" x14ac:dyDescent="0.3">
      <c r="A3896" t="s">
        <v>8294</v>
      </c>
      <c r="B3896" t="s">
        <v>8295</v>
      </c>
      <c r="C3896">
        <v>1.5</v>
      </c>
      <c r="D3896" t="s">
        <v>176</v>
      </c>
      <c r="E3896" t="s">
        <v>41</v>
      </c>
    </row>
    <row r="3897" spans="1:9" x14ac:dyDescent="0.3">
      <c r="A3897" t="s">
        <v>8296</v>
      </c>
      <c r="B3897" t="s">
        <v>8297</v>
      </c>
      <c r="C3897">
        <v>2</v>
      </c>
      <c r="D3897" t="s">
        <v>91</v>
      </c>
      <c r="E3897" t="s">
        <v>253</v>
      </c>
    </row>
    <row r="3898" spans="1:9" x14ac:dyDescent="0.3">
      <c r="A3898" t="s">
        <v>8298</v>
      </c>
      <c r="B3898" t="s">
        <v>8299</v>
      </c>
      <c r="C3898">
        <v>0.5</v>
      </c>
      <c r="D3898" t="s">
        <v>37</v>
      </c>
      <c r="E3898" t="s">
        <v>2385</v>
      </c>
    </row>
    <row r="3899" spans="1:9" x14ac:dyDescent="0.3">
      <c r="A3899" t="s">
        <v>1826</v>
      </c>
      <c r="B3899" t="s">
        <v>4534</v>
      </c>
      <c r="C3899">
        <v>1</v>
      </c>
      <c r="D3899" t="s">
        <v>37</v>
      </c>
      <c r="E3899" t="s">
        <v>160</v>
      </c>
      <c r="G3899" t="s">
        <v>68</v>
      </c>
    </row>
    <row r="3900" spans="1:9" x14ac:dyDescent="0.3">
      <c r="A3900" t="s">
        <v>8300</v>
      </c>
      <c r="B3900" t="s">
        <v>8301</v>
      </c>
      <c r="C3900">
        <v>1</v>
      </c>
      <c r="D3900" t="s">
        <v>60</v>
      </c>
      <c r="E3900" t="s">
        <v>936</v>
      </c>
    </row>
    <row r="3901" spans="1:9" x14ac:dyDescent="0.3">
      <c r="A3901" t="s">
        <v>8302</v>
      </c>
      <c r="B3901" t="s">
        <v>2476</v>
      </c>
      <c r="C3901">
        <v>0.75</v>
      </c>
      <c r="D3901" t="s">
        <v>23</v>
      </c>
      <c r="E3901" t="s">
        <v>355</v>
      </c>
    </row>
    <row r="3902" spans="1:9" x14ac:dyDescent="0.3">
      <c r="A3902" t="s">
        <v>8303</v>
      </c>
      <c r="B3902" t="s">
        <v>4536</v>
      </c>
      <c r="C3902">
        <v>1</v>
      </c>
      <c r="D3902" t="s">
        <v>60</v>
      </c>
      <c r="E3902" t="s">
        <v>3353</v>
      </c>
    </row>
    <row r="3903" spans="1:9" x14ac:dyDescent="0.3">
      <c r="A3903" t="s">
        <v>2358</v>
      </c>
      <c r="B3903" t="s">
        <v>8304</v>
      </c>
      <c r="E3903" t="s">
        <v>8305</v>
      </c>
      <c r="I3903" t="s">
        <v>1124</v>
      </c>
    </row>
    <row r="3904" spans="1:9" x14ac:dyDescent="0.3">
      <c r="A3904" t="s">
        <v>1004</v>
      </c>
      <c r="B3904" t="s">
        <v>188</v>
      </c>
      <c r="C3904">
        <v>2</v>
      </c>
      <c r="D3904" t="s">
        <v>189</v>
      </c>
      <c r="E3904" t="s">
        <v>190</v>
      </c>
    </row>
    <row r="3905" spans="1:9" x14ac:dyDescent="0.3">
      <c r="A3905" t="s">
        <v>8306</v>
      </c>
      <c r="B3905" t="s">
        <v>8307</v>
      </c>
      <c r="C3905">
        <v>2</v>
      </c>
      <c r="D3905" t="s">
        <v>2191</v>
      </c>
      <c r="E3905" t="s">
        <v>3218</v>
      </c>
      <c r="F3905" t="s">
        <v>8308</v>
      </c>
      <c r="I3905" t="s">
        <v>325</v>
      </c>
    </row>
    <row r="3906" spans="1:9" x14ac:dyDescent="0.3">
      <c r="A3906" t="s">
        <v>8309</v>
      </c>
      <c r="B3906" t="s">
        <v>8310</v>
      </c>
      <c r="E3906" t="s">
        <v>1463</v>
      </c>
      <c r="I3906" t="s">
        <v>99</v>
      </c>
    </row>
    <row r="3907" spans="1:9" x14ac:dyDescent="0.3">
      <c r="A3907" t="s">
        <v>8311</v>
      </c>
      <c r="B3907" t="s">
        <v>8312</v>
      </c>
      <c r="C3907">
        <v>1</v>
      </c>
      <c r="E3907" t="s">
        <v>4865</v>
      </c>
      <c r="G3907" t="s">
        <v>68</v>
      </c>
    </row>
    <row r="3908" spans="1:9" x14ac:dyDescent="0.3">
      <c r="A3908" t="s">
        <v>8313</v>
      </c>
      <c r="B3908" t="s">
        <v>2021</v>
      </c>
      <c r="C3908">
        <v>0.5</v>
      </c>
      <c r="D3908" t="s">
        <v>23</v>
      </c>
      <c r="E3908" t="s">
        <v>183</v>
      </c>
    </row>
    <row r="3909" spans="1:9" x14ac:dyDescent="0.3">
      <c r="A3909" t="s">
        <v>8314</v>
      </c>
      <c r="B3909" t="s">
        <v>8315</v>
      </c>
      <c r="C3909">
        <v>0.5</v>
      </c>
      <c r="D3909" t="s">
        <v>11</v>
      </c>
      <c r="E3909" t="s">
        <v>8316</v>
      </c>
    </row>
    <row r="3910" spans="1:9" x14ac:dyDescent="0.3">
      <c r="A3910" t="s">
        <v>8317</v>
      </c>
      <c r="B3910" t="s">
        <v>8318</v>
      </c>
      <c r="C3910">
        <v>0.25</v>
      </c>
      <c r="D3910" t="s">
        <v>23</v>
      </c>
      <c r="E3910" t="s">
        <v>423</v>
      </c>
    </row>
    <row r="3911" spans="1:9" x14ac:dyDescent="0.3">
      <c r="A3911" t="s">
        <v>8319</v>
      </c>
      <c r="B3911" t="s">
        <v>8320</v>
      </c>
      <c r="C3911">
        <v>0.5</v>
      </c>
      <c r="D3911" t="s">
        <v>460</v>
      </c>
      <c r="E3911" t="s">
        <v>4654</v>
      </c>
    </row>
    <row r="3912" spans="1:9" x14ac:dyDescent="0.3">
      <c r="A3912" t="s">
        <v>8321</v>
      </c>
      <c r="B3912" t="s">
        <v>8322</v>
      </c>
      <c r="C3912">
        <v>0.25</v>
      </c>
      <c r="D3912" t="s">
        <v>23</v>
      </c>
      <c r="E3912" t="s">
        <v>220</v>
      </c>
    </row>
    <row r="3913" spans="1:9" x14ac:dyDescent="0.3">
      <c r="A3913" t="s">
        <v>8323</v>
      </c>
      <c r="B3913" t="s">
        <v>333</v>
      </c>
      <c r="E3913" t="s">
        <v>333</v>
      </c>
    </row>
    <row r="3914" spans="1:9" x14ac:dyDescent="0.3">
      <c r="A3914" t="s">
        <v>8324</v>
      </c>
      <c r="B3914" t="s">
        <v>8325</v>
      </c>
      <c r="C3914">
        <v>1.5</v>
      </c>
      <c r="D3914" t="s">
        <v>23</v>
      </c>
      <c r="E3914" t="s">
        <v>7624</v>
      </c>
    </row>
    <row r="3915" spans="1:9" x14ac:dyDescent="0.3">
      <c r="A3915" t="s">
        <v>4376</v>
      </c>
      <c r="B3915" t="s">
        <v>5687</v>
      </c>
      <c r="C3915">
        <v>2</v>
      </c>
      <c r="D3915" t="s">
        <v>91</v>
      </c>
      <c r="E3915" t="s">
        <v>5688</v>
      </c>
    </row>
    <row r="3916" spans="1:9" x14ac:dyDescent="0.3">
      <c r="A3916" t="s">
        <v>8326</v>
      </c>
      <c r="B3916" t="s">
        <v>4653</v>
      </c>
      <c r="C3916">
        <v>1</v>
      </c>
      <c r="D3916" t="s">
        <v>460</v>
      </c>
      <c r="E3916" t="s">
        <v>4654</v>
      </c>
    </row>
    <row r="3917" spans="1:9" x14ac:dyDescent="0.3">
      <c r="A3917" t="s">
        <v>7088</v>
      </c>
      <c r="B3917" t="s">
        <v>152</v>
      </c>
      <c r="E3917" t="s">
        <v>152</v>
      </c>
    </row>
    <row r="3918" spans="1:9" x14ac:dyDescent="0.3">
      <c r="A3918" t="s">
        <v>8327</v>
      </c>
      <c r="B3918" t="s">
        <v>8328</v>
      </c>
      <c r="C3918">
        <v>1</v>
      </c>
      <c r="D3918" t="s">
        <v>23</v>
      </c>
      <c r="E3918" t="s">
        <v>199</v>
      </c>
      <c r="I3918" t="s">
        <v>289</v>
      </c>
    </row>
    <row r="3919" spans="1:9" x14ac:dyDescent="0.3">
      <c r="A3919" t="s">
        <v>2507</v>
      </c>
      <c r="B3919" t="s">
        <v>8329</v>
      </c>
      <c r="C3919">
        <v>3</v>
      </c>
      <c r="D3919" t="s">
        <v>91</v>
      </c>
      <c r="E3919" t="s">
        <v>8330</v>
      </c>
    </row>
    <row r="3920" spans="1:9" x14ac:dyDescent="0.3">
      <c r="A3920" t="s">
        <v>1300</v>
      </c>
      <c r="B3920" t="s">
        <v>8331</v>
      </c>
      <c r="C3920">
        <v>3</v>
      </c>
      <c r="D3920" t="s">
        <v>227</v>
      </c>
      <c r="E3920" t="s">
        <v>1201</v>
      </c>
    </row>
    <row r="3921" spans="1:9" x14ac:dyDescent="0.3">
      <c r="A3921" t="s">
        <v>8332</v>
      </c>
      <c r="B3921" t="s">
        <v>8333</v>
      </c>
      <c r="C3921">
        <v>3</v>
      </c>
      <c r="D3921" t="s">
        <v>189</v>
      </c>
      <c r="E3921" t="s">
        <v>6765</v>
      </c>
    </row>
    <row r="3922" spans="1:9" x14ac:dyDescent="0.3">
      <c r="A3922" t="s">
        <v>6736</v>
      </c>
      <c r="B3922" t="s">
        <v>8334</v>
      </c>
      <c r="C3922">
        <v>1</v>
      </c>
      <c r="D3922" t="s">
        <v>11</v>
      </c>
      <c r="E3922" t="s">
        <v>160</v>
      </c>
    </row>
    <row r="3923" spans="1:9" x14ac:dyDescent="0.3">
      <c r="A3923" t="s">
        <v>8335</v>
      </c>
      <c r="B3923" t="s">
        <v>4172</v>
      </c>
      <c r="C3923">
        <v>1.5</v>
      </c>
      <c r="D3923" t="s">
        <v>23</v>
      </c>
      <c r="E3923" t="s">
        <v>487</v>
      </c>
    </row>
    <row r="3924" spans="1:9" x14ac:dyDescent="0.3">
      <c r="A3924" t="s">
        <v>8336</v>
      </c>
      <c r="B3924" t="s">
        <v>8337</v>
      </c>
      <c r="C3924">
        <v>15</v>
      </c>
      <c r="D3924" t="s">
        <v>29</v>
      </c>
      <c r="E3924" t="s">
        <v>8338</v>
      </c>
    </row>
    <row r="3925" spans="1:9" x14ac:dyDescent="0.3">
      <c r="A3925" t="s">
        <v>8339</v>
      </c>
      <c r="B3925" t="s">
        <v>8340</v>
      </c>
      <c r="C3925">
        <v>0.75</v>
      </c>
      <c r="D3925" t="s">
        <v>23</v>
      </c>
      <c r="E3925" t="s">
        <v>8341</v>
      </c>
    </row>
    <row r="3926" spans="1:9" x14ac:dyDescent="0.3">
      <c r="A3926" t="s">
        <v>7942</v>
      </c>
      <c r="B3926" t="s">
        <v>8342</v>
      </c>
      <c r="E3926" t="s">
        <v>241</v>
      </c>
      <c r="I3926" t="s">
        <v>65</v>
      </c>
    </row>
    <row r="3927" spans="1:9" x14ac:dyDescent="0.3">
      <c r="A3927" t="s">
        <v>5165</v>
      </c>
      <c r="B3927" t="s">
        <v>8343</v>
      </c>
      <c r="C3927">
        <v>1</v>
      </c>
      <c r="D3927" t="s">
        <v>8344</v>
      </c>
      <c r="E3927" t="s">
        <v>3218</v>
      </c>
      <c r="I3927" t="s">
        <v>248</v>
      </c>
    </row>
    <row r="3928" spans="1:9" x14ac:dyDescent="0.3">
      <c r="A3928" t="s">
        <v>8345</v>
      </c>
      <c r="B3928" t="s">
        <v>2674</v>
      </c>
      <c r="C3928">
        <v>0.5</v>
      </c>
      <c r="D3928" t="s">
        <v>11</v>
      </c>
      <c r="E3928" t="s">
        <v>2675</v>
      </c>
    </row>
    <row r="3929" spans="1:9" x14ac:dyDescent="0.3">
      <c r="A3929" t="s">
        <v>8346</v>
      </c>
      <c r="B3929" t="s">
        <v>8347</v>
      </c>
      <c r="C3929">
        <v>10</v>
      </c>
      <c r="D3929" t="s">
        <v>29</v>
      </c>
      <c r="E3929" t="s">
        <v>8348</v>
      </c>
    </row>
    <row r="3930" spans="1:9" x14ac:dyDescent="0.3">
      <c r="A3930" t="s">
        <v>8349</v>
      </c>
      <c r="B3930" t="s">
        <v>8350</v>
      </c>
      <c r="C3930">
        <v>90</v>
      </c>
      <c r="D3930" t="s">
        <v>4211</v>
      </c>
      <c r="E3930" t="s">
        <v>4506</v>
      </c>
    </row>
    <row r="3931" spans="1:9" x14ac:dyDescent="0.3">
      <c r="A3931" t="s">
        <v>8351</v>
      </c>
      <c r="B3931" t="s">
        <v>8352</v>
      </c>
      <c r="C3931">
        <v>10</v>
      </c>
      <c r="D3931" t="s">
        <v>29</v>
      </c>
      <c r="E3931" t="s">
        <v>1993</v>
      </c>
    </row>
    <row r="3932" spans="1:9" x14ac:dyDescent="0.3">
      <c r="A3932" t="s">
        <v>8353</v>
      </c>
      <c r="B3932" t="s">
        <v>8354</v>
      </c>
      <c r="C3932">
        <v>1</v>
      </c>
      <c r="D3932" t="s">
        <v>4545</v>
      </c>
      <c r="E3932" t="s">
        <v>7447</v>
      </c>
    </row>
    <row r="3933" spans="1:9" x14ac:dyDescent="0.3">
      <c r="A3933" t="s">
        <v>8355</v>
      </c>
      <c r="B3933" t="s">
        <v>8356</v>
      </c>
      <c r="C3933">
        <v>15</v>
      </c>
      <c r="D3933" t="s">
        <v>23</v>
      </c>
      <c r="E3933" t="s">
        <v>8357</v>
      </c>
    </row>
    <row r="3934" spans="1:9" x14ac:dyDescent="0.3">
      <c r="A3934" t="s">
        <v>8358</v>
      </c>
      <c r="B3934" t="s">
        <v>8359</v>
      </c>
      <c r="C3934">
        <v>1.5</v>
      </c>
      <c r="D3934" t="s">
        <v>23</v>
      </c>
      <c r="E3934" t="s">
        <v>183</v>
      </c>
    </row>
    <row r="3935" spans="1:9" x14ac:dyDescent="0.3">
      <c r="A3935" t="s">
        <v>8360</v>
      </c>
      <c r="B3935" t="s">
        <v>8361</v>
      </c>
      <c r="C3935">
        <v>2</v>
      </c>
      <c r="D3935" t="s">
        <v>345</v>
      </c>
      <c r="E3935" t="s">
        <v>8362</v>
      </c>
    </row>
    <row r="3936" spans="1:9" x14ac:dyDescent="0.3">
      <c r="A3936" t="s">
        <v>8363</v>
      </c>
      <c r="B3936" t="s">
        <v>2751</v>
      </c>
      <c r="C3936">
        <v>1</v>
      </c>
      <c r="D3936" t="s">
        <v>368</v>
      </c>
      <c r="E3936" t="s">
        <v>2752</v>
      </c>
    </row>
    <row r="3937" spans="1:7" x14ac:dyDescent="0.3">
      <c r="A3937" t="s">
        <v>8364</v>
      </c>
      <c r="B3937" t="s">
        <v>8365</v>
      </c>
      <c r="C3937">
        <v>0.5</v>
      </c>
      <c r="D3937" t="s">
        <v>23</v>
      </c>
      <c r="E3937" t="s">
        <v>487</v>
      </c>
    </row>
    <row r="3938" spans="1:7" x14ac:dyDescent="0.3">
      <c r="A3938" t="s">
        <v>6284</v>
      </c>
      <c r="B3938" t="s">
        <v>3927</v>
      </c>
      <c r="C3938">
        <v>0.25</v>
      </c>
      <c r="D3938" t="s">
        <v>11</v>
      </c>
      <c r="E3938" t="s">
        <v>292</v>
      </c>
    </row>
    <row r="3939" spans="1:7" x14ac:dyDescent="0.3">
      <c r="A3939" t="s">
        <v>8366</v>
      </c>
      <c r="B3939" t="s">
        <v>1056</v>
      </c>
      <c r="E3939" t="s">
        <v>1056</v>
      </c>
    </row>
    <row r="3940" spans="1:7" x14ac:dyDescent="0.3">
      <c r="A3940" t="s">
        <v>8367</v>
      </c>
      <c r="B3940" t="s">
        <v>8368</v>
      </c>
      <c r="C3940">
        <v>0.67</v>
      </c>
      <c r="D3940" t="s">
        <v>23</v>
      </c>
      <c r="E3940" t="s">
        <v>6406</v>
      </c>
    </row>
    <row r="3941" spans="1:7" x14ac:dyDescent="0.3">
      <c r="A3941" t="s">
        <v>8369</v>
      </c>
      <c r="B3941" t="s">
        <v>8370</v>
      </c>
      <c r="C3941">
        <v>2</v>
      </c>
      <c r="D3941" t="s">
        <v>23</v>
      </c>
      <c r="E3941" t="s">
        <v>8371</v>
      </c>
    </row>
    <row r="3942" spans="1:7" x14ac:dyDescent="0.3">
      <c r="A3942" t="s">
        <v>8372</v>
      </c>
      <c r="B3942" t="s">
        <v>8373</v>
      </c>
      <c r="C3942">
        <v>0.25</v>
      </c>
      <c r="D3942" t="s">
        <v>23</v>
      </c>
      <c r="E3942" t="s">
        <v>741</v>
      </c>
      <c r="G3942" t="s">
        <v>68</v>
      </c>
    </row>
    <row r="3943" spans="1:7" x14ac:dyDescent="0.3">
      <c r="A3943" t="s">
        <v>8374</v>
      </c>
      <c r="B3943" t="s">
        <v>8375</v>
      </c>
      <c r="C3943">
        <v>6</v>
      </c>
      <c r="E3943" t="s">
        <v>8265</v>
      </c>
      <c r="F3943" t="s">
        <v>908</v>
      </c>
    </row>
    <row r="3944" spans="1:7" x14ac:dyDescent="0.3">
      <c r="A3944" t="s">
        <v>8376</v>
      </c>
      <c r="B3944" t="s">
        <v>8377</v>
      </c>
      <c r="C3944">
        <v>34</v>
      </c>
      <c r="D3944" t="s">
        <v>23</v>
      </c>
      <c r="E3944" t="s">
        <v>8378</v>
      </c>
    </row>
    <row r="3945" spans="1:7" x14ac:dyDescent="0.3">
      <c r="A3945" t="s">
        <v>8379</v>
      </c>
      <c r="B3945" t="s">
        <v>6023</v>
      </c>
      <c r="C3945">
        <v>50</v>
      </c>
      <c r="D3945" t="s">
        <v>29</v>
      </c>
      <c r="E3945" t="s">
        <v>6155</v>
      </c>
    </row>
    <row r="3946" spans="1:7" x14ac:dyDescent="0.3">
      <c r="A3946" t="s">
        <v>8380</v>
      </c>
      <c r="B3946" t="s">
        <v>3434</v>
      </c>
      <c r="C3946">
        <v>1.5</v>
      </c>
      <c r="D3946" t="s">
        <v>23</v>
      </c>
      <c r="E3946" t="s">
        <v>281</v>
      </c>
    </row>
    <row r="3947" spans="1:7" x14ac:dyDescent="0.3">
      <c r="A3947" t="s">
        <v>8381</v>
      </c>
      <c r="B3947" t="s">
        <v>8382</v>
      </c>
      <c r="C3947">
        <v>300</v>
      </c>
      <c r="D3947" t="s">
        <v>29</v>
      </c>
      <c r="E3947" t="s">
        <v>8383</v>
      </c>
    </row>
    <row r="3948" spans="1:7" x14ac:dyDescent="0.3">
      <c r="A3948" t="s">
        <v>8384</v>
      </c>
      <c r="B3948" t="s">
        <v>2440</v>
      </c>
      <c r="E3948" t="s">
        <v>2440</v>
      </c>
    </row>
    <row r="3949" spans="1:7" x14ac:dyDescent="0.3">
      <c r="A3949" t="s">
        <v>8385</v>
      </c>
      <c r="B3949" t="s">
        <v>7150</v>
      </c>
      <c r="C3949">
        <v>1</v>
      </c>
      <c r="D3949" t="s">
        <v>23</v>
      </c>
      <c r="E3949" t="s">
        <v>5448</v>
      </c>
    </row>
    <row r="3950" spans="1:7" x14ac:dyDescent="0.3">
      <c r="A3950" t="s">
        <v>8386</v>
      </c>
      <c r="B3950" t="s">
        <v>8387</v>
      </c>
      <c r="C3950">
        <v>2</v>
      </c>
      <c r="D3950" t="s">
        <v>189</v>
      </c>
      <c r="E3950" t="s">
        <v>8388</v>
      </c>
    </row>
    <row r="3951" spans="1:7" x14ac:dyDescent="0.3">
      <c r="A3951" t="s">
        <v>8389</v>
      </c>
      <c r="B3951" t="s">
        <v>4492</v>
      </c>
      <c r="C3951">
        <v>1</v>
      </c>
      <c r="D3951" t="s">
        <v>23</v>
      </c>
      <c r="E3951" t="s">
        <v>3447</v>
      </c>
    </row>
    <row r="3952" spans="1:7" x14ac:dyDescent="0.3">
      <c r="A3952" t="s">
        <v>8390</v>
      </c>
      <c r="B3952" t="s">
        <v>8391</v>
      </c>
      <c r="C3952">
        <v>1</v>
      </c>
      <c r="D3952" t="s">
        <v>23</v>
      </c>
      <c r="E3952" t="s">
        <v>487</v>
      </c>
    </row>
    <row r="3953" spans="1:9" x14ac:dyDescent="0.3">
      <c r="A3953" t="s">
        <v>8392</v>
      </c>
      <c r="B3953" t="s">
        <v>8393</v>
      </c>
      <c r="C3953">
        <v>10</v>
      </c>
      <c r="D3953" t="s">
        <v>29</v>
      </c>
      <c r="E3953" t="s">
        <v>2496</v>
      </c>
    </row>
    <row r="3954" spans="1:9" x14ac:dyDescent="0.3">
      <c r="A3954" t="s">
        <v>8394</v>
      </c>
      <c r="B3954" t="s">
        <v>8395</v>
      </c>
      <c r="C3954">
        <v>0.33</v>
      </c>
      <c r="D3954" t="s">
        <v>11</v>
      </c>
      <c r="E3954" t="s">
        <v>8396</v>
      </c>
    </row>
    <row r="3955" spans="1:9" x14ac:dyDescent="0.3">
      <c r="A3955" t="s">
        <v>8397</v>
      </c>
      <c r="B3955" t="s">
        <v>8398</v>
      </c>
      <c r="C3955">
        <v>0.5</v>
      </c>
      <c r="D3955" t="s">
        <v>23</v>
      </c>
      <c r="E3955" t="s">
        <v>8399</v>
      </c>
    </row>
    <row r="3956" spans="1:9" x14ac:dyDescent="0.3">
      <c r="A3956" t="s">
        <v>8400</v>
      </c>
      <c r="B3956" t="s">
        <v>8401</v>
      </c>
      <c r="C3956">
        <v>0.75</v>
      </c>
      <c r="D3956" t="s">
        <v>23</v>
      </c>
      <c r="E3956" t="s">
        <v>349</v>
      </c>
    </row>
    <row r="3957" spans="1:9" x14ac:dyDescent="0.3">
      <c r="A3957" t="s">
        <v>5206</v>
      </c>
      <c r="B3957" t="s">
        <v>4442</v>
      </c>
      <c r="C3957">
        <v>1</v>
      </c>
      <c r="D3957" t="s">
        <v>23</v>
      </c>
      <c r="E3957" t="s">
        <v>30</v>
      </c>
    </row>
    <row r="3958" spans="1:9" x14ac:dyDescent="0.3">
      <c r="A3958" t="s">
        <v>6626</v>
      </c>
      <c r="B3958" t="s">
        <v>2779</v>
      </c>
      <c r="C3958">
        <v>0.5</v>
      </c>
      <c r="D3958" t="s">
        <v>37</v>
      </c>
      <c r="E3958" t="s">
        <v>160</v>
      </c>
      <c r="F3958" t="s">
        <v>167</v>
      </c>
      <c r="G3958" t="s">
        <v>168</v>
      </c>
    </row>
    <row r="3959" spans="1:9" x14ac:dyDescent="0.3">
      <c r="A3959" t="s">
        <v>8402</v>
      </c>
      <c r="B3959" t="s">
        <v>8403</v>
      </c>
      <c r="C3959">
        <v>50</v>
      </c>
      <c r="D3959" t="s">
        <v>29</v>
      </c>
      <c r="E3959" t="s">
        <v>8404</v>
      </c>
    </row>
    <row r="3960" spans="1:9" x14ac:dyDescent="0.3">
      <c r="A3960" t="s">
        <v>8405</v>
      </c>
      <c r="B3960" t="s">
        <v>8406</v>
      </c>
      <c r="C3960">
        <v>3</v>
      </c>
      <c r="D3960" t="s">
        <v>23</v>
      </c>
      <c r="E3960" t="s">
        <v>8407</v>
      </c>
    </row>
    <row r="3961" spans="1:9" x14ac:dyDescent="0.3">
      <c r="A3961" t="s">
        <v>4569</v>
      </c>
      <c r="B3961" t="s">
        <v>8408</v>
      </c>
      <c r="C3961">
        <v>1</v>
      </c>
      <c r="D3961" t="s">
        <v>23</v>
      </c>
      <c r="E3961" t="s">
        <v>1185</v>
      </c>
    </row>
    <row r="3962" spans="1:9" x14ac:dyDescent="0.3">
      <c r="A3962" t="s">
        <v>8409</v>
      </c>
      <c r="B3962" t="s">
        <v>2952</v>
      </c>
      <c r="C3962">
        <v>1</v>
      </c>
      <c r="D3962" t="s">
        <v>23</v>
      </c>
      <c r="E3962" t="s">
        <v>98</v>
      </c>
      <c r="I3962" t="s">
        <v>289</v>
      </c>
    </row>
    <row r="3963" spans="1:9" x14ac:dyDescent="0.3">
      <c r="A3963" t="s">
        <v>8410</v>
      </c>
      <c r="B3963" t="s">
        <v>8411</v>
      </c>
      <c r="C3963">
        <v>1</v>
      </c>
      <c r="D3963" t="s">
        <v>151</v>
      </c>
      <c r="E3963" t="s">
        <v>1056</v>
      </c>
    </row>
    <row r="3964" spans="1:9" x14ac:dyDescent="0.3">
      <c r="A3964" t="s">
        <v>3684</v>
      </c>
      <c r="B3964" t="s">
        <v>2021</v>
      </c>
      <c r="C3964">
        <v>0.5</v>
      </c>
      <c r="D3964" t="s">
        <v>23</v>
      </c>
      <c r="E3964" t="s">
        <v>183</v>
      </c>
    </row>
    <row r="3965" spans="1:9" x14ac:dyDescent="0.3">
      <c r="A3965" t="s">
        <v>8412</v>
      </c>
      <c r="B3965" t="s">
        <v>8413</v>
      </c>
      <c r="C3965">
        <v>1.5</v>
      </c>
      <c r="D3965" t="s">
        <v>23</v>
      </c>
      <c r="E3965" t="s">
        <v>1638</v>
      </c>
    </row>
    <row r="3966" spans="1:9" x14ac:dyDescent="0.3">
      <c r="A3966" t="s">
        <v>8414</v>
      </c>
      <c r="B3966" t="s">
        <v>8415</v>
      </c>
      <c r="C3966">
        <v>1.5</v>
      </c>
      <c r="D3966" t="s">
        <v>23</v>
      </c>
      <c r="E3966" t="s">
        <v>500</v>
      </c>
    </row>
    <row r="3967" spans="1:9" x14ac:dyDescent="0.3">
      <c r="A3967" t="s">
        <v>8416</v>
      </c>
      <c r="B3967" t="s">
        <v>8417</v>
      </c>
      <c r="D3967" t="s">
        <v>60</v>
      </c>
      <c r="E3967" t="s">
        <v>672</v>
      </c>
      <c r="I3967" t="s">
        <v>289</v>
      </c>
    </row>
    <row r="3968" spans="1:9" x14ac:dyDescent="0.3">
      <c r="A3968" t="s">
        <v>8418</v>
      </c>
      <c r="B3968" t="s">
        <v>4236</v>
      </c>
      <c r="C3968">
        <v>1</v>
      </c>
      <c r="D3968" t="s">
        <v>23</v>
      </c>
      <c r="E3968" t="s">
        <v>253</v>
      </c>
    </row>
    <row r="3969" spans="1:9" x14ac:dyDescent="0.3">
      <c r="A3969" t="s">
        <v>8419</v>
      </c>
      <c r="B3969" t="s">
        <v>5161</v>
      </c>
      <c r="E3969" t="s">
        <v>5161</v>
      </c>
    </row>
    <row r="3970" spans="1:9" x14ac:dyDescent="0.3">
      <c r="A3970" t="s">
        <v>8420</v>
      </c>
      <c r="B3970" t="s">
        <v>3409</v>
      </c>
      <c r="C3970">
        <v>1.5</v>
      </c>
      <c r="D3970" t="s">
        <v>91</v>
      </c>
      <c r="E3970" t="s">
        <v>3410</v>
      </c>
    </row>
    <row r="3971" spans="1:9" x14ac:dyDescent="0.3">
      <c r="A3971" t="s">
        <v>8421</v>
      </c>
      <c r="B3971" t="s">
        <v>8422</v>
      </c>
      <c r="C3971">
        <v>0.75</v>
      </c>
      <c r="D3971" t="s">
        <v>206</v>
      </c>
      <c r="E3971" t="s">
        <v>220</v>
      </c>
    </row>
    <row r="3972" spans="1:9" x14ac:dyDescent="0.3">
      <c r="A3972" t="s">
        <v>8423</v>
      </c>
      <c r="B3972" t="s">
        <v>8424</v>
      </c>
      <c r="C3972">
        <v>1</v>
      </c>
      <c r="D3972" t="s">
        <v>37</v>
      </c>
      <c r="E3972" t="s">
        <v>8425</v>
      </c>
    </row>
    <row r="3973" spans="1:9" x14ac:dyDescent="0.3">
      <c r="A3973" t="s">
        <v>8426</v>
      </c>
      <c r="B3973" t="s">
        <v>8427</v>
      </c>
      <c r="C3973">
        <v>1</v>
      </c>
      <c r="D3973" t="s">
        <v>37</v>
      </c>
      <c r="E3973" t="s">
        <v>8428</v>
      </c>
    </row>
    <row r="3974" spans="1:9" x14ac:dyDescent="0.3">
      <c r="A3974" t="s">
        <v>8429</v>
      </c>
      <c r="B3974" t="s">
        <v>1179</v>
      </c>
      <c r="C3974">
        <v>1</v>
      </c>
      <c r="D3974" t="s">
        <v>23</v>
      </c>
      <c r="E3974" t="s">
        <v>233</v>
      </c>
    </row>
    <row r="3975" spans="1:9" x14ac:dyDescent="0.3">
      <c r="A3975" t="s">
        <v>8430</v>
      </c>
      <c r="B3975" t="s">
        <v>8431</v>
      </c>
      <c r="C3975">
        <v>2</v>
      </c>
      <c r="D3975" t="s">
        <v>23</v>
      </c>
      <c r="E3975" t="s">
        <v>8432</v>
      </c>
    </row>
    <row r="3976" spans="1:9" x14ac:dyDescent="0.3">
      <c r="A3976" t="s">
        <v>8433</v>
      </c>
      <c r="B3976" t="s">
        <v>8434</v>
      </c>
      <c r="C3976">
        <v>1</v>
      </c>
      <c r="D3976" t="s">
        <v>37</v>
      </c>
      <c r="E3976" t="s">
        <v>758</v>
      </c>
    </row>
    <row r="3977" spans="1:9" x14ac:dyDescent="0.3">
      <c r="A3977" t="s">
        <v>8435</v>
      </c>
      <c r="B3977" t="s">
        <v>1056</v>
      </c>
      <c r="E3977" t="s">
        <v>1056</v>
      </c>
    </row>
    <row r="3978" spans="1:9" x14ac:dyDescent="0.3">
      <c r="A3978" t="s">
        <v>8436</v>
      </c>
      <c r="B3978" t="s">
        <v>8437</v>
      </c>
      <c r="C3978">
        <v>1</v>
      </c>
      <c r="D3978" t="s">
        <v>361</v>
      </c>
      <c r="E3978" t="s">
        <v>8438</v>
      </c>
    </row>
    <row r="3979" spans="1:9" x14ac:dyDescent="0.3">
      <c r="A3979" t="s">
        <v>8439</v>
      </c>
      <c r="B3979" t="s">
        <v>8440</v>
      </c>
      <c r="C3979">
        <v>1</v>
      </c>
      <c r="D3979" t="s">
        <v>284</v>
      </c>
      <c r="E3979" t="s">
        <v>8441</v>
      </c>
    </row>
    <row r="3980" spans="1:9" x14ac:dyDescent="0.3">
      <c r="A3980" t="s">
        <v>8442</v>
      </c>
      <c r="B3980" t="s">
        <v>8443</v>
      </c>
      <c r="C3980">
        <v>0.75</v>
      </c>
      <c r="D3980" t="s">
        <v>23</v>
      </c>
      <c r="E3980" t="s">
        <v>241</v>
      </c>
    </row>
    <row r="3981" spans="1:9" x14ac:dyDescent="0.3">
      <c r="A3981" t="s">
        <v>8444</v>
      </c>
      <c r="B3981" t="s">
        <v>7062</v>
      </c>
      <c r="C3981">
        <v>1</v>
      </c>
      <c r="D3981" t="s">
        <v>23</v>
      </c>
      <c r="E3981" t="s">
        <v>7063</v>
      </c>
    </row>
    <row r="3982" spans="1:9" x14ac:dyDescent="0.3">
      <c r="A3982" t="s">
        <v>8445</v>
      </c>
      <c r="B3982" t="s">
        <v>8446</v>
      </c>
      <c r="C3982">
        <v>1</v>
      </c>
      <c r="D3982" t="s">
        <v>460</v>
      </c>
      <c r="E3982" t="s">
        <v>8447</v>
      </c>
    </row>
    <row r="3983" spans="1:9" x14ac:dyDescent="0.3">
      <c r="A3983" t="s">
        <v>8448</v>
      </c>
      <c r="B3983" t="s">
        <v>2021</v>
      </c>
      <c r="C3983">
        <v>0.5</v>
      </c>
      <c r="D3983" t="s">
        <v>23</v>
      </c>
      <c r="E3983" t="s">
        <v>183</v>
      </c>
    </row>
    <row r="3984" spans="1:9" x14ac:dyDescent="0.3">
      <c r="A3984" t="s">
        <v>8449</v>
      </c>
      <c r="B3984" t="s">
        <v>5043</v>
      </c>
      <c r="C3984">
        <v>1.5</v>
      </c>
      <c r="D3984" t="s">
        <v>23</v>
      </c>
      <c r="E3984" t="s">
        <v>233</v>
      </c>
      <c r="I3984" t="s">
        <v>289</v>
      </c>
    </row>
    <row r="3985" spans="1:9" x14ac:dyDescent="0.3">
      <c r="A3985" t="s">
        <v>8450</v>
      </c>
      <c r="B3985" t="s">
        <v>6925</v>
      </c>
      <c r="C3985">
        <v>1</v>
      </c>
      <c r="D3985" t="s">
        <v>1785</v>
      </c>
      <c r="E3985" t="s">
        <v>936</v>
      </c>
    </row>
    <row r="3986" spans="1:9" x14ac:dyDescent="0.3">
      <c r="A3986" t="s">
        <v>8451</v>
      </c>
      <c r="B3986" t="s">
        <v>8452</v>
      </c>
      <c r="C3986">
        <v>1</v>
      </c>
      <c r="D3986" t="s">
        <v>11</v>
      </c>
      <c r="E3986" t="s">
        <v>3807</v>
      </c>
    </row>
    <row r="3987" spans="1:9" x14ac:dyDescent="0.3">
      <c r="A3987" t="s">
        <v>8453</v>
      </c>
      <c r="B3987" t="s">
        <v>8454</v>
      </c>
      <c r="C3987">
        <v>40</v>
      </c>
      <c r="D3987" t="s">
        <v>2267</v>
      </c>
      <c r="E3987" t="s">
        <v>8455</v>
      </c>
      <c r="F3987" t="s">
        <v>8456</v>
      </c>
      <c r="I3987" t="s">
        <v>325</v>
      </c>
    </row>
    <row r="3988" spans="1:9" x14ac:dyDescent="0.3">
      <c r="A3988" t="s">
        <v>8457</v>
      </c>
      <c r="B3988" t="s">
        <v>3110</v>
      </c>
      <c r="C3988">
        <v>0.5</v>
      </c>
      <c r="D3988" t="s">
        <v>11</v>
      </c>
      <c r="E3988" t="s">
        <v>423</v>
      </c>
    </row>
    <row r="3989" spans="1:9" x14ac:dyDescent="0.3">
      <c r="A3989" t="s">
        <v>2519</v>
      </c>
      <c r="B3989" t="s">
        <v>6022</v>
      </c>
      <c r="C3989">
        <v>1</v>
      </c>
      <c r="D3989" t="s">
        <v>23</v>
      </c>
      <c r="E3989" t="s">
        <v>4670</v>
      </c>
    </row>
    <row r="3990" spans="1:9" x14ac:dyDescent="0.3">
      <c r="A3990" t="s">
        <v>8458</v>
      </c>
      <c r="B3990" t="s">
        <v>8459</v>
      </c>
      <c r="C3990">
        <v>0.5</v>
      </c>
      <c r="D3990" t="s">
        <v>361</v>
      </c>
      <c r="E3990" t="s">
        <v>581</v>
      </c>
    </row>
    <row r="3991" spans="1:9" x14ac:dyDescent="0.3">
      <c r="A3991" t="s">
        <v>8460</v>
      </c>
      <c r="B3991" t="s">
        <v>8461</v>
      </c>
      <c r="C3991">
        <v>10</v>
      </c>
      <c r="D3991" t="s">
        <v>29</v>
      </c>
      <c r="E3991" t="s">
        <v>1056</v>
      </c>
      <c r="G3991" t="s">
        <v>814</v>
      </c>
    </row>
    <row r="3992" spans="1:9" x14ac:dyDescent="0.3">
      <c r="A3992" t="s">
        <v>5748</v>
      </c>
      <c r="B3992" t="s">
        <v>8462</v>
      </c>
      <c r="C3992">
        <v>6</v>
      </c>
      <c r="D3992" t="s">
        <v>23</v>
      </c>
      <c r="E3992" t="s">
        <v>8463</v>
      </c>
      <c r="F3992" t="s">
        <v>6763</v>
      </c>
    </row>
    <row r="3993" spans="1:9" x14ac:dyDescent="0.3">
      <c r="A3993" t="s">
        <v>8464</v>
      </c>
      <c r="B3993" t="s">
        <v>8465</v>
      </c>
      <c r="C3993">
        <v>0.5</v>
      </c>
      <c r="E3993" t="s">
        <v>160</v>
      </c>
      <c r="I3993" t="s">
        <v>289</v>
      </c>
    </row>
    <row r="3994" spans="1:9" x14ac:dyDescent="0.3">
      <c r="A3994" t="s">
        <v>8466</v>
      </c>
      <c r="B3994" t="s">
        <v>8467</v>
      </c>
      <c r="C3994">
        <v>4</v>
      </c>
      <c r="D3994" t="s">
        <v>23</v>
      </c>
      <c r="E3994" t="s">
        <v>500</v>
      </c>
    </row>
    <row r="3995" spans="1:9" x14ac:dyDescent="0.3">
      <c r="A3995" t="s">
        <v>8468</v>
      </c>
      <c r="B3995" t="s">
        <v>8469</v>
      </c>
      <c r="C3995">
        <v>1</v>
      </c>
      <c r="D3995" t="s">
        <v>3323</v>
      </c>
      <c r="E3995" t="s">
        <v>8470</v>
      </c>
    </row>
    <row r="3996" spans="1:9" x14ac:dyDescent="0.3">
      <c r="A3996" t="s">
        <v>8471</v>
      </c>
      <c r="B3996" t="s">
        <v>8472</v>
      </c>
      <c r="C3996" t="s">
        <v>8473</v>
      </c>
      <c r="E3996" t="s">
        <v>538</v>
      </c>
      <c r="G3996" t="s">
        <v>68</v>
      </c>
      <c r="I3996" t="s">
        <v>1177</v>
      </c>
    </row>
    <row r="3997" spans="1:9" x14ac:dyDescent="0.3">
      <c r="A3997" t="s">
        <v>8474</v>
      </c>
      <c r="B3997" t="s">
        <v>8475</v>
      </c>
      <c r="D3997" t="s">
        <v>435</v>
      </c>
      <c r="E3997" t="s">
        <v>1169</v>
      </c>
      <c r="G3997" t="s">
        <v>68</v>
      </c>
      <c r="I3997" t="s">
        <v>8476</v>
      </c>
    </row>
    <row r="3998" spans="1:9" x14ac:dyDescent="0.3">
      <c r="A3998" t="s">
        <v>8235</v>
      </c>
      <c r="B3998" t="s">
        <v>4999</v>
      </c>
      <c r="C3998">
        <v>1.5</v>
      </c>
      <c r="D3998" t="s">
        <v>23</v>
      </c>
      <c r="E3998" t="s">
        <v>880</v>
      </c>
    </row>
    <row r="3999" spans="1:9" x14ac:dyDescent="0.3">
      <c r="A3999" t="s">
        <v>5409</v>
      </c>
      <c r="B3999" t="s">
        <v>8477</v>
      </c>
      <c r="C3999" t="s">
        <v>8478</v>
      </c>
      <c r="D3999" t="s">
        <v>23</v>
      </c>
      <c r="E3999" t="s">
        <v>8479</v>
      </c>
      <c r="I3999" t="s">
        <v>8480</v>
      </c>
    </row>
    <row r="4000" spans="1:9" x14ac:dyDescent="0.3">
      <c r="A4000" t="s">
        <v>8481</v>
      </c>
      <c r="B4000" t="s">
        <v>8482</v>
      </c>
      <c r="C4000">
        <v>1</v>
      </c>
      <c r="D4000" t="s">
        <v>11</v>
      </c>
      <c r="E4000" t="s">
        <v>98</v>
      </c>
    </row>
    <row r="4001" spans="1:9" x14ac:dyDescent="0.3">
      <c r="A4001" t="s">
        <v>8483</v>
      </c>
      <c r="B4001" t="s">
        <v>1190</v>
      </c>
      <c r="C4001">
        <v>0.5</v>
      </c>
      <c r="D4001" t="s">
        <v>23</v>
      </c>
      <c r="E4001" t="s">
        <v>199</v>
      </c>
    </row>
    <row r="4002" spans="1:9" x14ac:dyDescent="0.3">
      <c r="A4002" t="s">
        <v>4146</v>
      </c>
      <c r="B4002" t="s">
        <v>8484</v>
      </c>
      <c r="C4002">
        <v>5</v>
      </c>
      <c r="D4002" t="s">
        <v>23</v>
      </c>
      <c r="E4002" t="s">
        <v>8485</v>
      </c>
    </row>
    <row r="4003" spans="1:9" x14ac:dyDescent="0.3">
      <c r="A4003" t="s">
        <v>8486</v>
      </c>
      <c r="B4003" t="s">
        <v>8487</v>
      </c>
      <c r="E4003" t="s">
        <v>743</v>
      </c>
      <c r="H4003" t="s">
        <v>5867</v>
      </c>
    </row>
    <row r="4004" spans="1:9" x14ac:dyDescent="0.3">
      <c r="A4004" t="s">
        <v>1881</v>
      </c>
      <c r="B4004" t="s">
        <v>4011</v>
      </c>
      <c r="C4004">
        <v>0.5</v>
      </c>
      <c r="D4004" t="s">
        <v>23</v>
      </c>
      <c r="E4004" t="s">
        <v>2913</v>
      </c>
    </row>
    <row r="4005" spans="1:9" x14ac:dyDescent="0.3">
      <c r="A4005" t="s">
        <v>8488</v>
      </c>
      <c r="B4005" t="s">
        <v>8489</v>
      </c>
      <c r="C4005">
        <v>2</v>
      </c>
      <c r="D4005" t="s">
        <v>7283</v>
      </c>
      <c r="E4005" t="s">
        <v>8490</v>
      </c>
    </row>
    <row r="4006" spans="1:9" x14ac:dyDescent="0.3">
      <c r="A4006" t="s">
        <v>6846</v>
      </c>
      <c r="B4006" t="s">
        <v>8491</v>
      </c>
      <c r="C4006">
        <v>25</v>
      </c>
      <c r="D4006" t="s">
        <v>29</v>
      </c>
      <c r="E4006" t="s">
        <v>8492</v>
      </c>
    </row>
    <row r="4007" spans="1:9" x14ac:dyDescent="0.3">
      <c r="A4007" t="s">
        <v>8493</v>
      </c>
      <c r="B4007" t="s">
        <v>8494</v>
      </c>
      <c r="C4007">
        <v>1.5</v>
      </c>
      <c r="D4007" t="s">
        <v>23</v>
      </c>
      <c r="E4007" t="s">
        <v>8495</v>
      </c>
    </row>
    <row r="4008" spans="1:9" x14ac:dyDescent="0.3">
      <c r="A4008" t="s">
        <v>8496</v>
      </c>
      <c r="B4008" t="s">
        <v>8497</v>
      </c>
      <c r="C4008">
        <v>50</v>
      </c>
      <c r="D4008" t="s">
        <v>29</v>
      </c>
      <c r="E4008" t="s">
        <v>8498</v>
      </c>
    </row>
    <row r="4009" spans="1:9" x14ac:dyDescent="0.3">
      <c r="A4009" t="s">
        <v>8499</v>
      </c>
      <c r="B4009" t="s">
        <v>8500</v>
      </c>
      <c r="C4009">
        <v>1</v>
      </c>
      <c r="D4009" t="s">
        <v>18</v>
      </c>
      <c r="E4009" t="s">
        <v>8501</v>
      </c>
    </row>
    <row r="4010" spans="1:9" x14ac:dyDescent="0.3">
      <c r="A4010" t="s">
        <v>8502</v>
      </c>
      <c r="B4010" t="s">
        <v>8503</v>
      </c>
      <c r="C4010">
        <v>2</v>
      </c>
      <c r="D4010" t="s">
        <v>345</v>
      </c>
      <c r="E4010" t="s">
        <v>24</v>
      </c>
    </row>
    <row r="4011" spans="1:9" x14ac:dyDescent="0.3">
      <c r="A4011" t="s">
        <v>8504</v>
      </c>
      <c r="B4011" t="s">
        <v>8505</v>
      </c>
      <c r="C4011">
        <v>1</v>
      </c>
      <c r="D4011" t="s">
        <v>4545</v>
      </c>
      <c r="E4011" t="s">
        <v>193</v>
      </c>
    </row>
    <row r="4012" spans="1:9" x14ac:dyDescent="0.3">
      <c r="A4012" t="s">
        <v>8506</v>
      </c>
      <c r="B4012" t="s">
        <v>8507</v>
      </c>
      <c r="C4012">
        <v>1.5</v>
      </c>
      <c r="D4012" t="s">
        <v>345</v>
      </c>
      <c r="E4012" t="s">
        <v>8508</v>
      </c>
    </row>
    <row r="4013" spans="1:9" x14ac:dyDescent="0.3">
      <c r="A4013" t="s">
        <v>8509</v>
      </c>
      <c r="B4013" t="s">
        <v>8510</v>
      </c>
      <c r="C4013">
        <v>15</v>
      </c>
      <c r="D4013" t="s">
        <v>29</v>
      </c>
      <c r="E4013" t="s">
        <v>3460</v>
      </c>
      <c r="I4013" t="s">
        <v>289</v>
      </c>
    </row>
    <row r="4014" spans="1:9" x14ac:dyDescent="0.3">
      <c r="A4014" t="s">
        <v>8511</v>
      </c>
      <c r="B4014" t="s">
        <v>8512</v>
      </c>
      <c r="C4014">
        <v>0.5</v>
      </c>
      <c r="D4014" t="s">
        <v>23</v>
      </c>
      <c r="E4014" t="s">
        <v>907</v>
      </c>
    </row>
    <row r="4015" spans="1:9" x14ac:dyDescent="0.3">
      <c r="A4015" t="s">
        <v>3155</v>
      </c>
      <c r="B4015" t="s">
        <v>8513</v>
      </c>
      <c r="C4015">
        <v>2</v>
      </c>
      <c r="D4015" t="s">
        <v>835</v>
      </c>
      <c r="E4015" t="s">
        <v>8514</v>
      </c>
    </row>
    <row r="4016" spans="1:9" x14ac:dyDescent="0.3">
      <c r="A4016" t="s">
        <v>658</v>
      </c>
      <c r="B4016" t="s">
        <v>8515</v>
      </c>
      <c r="C4016">
        <v>0.5</v>
      </c>
      <c r="D4016" t="s">
        <v>284</v>
      </c>
      <c r="E4016" t="s">
        <v>8516</v>
      </c>
      <c r="I4016" t="s">
        <v>8517</v>
      </c>
    </row>
    <row r="4017" spans="1:9" x14ac:dyDescent="0.3">
      <c r="A4017" t="s">
        <v>603</v>
      </c>
      <c r="B4017" t="s">
        <v>526</v>
      </c>
      <c r="C4017">
        <v>10.5</v>
      </c>
      <c r="D4017" t="s">
        <v>91</v>
      </c>
      <c r="E4017" t="s">
        <v>281</v>
      </c>
    </row>
    <row r="4018" spans="1:9" x14ac:dyDescent="0.3">
      <c r="A4018" t="s">
        <v>8518</v>
      </c>
      <c r="B4018" t="s">
        <v>7799</v>
      </c>
      <c r="C4018">
        <v>0.5</v>
      </c>
      <c r="D4018" t="s">
        <v>11</v>
      </c>
      <c r="E4018" t="s">
        <v>8181</v>
      </c>
    </row>
    <row r="4019" spans="1:9" x14ac:dyDescent="0.3">
      <c r="A4019" t="s">
        <v>8519</v>
      </c>
      <c r="B4019" t="s">
        <v>3488</v>
      </c>
      <c r="D4019" t="s">
        <v>33</v>
      </c>
      <c r="E4019" t="s">
        <v>1056</v>
      </c>
    </row>
    <row r="4020" spans="1:9" x14ac:dyDescent="0.3">
      <c r="A4020" t="s">
        <v>8502</v>
      </c>
      <c r="B4020" t="s">
        <v>8520</v>
      </c>
      <c r="C4020">
        <v>1</v>
      </c>
      <c r="D4020" t="s">
        <v>246</v>
      </c>
      <c r="E4020" t="s">
        <v>591</v>
      </c>
      <c r="I4020" t="s">
        <v>248</v>
      </c>
    </row>
    <row r="4021" spans="1:9" x14ac:dyDescent="0.3">
      <c r="A4021" t="s">
        <v>8521</v>
      </c>
      <c r="B4021" t="s">
        <v>5529</v>
      </c>
      <c r="C4021">
        <v>0.5</v>
      </c>
      <c r="D4021" t="s">
        <v>23</v>
      </c>
      <c r="E4021" t="s">
        <v>95</v>
      </c>
    </row>
    <row r="4022" spans="1:9" x14ac:dyDescent="0.3">
      <c r="A4022" t="s">
        <v>8522</v>
      </c>
      <c r="B4022" t="s">
        <v>8523</v>
      </c>
      <c r="E4022" t="s">
        <v>8524</v>
      </c>
      <c r="F4022" t="s">
        <v>3326</v>
      </c>
    </row>
    <row r="4023" spans="1:9" x14ac:dyDescent="0.3">
      <c r="A4023" t="s">
        <v>8525</v>
      </c>
      <c r="B4023" t="s">
        <v>1331</v>
      </c>
      <c r="C4023">
        <v>0.5</v>
      </c>
      <c r="D4023" t="s">
        <v>37</v>
      </c>
      <c r="E4023" t="s">
        <v>1332</v>
      </c>
    </row>
    <row r="4024" spans="1:9" x14ac:dyDescent="0.3">
      <c r="A4024" t="s">
        <v>8526</v>
      </c>
      <c r="B4024" t="s">
        <v>8527</v>
      </c>
      <c r="C4024">
        <v>1</v>
      </c>
      <c r="D4024" t="s">
        <v>23</v>
      </c>
      <c r="E4024" t="s">
        <v>6712</v>
      </c>
    </row>
    <row r="4025" spans="1:9" x14ac:dyDescent="0.3">
      <c r="A4025" t="s">
        <v>3825</v>
      </c>
      <c r="B4025" t="s">
        <v>8528</v>
      </c>
      <c r="C4025">
        <v>2</v>
      </c>
      <c r="D4025" t="s">
        <v>189</v>
      </c>
      <c r="E4025" t="s">
        <v>8529</v>
      </c>
      <c r="I4025" t="s">
        <v>8530</v>
      </c>
    </row>
    <row r="4026" spans="1:9" x14ac:dyDescent="0.3">
      <c r="A4026" t="s">
        <v>8531</v>
      </c>
      <c r="B4026" t="s">
        <v>104</v>
      </c>
      <c r="C4026">
        <v>1</v>
      </c>
      <c r="E4026" t="s">
        <v>105</v>
      </c>
    </row>
    <row r="4027" spans="1:9" x14ac:dyDescent="0.3">
      <c r="A4027" t="s">
        <v>8532</v>
      </c>
      <c r="B4027" t="s">
        <v>8533</v>
      </c>
      <c r="C4027">
        <v>4.5</v>
      </c>
      <c r="D4027" t="s">
        <v>23</v>
      </c>
      <c r="E4027" t="s">
        <v>6982</v>
      </c>
    </row>
    <row r="4028" spans="1:9" x14ac:dyDescent="0.3">
      <c r="A4028" t="s">
        <v>8534</v>
      </c>
      <c r="B4028" t="s">
        <v>8535</v>
      </c>
      <c r="C4028">
        <v>1</v>
      </c>
      <c r="D4028" t="s">
        <v>23</v>
      </c>
      <c r="E4028" t="s">
        <v>2602</v>
      </c>
    </row>
    <row r="4029" spans="1:9" x14ac:dyDescent="0.3">
      <c r="A4029" t="s">
        <v>8536</v>
      </c>
      <c r="B4029" t="s">
        <v>8537</v>
      </c>
      <c r="C4029">
        <v>0.75</v>
      </c>
      <c r="D4029" t="s">
        <v>23</v>
      </c>
      <c r="E4029" t="s">
        <v>712</v>
      </c>
    </row>
    <row r="4030" spans="1:9" x14ac:dyDescent="0.3">
      <c r="A4030" t="s">
        <v>8538</v>
      </c>
      <c r="B4030" t="s">
        <v>8539</v>
      </c>
      <c r="C4030">
        <v>1</v>
      </c>
      <c r="D4030" t="s">
        <v>37</v>
      </c>
      <c r="E4030" t="s">
        <v>5105</v>
      </c>
    </row>
    <row r="4031" spans="1:9" x14ac:dyDescent="0.3">
      <c r="A4031" t="s">
        <v>8540</v>
      </c>
      <c r="B4031" t="s">
        <v>8541</v>
      </c>
      <c r="C4031">
        <v>1</v>
      </c>
      <c r="D4031" t="s">
        <v>270</v>
      </c>
      <c r="E4031" t="s">
        <v>8542</v>
      </c>
      <c r="I4031" t="s">
        <v>20</v>
      </c>
    </row>
    <row r="4032" spans="1:9" x14ac:dyDescent="0.3">
      <c r="A4032" t="s">
        <v>8543</v>
      </c>
      <c r="B4032" t="s">
        <v>8544</v>
      </c>
      <c r="C4032">
        <v>6</v>
      </c>
      <c r="D4032" t="s">
        <v>8545</v>
      </c>
      <c r="E4032" t="s">
        <v>8546</v>
      </c>
      <c r="I4032" t="s">
        <v>20</v>
      </c>
    </row>
    <row r="4033" spans="1:9" x14ac:dyDescent="0.3">
      <c r="A4033" t="s">
        <v>8547</v>
      </c>
      <c r="B4033" t="s">
        <v>8548</v>
      </c>
      <c r="C4033">
        <v>2</v>
      </c>
      <c r="D4033" t="s">
        <v>23</v>
      </c>
      <c r="E4033" t="s">
        <v>1476</v>
      </c>
    </row>
    <row r="4034" spans="1:9" x14ac:dyDescent="0.3">
      <c r="A4034" t="s">
        <v>8549</v>
      </c>
      <c r="B4034" t="s">
        <v>8550</v>
      </c>
      <c r="C4034">
        <v>5</v>
      </c>
      <c r="D4034" t="s">
        <v>23</v>
      </c>
      <c r="E4034" t="s">
        <v>8551</v>
      </c>
    </row>
    <row r="4035" spans="1:9" x14ac:dyDescent="0.3">
      <c r="A4035" t="s">
        <v>2401</v>
      </c>
      <c r="B4035" t="s">
        <v>8552</v>
      </c>
      <c r="C4035">
        <v>1</v>
      </c>
      <c r="E4035" t="s">
        <v>8553</v>
      </c>
      <c r="I4035" t="s">
        <v>248</v>
      </c>
    </row>
    <row r="4036" spans="1:9" x14ac:dyDescent="0.3">
      <c r="A4036" t="s">
        <v>8554</v>
      </c>
      <c r="B4036" t="s">
        <v>8555</v>
      </c>
      <c r="C4036">
        <v>2</v>
      </c>
      <c r="D4036" t="s">
        <v>345</v>
      </c>
      <c r="E4036" t="s">
        <v>649</v>
      </c>
    </row>
    <row r="4037" spans="1:9" x14ac:dyDescent="0.3">
      <c r="A4037" t="s">
        <v>8556</v>
      </c>
      <c r="B4037" t="s">
        <v>8557</v>
      </c>
      <c r="C4037">
        <v>3</v>
      </c>
      <c r="D4037" t="s">
        <v>23</v>
      </c>
      <c r="E4037" t="s">
        <v>349</v>
      </c>
    </row>
    <row r="4038" spans="1:9" x14ac:dyDescent="0.3">
      <c r="A4038" t="s">
        <v>8558</v>
      </c>
      <c r="B4038" t="s">
        <v>8559</v>
      </c>
      <c r="C4038">
        <v>0.5</v>
      </c>
      <c r="D4038" t="s">
        <v>23</v>
      </c>
      <c r="E4038" t="s">
        <v>8560</v>
      </c>
    </row>
    <row r="4039" spans="1:9" x14ac:dyDescent="0.3">
      <c r="A4039" t="s">
        <v>8561</v>
      </c>
      <c r="B4039" t="s">
        <v>8562</v>
      </c>
      <c r="C4039">
        <v>0.75</v>
      </c>
      <c r="D4039" t="s">
        <v>23</v>
      </c>
      <c r="E4039" t="s">
        <v>4337</v>
      </c>
    </row>
    <row r="4040" spans="1:9" x14ac:dyDescent="0.3">
      <c r="A4040" t="s">
        <v>2398</v>
      </c>
      <c r="B4040" t="s">
        <v>8563</v>
      </c>
      <c r="C4040">
        <v>0.5</v>
      </c>
      <c r="D4040" t="s">
        <v>23</v>
      </c>
      <c r="E4040" t="s">
        <v>8564</v>
      </c>
    </row>
    <row r="4041" spans="1:9" x14ac:dyDescent="0.3">
      <c r="A4041" t="s">
        <v>8565</v>
      </c>
      <c r="B4041" t="s">
        <v>8566</v>
      </c>
      <c r="C4041">
        <v>2</v>
      </c>
      <c r="D4041" t="s">
        <v>189</v>
      </c>
      <c r="E4041" t="s">
        <v>8567</v>
      </c>
    </row>
    <row r="4042" spans="1:9" x14ac:dyDescent="0.3">
      <c r="A4042" t="s">
        <v>8568</v>
      </c>
      <c r="B4042" t="s">
        <v>2137</v>
      </c>
      <c r="E4042" t="s">
        <v>2138</v>
      </c>
      <c r="I4042" t="s">
        <v>65</v>
      </c>
    </row>
    <row r="4043" spans="1:9" x14ac:dyDescent="0.3">
      <c r="A4043" t="s">
        <v>8569</v>
      </c>
      <c r="B4043" t="s">
        <v>5649</v>
      </c>
      <c r="C4043">
        <v>70</v>
      </c>
      <c r="D4043" t="s">
        <v>29</v>
      </c>
      <c r="E4043" t="s">
        <v>738</v>
      </c>
    </row>
    <row r="4044" spans="1:9" x14ac:dyDescent="0.3">
      <c r="A4044" t="s">
        <v>8570</v>
      </c>
      <c r="B4044" t="s">
        <v>8571</v>
      </c>
      <c r="C4044">
        <v>1</v>
      </c>
      <c r="D4044" t="s">
        <v>585</v>
      </c>
      <c r="E4044" t="s">
        <v>8572</v>
      </c>
      <c r="I4044" t="s">
        <v>248</v>
      </c>
    </row>
    <row r="4045" spans="1:9" x14ac:dyDescent="0.3">
      <c r="A4045" t="s">
        <v>8573</v>
      </c>
      <c r="B4045" t="s">
        <v>8574</v>
      </c>
      <c r="C4045">
        <v>2</v>
      </c>
      <c r="D4045" t="s">
        <v>91</v>
      </c>
      <c r="E4045" t="s">
        <v>8575</v>
      </c>
      <c r="I4045" t="s">
        <v>8576</v>
      </c>
    </row>
    <row r="4046" spans="1:9" x14ac:dyDescent="0.3">
      <c r="A4046" t="s">
        <v>8577</v>
      </c>
      <c r="B4046" t="s">
        <v>3554</v>
      </c>
      <c r="C4046">
        <v>0.5</v>
      </c>
      <c r="D4046" t="s">
        <v>23</v>
      </c>
      <c r="E4046" t="s">
        <v>160</v>
      </c>
      <c r="G4046" t="s">
        <v>68</v>
      </c>
    </row>
    <row r="4047" spans="1:9" x14ac:dyDescent="0.3">
      <c r="A4047" t="s">
        <v>8578</v>
      </c>
      <c r="B4047" t="s">
        <v>8579</v>
      </c>
      <c r="C4047">
        <v>0.25</v>
      </c>
      <c r="D4047" t="s">
        <v>37</v>
      </c>
      <c r="E4047" t="s">
        <v>8580</v>
      </c>
      <c r="I4047" t="s">
        <v>8581</v>
      </c>
    </row>
    <row r="4048" spans="1:9" x14ac:dyDescent="0.3">
      <c r="A4048" t="s">
        <v>8582</v>
      </c>
      <c r="B4048" t="s">
        <v>8583</v>
      </c>
      <c r="C4048">
        <v>4</v>
      </c>
      <c r="E4048" t="s">
        <v>8584</v>
      </c>
      <c r="I4048" t="s">
        <v>8585</v>
      </c>
    </row>
    <row r="4049" spans="1:9" x14ac:dyDescent="0.3">
      <c r="A4049" t="s">
        <v>8586</v>
      </c>
      <c r="B4049" t="s">
        <v>3628</v>
      </c>
      <c r="C4049">
        <v>0.5</v>
      </c>
      <c r="D4049" t="s">
        <v>23</v>
      </c>
      <c r="E4049" t="s">
        <v>328</v>
      </c>
    </row>
    <row r="4050" spans="1:9" x14ac:dyDescent="0.3">
      <c r="A4050" t="s">
        <v>3258</v>
      </c>
      <c r="B4050" t="s">
        <v>770</v>
      </c>
      <c r="C4050">
        <v>2</v>
      </c>
      <c r="D4050" t="s">
        <v>23</v>
      </c>
      <c r="E4050" t="s">
        <v>771</v>
      </c>
    </row>
    <row r="4051" spans="1:9" x14ac:dyDescent="0.3">
      <c r="A4051" t="s">
        <v>8587</v>
      </c>
      <c r="B4051" t="s">
        <v>8588</v>
      </c>
      <c r="C4051">
        <v>0.75</v>
      </c>
      <c r="D4051" t="s">
        <v>23</v>
      </c>
      <c r="E4051" t="s">
        <v>265</v>
      </c>
    </row>
    <row r="4052" spans="1:9" x14ac:dyDescent="0.3">
      <c r="A4052" t="s">
        <v>8589</v>
      </c>
      <c r="B4052" t="s">
        <v>8590</v>
      </c>
      <c r="C4052">
        <v>0.5</v>
      </c>
      <c r="D4052" t="s">
        <v>11</v>
      </c>
      <c r="E4052" t="s">
        <v>716</v>
      </c>
    </row>
    <row r="4053" spans="1:9" x14ac:dyDescent="0.3">
      <c r="A4053" t="s">
        <v>161</v>
      </c>
      <c r="B4053" t="s">
        <v>8591</v>
      </c>
      <c r="C4053">
        <v>2</v>
      </c>
      <c r="D4053" t="s">
        <v>686</v>
      </c>
      <c r="E4053" t="s">
        <v>741</v>
      </c>
    </row>
    <row r="4054" spans="1:9" x14ac:dyDescent="0.3">
      <c r="A4054" t="s">
        <v>3199</v>
      </c>
      <c r="B4054" t="s">
        <v>8592</v>
      </c>
      <c r="C4054">
        <v>3</v>
      </c>
      <c r="D4054" t="s">
        <v>189</v>
      </c>
      <c r="E4054" t="s">
        <v>8593</v>
      </c>
      <c r="I4054" t="s">
        <v>8594</v>
      </c>
    </row>
    <row r="4055" spans="1:9" x14ac:dyDescent="0.3">
      <c r="A4055" t="s">
        <v>8595</v>
      </c>
      <c r="B4055" t="s">
        <v>8596</v>
      </c>
      <c r="E4055" t="s">
        <v>547</v>
      </c>
      <c r="I4055" t="s">
        <v>1146</v>
      </c>
    </row>
    <row r="4056" spans="1:9" x14ac:dyDescent="0.3">
      <c r="A4056" t="s">
        <v>8597</v>
      </c>
      <c r="B4056" t="s">
        <v>7193</v>
      </c>
      <c r="C4056">
        <v>2</v>
      </c>
      <c r="D4056" t="s">
        <v>189</v>
      </c>
      <c r="E4056" t="s">
        <v>1043</v>
      </c>
    </row>
    <row r="4057" spans="1:9" x14ac:dyDescent="0.3">
      <c r="A4057" t="s">
        <v>8598</v>
      </c>
      <c r="B4057" t="s">
        <v>8599</v>
      </c>
      <c r="C4057">
        <v>12.5</v>
      </c>
      <c r="D4057" t="s">
        <v>29</v>
      </c>
      <c r="E4057" t="s">
        <v>947</v>
      </c>
    </row>
    <row r="4058" spans="1:9" x14ac:dyDescent="0.3">
      <c r="A4058" t="s">
        <v>1677</v>
      </c>
      <c r="B4058" t="s">
        <v>8600</v>
      </c>
      <c r="C4058">
        <v>4</v>
      </c>
      <c r="D4058" t="s">
        <v>23</v>
      </c>
      <c r="E4058" t="s">
        <v>8601</v>
      </c>
    </row>
    <row r="4059" spans="1:9" x14ac:dyDescent="0.3">
      <c r="A4059" t="s">
        <v>8602</v>
      </c>
      <c r="B4059" t="s">
        <v>4919</v>
      </c>
      <c r="C4059">
        <v>0.5</v>
      </c>
      <c r="D4059" t="s">
        <v>23</v>
      </c>
      <c r="E4059" t="s">
        <v>30</v>
      </c>
    </row>
    <row r="4060" spans="1:9" x14ac:dyDescent="0.3">
      <c r="A4060" t="s">
        <v>8603</v>
      </c>
      <c r="B4060" t="s">
        <v>333</v>
      </c>
      <c r="E4060" t="s">
        <v>333</v>
      </c>
    </row>
    <row r="4061" spans="1:9" x14ac:dyDescent="0.3">
      <c r="A4061" t="s">
        <v>1012</v>
      </c>
      <c r="B4061" t="s">
        <v>8604</v>
      </c>
      <c r="C4061">
        <v>1</v>
      </c>
      <c r="D4061" t="s">
        <v>23</v>
      </c>
      <c r="E4061" t="s">
        <v>8605</v>
      </c>
    </row>
    <row r="4062" spans="1:9" x14ac:dyDescent="0.3">
      <c r="A4062" t="s">
        <v>8606</v>
      </c>
      <c r="B4062" t="s">
        <v>5048</v>
      </c>
      <c r="C4062">
        <v>2</v>
      </c>
      <c r="D4062" t="s">
        <v>23</v>
      </c>
      <c r="E4062" t="s">
        <v>355</v>
      </c>
    </row>
    <row r="4063" spans="1:9" x14ac:dyDescent="0.3">
      <c r="A4063" t="s">
        <v>7140</v>
      </c>
      <c r="B4063" t="s">
        <v>8607</v>
      </c>
      <c r="C4063">
        <v>25</v>
      </c>
      <c r="D4063" t="s">
        <v>23</v>
      </c>
      <c r="E4063" t="s">
        <v>8608</v>
      </c>
    </row>
    <row r="4064" spans="1:9" x14ac:dyDescent="0.3">
      <c r="A4064" t="s">
        <v>1273</v>
      </c>
      <c r="B4064" t="s">
        <v>8609</v>
      </c>
      <c r="C4064">
        <v>37.5</v>
      </c>
      <c r="D4064" t="s">
        <v>29</v>
      </c>
      <c r="E4064" t="s">
        <v>281</v>
      </c>
    </row>
    <row r="4065" spans="1:9" x14ac:dyDescent="0.3">
      <c r="A4065" t="s">
        <v>8610</v>
      </c>
      <c r="B4065" t="s">
        <v>597</v>
      </c>
      <c r="E4065" t="s">
        <v>597</v>
      </c>
    </row>
    <row r="4066" spans="1:9" x14ac:dyDescent="0.3">
      <c r="A4066" t="s">
        <v>8611</v>
      </c>
      <c r="B4066" t="s">
        <v>3247</v>
      </c>
      <c r="C4066">
        <v>1</v>
      </c>
      <c r="D4066" t="s">
        <v>23</v>
      </c>
      <c r="E4066" t="s">
        <v>1506</v>
      </c>
    </row>
    <row r="4067" spans="1:9" x14ac:dyDescent="0.3">
      <c r="A4067" t="s">
        <v>8127</v>
      </c>
      <c r="B4067" t="s">
        <v>8612</v>
      </c>
      <c r="C4067">
        <v>1</v>
      </c>
      <c r="D4067" t="s">
        <v>23</v>
      </c>
      <c r="E4067" t="s">
        <v>1003</v>
      </c>
      <c r="I4067" t="s">
        <v>8613</v>
      </c>
    </row>
    <row r="4068" spans="1:9" x14ac:dyDescent="0.3">
      <c r="A4068" t="s">
        <v>5812</v>
      </c>
      <c r="B4068" t="s">
        <v>8614</v>
      </c>
      <c r="C4068">
        <v>2</v>
      </c>
      <c r="D4068" t="s">
        <v>120</v>
      </c>
      <c r="E4068" t="s">
        <v>8615</v>
      </c>
    </row>
    <row r="4069" spans="1:9" x14ac:dyDescent="0.3">
      <c r="A4069" t="s">
        <v>5799</v>
      </c>
      <c r="B4069" t="s">
        <v>1777</v>
      </c>
      <c r="C4069">
        <v>25</v>
      </c>
      <c r="D4069" t="s">
        <v>29</v>
      </c>
      <c r="E4069" t="s">
        <v>38</v>
      </c>
      <c r="G4069" t="s">
        <v>814</v>
      </c>
    </row>
    <row r="4070" spans="1:9" x14ac:dyDescent="0.3">
      <c r="A4070" t="s">
        <v>8616</v>
      </c>
      <c r="B4070" t="s">
        <v>674</v>
      </c>
      <c r="C4070">
        <v>0.5</v>
      </c>
      <c r="D4070" t="s">
        <v>23</v>
      </c>
      <c r="E4070" t="s">
        <v>38</v>
      </c>
      <c r="G4070" t="s">
        <v>68</v>
      </c>
    </row>
    <row r="4071" spans="1:9" x14ac:dyDescent="0.3">
      <c r="A4071" t="s">
        <v>8617</v>
      </c>
      <c r="B4071" t="s">
        <v>8618</v>
      </c>
      <c r="C4071">
        <v>1</v>
      </c>
      <c r="D4071" t="s">
        <v>460</v>
      </c>
      <c r="E4071" t="s">
        <v>374</v>
      </c>
    </row>
    <row r="4072" spans="1:9" x14ac:dyDescent="0.3">
      <c r="A4072" t="s">
        <v>8619</v>
      </c>
      <c r="B4072" t="s">
        <v>3057</v>
      </c>
      <c r="C4072">
        <v>8</v>
      </c>
      <c r="D4072" t="s">
        <v>23</v>
      </c>
      <c r="E4072" t="s">
        <v>581</v>
      </c>
      <c r="H4072" t="s">
        <v>3058</v>
      </c>
    </row>
    <row r="4073" spans="1:9" x14ac:dyDescent="0.3">
      <c r="A4073" t="s">
        <v>8620</v>
      </c>
      <c r="B4073" t="s">
        <v>810</v>
      </c>
      <c r="E4073" t="s">
        <v>810</v>
      </c>
    </row>
    <row r="4074" spans="1:9" x14ac:dyDescent="0.3">
      <c r="A4074" t="s">
        <v>8621</v>
      </c>
      <c r="B4074" t="s">
        <v>8622</v>
      </c>
      <c r="C4074">
        <v>1</v>
      </c>
      <c r="E4074" t="s">
        <v>8623</v>
      </c>
      <c r="I4074" t="s">
        <v>248</v>
      </c>
    </row>
    <row r="4075" spans="1:9" x14ac:dyDescent="0.3">
      <c r="A4075" t="s">
        <v>8624</v>
      </c>
      <c r="B4075" t="s">
        <v>8625</v>
      </c>
      <c r="C4075">
        <v>2</v>
      </c>
      <c r="D4075" t="s">
        <v>23</v>
      </c>
      <c r="E4075" t="s">
        <v>8425</v>
      </c>
    </row>
    <row r="4076" spans="1:9" x14ac:dyDescent="0.3">
      <c r="A4076" t="s">
        <v>1540</v>
      </c>
      <c r="B4076" t="s">
        <v>8626</v>
      </c>
      <c r="C4076">
        <v>1</v>
      </c>
      <c r="D4076" t="s">
        <v>2646</v>
      </c>
      <c r="E4076" t="s">
        <v>1204</v>
      </c>
    </row>
    <row r="4077" spans="1:9" x14ac:dyDescent="0.3">
      <c r="A4077" t="s">
        <v>1358</v>
      </c>
      <c r="B4077" t="s">
        <v>8627</v>
      </c>
      <c r="D4077" t="s">
        <v>435</v>
      </c>
      <c r="E4077" t="s">
        <v>6061</v>
      </c>
    </row>
    <row r="4078" spans="1:9" x14ac:dyDescent="0.3">
      <c r="A4078" t="s">
        <v>8628</v>
      </c>
      <c r="B4078" t="s">
        <v>5323</v>
      </c>
      <c r="C4078">
        <v>1</v>
      </c>
      <c r="D4078" t="s">
        <v>1785</v>
      </c>
      <c r="E4078" t="s">
        <v>365</v>
      </c>
    </row>
    <row r="4079" spans="1:9" x14ac:dyDescent="0.3">
      <c r="A4079" t="s">
        <v>8629</v>
      </c>
      <c r="B4079" t="s">
        <v>8630</v>
      </c>
      <c r="C4079">
        <v>1</v>
      </c>
      <c r="D4079" t="s">
        <v>11</v>
      </c>
      <c r="E4079" t="s">
        <v>8193</v>
      </c>
    </row>
    <row r="4080" spans="1:9" x14ac:dyDescent="0.3">
      <c r="A4080" t="s">
        <v>8631</v>
      </c>
      <c r="B4080" t="s">
        <v>1056</v>
      </c>
      <c r="E4080" t="s">
        <v>1056</v>
      </c>
    </row>
    <row r="4081" spans="1:9" x14ac:dyDescent="0.3">
      <c r="A4081" t="s">
        <v>8632</v>
      </c>
      <c r="B4081" t="s">
        <v>6214</v>
      </c>
      <c r="C4081">
        <v>1</v>
      </c>
      <c r="D4081" t="s">
        <v>284</v>
      </c>
      <c r="E4081" t="s">
        <v>413</v>
      </c>
      <c r="F4081" t="s">
        <v>1571</v>
      </c>
      <c r="I4081" t="s">
        <v>4067</v>
      </c>
    </row>
    <row r="4082" spans="1:9" x14ac:dyDescent="0.3">
      <c r="A4082" t="s">
        <v>8633</v>
      </c>
      <c r="B4082" t="s">
        <v>8634</v>
      </c>
      <c r="C4082">
        <v>0.5</v>
      </c>
      <c r="D4082" t="s">
        <v>23</v>
      </c>
      <c r="E4082" t="s">
        <v>6948</v>
      </c>
    </row>
    <row r="4083" spans="1:9" x14ac:dyDescent="0.3">
      <c r="A4083" t="s">
        <v>8635</v>
      </c>
      <c r="B4083" t="s">
        <v>8636</v>
      </c>
      <c r="C4083">
        <v>6</v>
      </c>
      <c r="D4083" t="s">
        <v>23</v>
      </c>
      <c r="E4083" t="s">
        <v>2138</v>
      </c>
    </row>
    <row r="4084" spans="1:9" x14ac:dyDescent="0.3">
      <c r="A4084" t="s">
        <v>8637</v>
      </c>
      <c r="B4084" t="s">
        <v>8638</v>
      </c>
      <c r="C4084">
        <v>0.25</v>
      </c>
      <c r="D4084" t="s">
        <v>23</v>
      </c>
      <c r="E4084" t="s">
        <v>1715</v>
      </c>
    </row>
    <row r="4085" spans="1:9" x14ac:dyDescent="0.3">
      <c r="A4085" t="s">
        <v>4674</v>
      </c>
      <c r="B4085" t="s">
        <v>5400</v>
      </c>
      <c r="C4085">
        <v>12.5</v>
      </c>
      <c r="D4085" t="s">
        <v>29</v>
      </c>
      <c r="E4085" t="s">
        <v>587</v>
      </c>
    </row>
    <row r="4086" spans="1:9" x14ac:dyDescent="0.3">
      <c r="A4086" t="s">
        <v>8639</v>
      </c>
      <c r="B4086" t="s">
        <v>8640</v>
      </c>
      <c r="C4086">
        <v>0.75</v>
      </c>
      <c r="D4086" t="s">
        <v>23</v>
      </c>
      <c r="E4086" t="s">
        <v>8641</v>
      </c>
    </row>
    <row r="4087" spans="1:9" x14ac:dyDescent="0.3">
      <c r="A4087" t="s">
        <v>5882</v>
      </c>
      <c r="B4087" t="s">
        <v>8642</v>
      </c>
      <c r="C4087">
        <v>1</v>
      </c>
      <c r="E4087" t="s">
        <v>8643</v>
      </c>
      <c r="I4087" t="s">
        <v>2932</v>
      </c>
    </row>
    <row r="4088" spans="1:9" x14ac:dyDescent="0.3">
      <c r="A4088" t="s">
        <v>5902</v>
      </c>
      <c r="B4088" t="s">
        <v>8644</v>
      </c>
      <c r="C4088">
        <v>1.5</v>
      </c>
      <c r="D4088" t="s">
        <v>345</v>
      </c>
      <c r="E4088" t="s">
        <v>8645</v>
      </c>
    </row>
    <row r="4089" spans="1:9" x14ac:dyDescent="0.3">
      <c r="A4089" t="s">
        <v>8646</v>
      </c>
      <c r="B4089" t="s">
        <v>8647</v>
      </c>
      <c r="C4089">
        <v>1</v>
      </c>
      <c r="E4089" t="s">
        <v>8648</v>
      </c>
      <c r="I4089" t="s">
        <v>2932</v>
      </c>
    </row>
    <row r="4090" spans="1:9" x14ac:dyDescent="0.3">
      <c r="A4090" t="s">
        <v>8649</v>
      </c>
      <c r="B4090" t="s">
        <v>6760</v>
      </c>
      <c r="C4090">
        <v>1.5</v>
      </c>
      <c r="D4090" t="s">
        <v>23</v>
      </c>
      <c r="E4090" t="s">
        <v>1506</v>
      </c>
    </row>
    <row r="4091" spans="1:9" x14ac:dyDescent="0.3">
      <c r="A4091" t="s">
        <v>2278</v>
      </c>
      <c r="B4091" t="s">
        <v>8650</v>
      </c>
      <c r="C4091">
        <v>0.25</v>
      </c>
      <c r="D4091" t="s">
        <v>11</v>
      </c>
      <c r="E4091" t="s">
        <v>1993</v>
      </c>
    </row>
    <row r="4092" spans="1:9" x14ac:dyDescent="0.3">
      <c r="A4092" t="s">
        <v>8651</v>
      </c>
      <c r="B4092" t="s">
        <v>8652</v>
      </c>
      <c r="C4092">
        <v>1</v>
      </c>
      <c r="D4092" t="s">
        <v>37</v>
      </c>
      <c r="E4092" t="s">
        <v>8653</v>
      </c>
      <c r="I4092" t="s">
        <v>8654</v>
      </c>
    </row>
    <row r="4093" spans="1:9" x14ac:dyDescent="0.3">
      <c r="A4093" t="s">
        <v>8022</v>
      </c>
      <c r="B4093" t="s">
        <v>2138</v>
      </c>
      <c r="E4093" t="s">
        <v>2138</v>
      </c>
    </row>
    <row r="4094" spans="1:9" x14ac:dyDescent="0.3">
      <c r="A4094" t="s">
        <v>519</v>
      </c>
      <c r="B4094" t="s">
        <v>1838</v>
      </c>
      <c r="C4094">
        <v>1.5</v>
      </c>
      <c r="D4094" t="s">
        <v>345</v>
      </c>
      <c r="E4094" t="s">
        <v>41</v>
      </c>
    </row>
    <row r="4095" spans="1:9" x14ac:dyDescent="0.3">
      <c r="A4095" t="s">
        <v>8655</v>
      </c>
      <c r="B4095" t="s">
        <v>8656</v>
      </c>
      <c r="C4095">
        <v>1</v>
      </c>
      <c r="D4095" t="s">
        <v>37</v>
      </c>
      <c r="E4095" t="s">
        <v>81</v>
      </c>
    </row>
    <row r="4096" spans="1:9" x14ac:dyDescent="0.3">
      <c r="A4096" t="s">
        <v>8657</v>
      </c>
      <c r="B4096" t="s">
        <v>8658</v>
      </c>
      <c r="C4096">
        <v>2</v>
      </c>
      <c r="D4096" t="s">
        <v>345</v>
      </c>
      <c r="E4096" t="s">
        <v>38</v>
      </c>
    </row>
    <row r="4097" spans="1:9" x14ac:dyDescent="0.3">
      <c r="A4097" t="s">
        <v>8659</v>
      </c>
      <c r="B4097" t="s">
        <v>8660</v>
      </c>
      <c r="C4097">
        <v>0.5</v>
      </c>
      <c r="D4097" t="s">
        <v>37</v>
      </c>
      <c r="E4097" t="s">
        <v>741</v>
      </c>
      <c r="F4097" t="s">
        <v>167</v>
      </c>
      <c r="G4097" t="s">
        <v>168</v>
      </c>
      <c r="I4097" t="s">
        <v>325</v>
      </c>
    </row>
    <row r="4098" spans="1:9" x14ac:dyDescent="0.3">
      <c r="A4098" t="s">
        <v>2791</v>
      </c>
      <c r="B4098" t="s">
        <v>5723</v>
      </c>
      <c r="C4098">
        <v>1</v>
      </c>
      <c r="D4098" t="s">
        <v>18</v>
      </c>
      <c r="E4098" t="s">
        <v>2214</v>
      </c>
    </row>
    <row r="4099" spans="1:9" x14ac:dyDescent="0.3">
      <c r="A4099" t="s">
        <v>8661</v>
      </c>
      <c r="B4099" t="s">
        <v>8662</v>
      </c>
      <c r="C4099">
        <v>0.25</v>
      </c>
      <c r="D4099" t="s">
        <v>37</v>
      </c>
      <c r="E4099" t="s">
        <v>741</v>
      </c>
      <c r="F4099" t="s">
        <v>167</v>
      </c>
      <c r="G4099" t="s">
        <v>168</v>
      </c>
      <c r="I4099" t="s">
        <v>325</v>
      </c>
    </row>
    <row r="4100" spans="1:9" x14ac:dyDescent="0.3">
      <c r="A4100" t="s">
        <v>8663</v>
      </c>
      <c r="B4100" t="s">
        <v>773</v>
      </c>
      <c r="C4100">
        <v>1</v>
      </c>
      <c r="D4100" t="s">
        <v>11</v>
      </c>
      <c r="E4100" t="s">
        <v>88</v>
      </c>
    </row>
    <row r="4101" spans="1:9" x14ac:dyDescent="0.3">
      <c r="A4101" t="s">
        <v>8664</v>
      </c>
      <c r="B4101" t="s">
        <v>4394</v>
      </c>
      <c r="C4101">
        <v>1</v>
      </c>
      <c r="D4101" t="s">
        <v>23</v>
      </c>
      <c r="E4101" t="s">
        <v>355</v>
      </c>
    </row>
    <row r="4102" spans="1:9" x14ac:dyDescent="0.3">
      <c r="A4102" t="s">
        <v>8665</v>
      </c>
      <c r="B4102" t="s">
        <v>8666</v>
      </c>
      <c r="C4102">
        <v>20</v>
      </c>
      <c r="D4102" t="s">
        <v>1998</v>
      </c>
      <c r="E4102" t="s">
        <v>8667</v>
      </c>
    </row>
    <row r="4103" spans="1:9" x14ac:dyDescent="0.3">
      <c r="A4103" t="s">
        <v>8668</v>
      </c>
      <c r="B4103" t="s">
        <v>8669</v>
      </c>
      <c r="C4103">
        <v>4.5</v>
      </c>
      <c r="D4103" t="s">
        <v>345</v>
      </c>
      <c r="E4103" t="s">
        <v>8670</v>
      </c>
    </row>
    <row r="4104" spans="1:9" x14ac:dyDescent="0.3">
      <c r="A4104" t="s">
        <v>8671</v>
      </c>
      <c r="B4104" t="s">
        <v>8672</v>
      </c>
      <c r="C4104">
        <v>1</v>
      </c>
      <c r="E4104" t="s">
        <v>8673</v>
      </c>
      <c r="G4104" t="s">
        <v>68</v>
      </c>
    </row>
    <row r="4105" spans="1:9" x14ac:dyDescent="0.3">
      <c r="A4105" t="s">
        <v>8674</v>
      </c>
      <c r="B4105" t="s">
        <v>388</v>
      </c>
      <c r="C4105">
        <v>0.5</v>
      </c>
      <c r="D4105" t="s">
        <v>23</v>
      </c>
      <c r="E4105" t="s">
        <v>331</v>
      </c>
    </row>
    <row r="4106" spans="1:9" x14ac:dyDescent="0.3">
      <c r="A4106" t="s">
        <v>8675</v>
      </c>
      <c r="B4106" t="s">
        <v>8676</v>
      </c>
      <c r="C4106">
        <v>1</v>
      </c>
      <c r="D4106" t="s">
        <v>37</v>
      </c>
      <c r="E4106" t="s">
        <v>38</v>
      </c>
      <c r="I4106" t="s">
        <v>8677</v>
      </c>
    </row>
    <row r="4107" spans="1:9" x14ac:dyDescent="0.3">
      <c r="A4107" t="s">
        <v>8678</v>
      </c>
      <c r="B4107" t="s">
        <v>8679</v>
      </c>
      <c r="C4107">
        <v>750</v>
      </c>
      <c r="D4107" t="s">
        <v>29</v>
      </c>
      <c r="E4107" t="s">
        <v>8680</v>
      </c>
      <c r="F4107" t="s">
        <v>8681</v>
      </c>
      <c r="I4107" t="s">
        <v>2356</v>
      </c>
    </row>
    <row r="4108" spans="1:9" x14ac:dyDescent="0.3">
      <c r="A4108" t="s">
        <v>1899</v>
      </c>
      <c r="B4108" t="s">
        <v>2376</v>
      </c>
      <c r="E4108" t="s">
        <v>2376</v>
      </c>
    </row>
    <row r="4109" spans="1:9" x14ac:dyDescent="0.3">
      <c r="A4109" t="s">
        <v>8682</v>
      </c>
      <c r="B4109" t="s">
        <v>2697</v>
      </c>
      <c r="C4109">
        <v>1</v>
      </c>
      <c r="D4109" t="s">
        <v>60</v>
      </c>
      <c r="E4109" t="s">
        <v>331</v>
      </c>
    </row>
    <row r="4110" spans="1:9" x14ac:dyDescent="0.3">
      <c r="A4110" t="s">
        <v>2419</v>
      </c>
      <c r="B4110" t="s">
        <v>8683</v>
      </c>
      <c r="E4110" t="s">
        <v>8684</v>
      </c>
      <c r="I4110" t="s">
        <v>8685</v>
      </c>
    </row>
    <row r="4111" spans="1:9" x14ac:dyDescent="0.3">
      <c r="A4111" t="s">
        <v>8686</v>
      </c>
      <c r="B4111" t="s">
        <v>8687</v>
      </c>
      <c r="E4111" t="s">
        <v>8688</v>
      </c>
      <c r="I4111" t="s">
        <v>8689</v>
      </c>
    </row>
    <row r="4112" spans="1:9" x14ac:dyDescent="0.3">
      <c r="A4112" t="s">
        <v>8690</v>
      </c>
      <c r="B4112" t="s">
        <v>8691</v>
      </c>
      <c r="E4112" t="s">
        <v>8692</v>
      </c>
      <c r="I4112" t="s">
        <v>8693</v>
      </c>
    </row>
    <row r="4113" spans="1:9" x14ac:dyDescent="0.3">
      <c r="A4113" t="s">
        <v>1529</v>
      </c>
      <c r="B4113" t="s">
        <v>8694</v>
      </c>
      <c r="E4113" t="s">
        <v>8695</v>
      </c>
      <c r="I4113" t="s">
        <v>8696</v>
      </c>
    </row>
    <row r="4114" spans="1:9" x14ac:dyDescent="0.3">
      <c r="A4114" t="s">
        <v>8697</v>
      </c>
      <c r="B4114" t="s">
        <v>8698</v>
      </c>
      <c r="C4114">
        <v>0.75</v>
      </c>
      <c r="D4114" t="s">
        <v>37</v>
      </c>
      <c r="E4114" t="s">
        <v>8699</v>
      </c>
      <c r="I4114" t="s">
        <v>2028</v>
      </c>
    </row>
    <row r="4115" spans="1:9" x14ac:dyDescent="0.3">
      <c r="A4115" t="s">
        <v>4693</v>
      </c>
      <c r="B4115" t="s">
        <v>8700</v>
      </c>
      <c r="C4115">
        <v>0.33</v>
      </c>
      <c r="E4115" t="s">
        <v>6988</v>
      </c>
    </row>
    <row r="4116" spans="1:9" x14ac:dyDescent="0.3">
      <c r="A4116" t="s">
        <v>643</v>
      </c>
      <c r="B4116" t="s">
        <v>8701</v>
      </c>
      <c r="C4116">
        <v>3</v>
      </c>
      <c r="D4116" t="s">
        <v>23</v>
      </c>
      <c r="E4116" t="s">
        <v>1332</v>
      </c>
      <c r="I4116" t="s">
        <v>289</v>
      </c>
    </row>
    <row r="4117" spans="1:9" x14ac:dyDescent="0.3">
      <c r="A4117" t="s">
        <v>1749</v>
      </c>
      <c r="B4117" t="s">
        <v>8702</v>
      </c>
      <c r="C4117">
        <v>0.75</v>
      </c>
      <c r="D4117" t="s">
        <v>37</v>
      </c>
      <c r="E4117" t="s">
        <v>657</v>
      </c>
      <c r="I4117" t="s">
        <v>8703</v>
      </c>
    </row>
    <row r="4118" spans="1:9" x14ac:dyDescent="0.3">
      <c r="A4118" t="s">
        <v>2037</v>
      </c>
      <c r="B4118" t="s">
        <v>8704</v>
      </c>
      <c r="C4118">
        <v>0.5</v>
      </c>
      <c r="D4118" t="s">
        <v>23</v>
      </c>
      <c r="E4118" t="s">
        <v>1709</v>
      </c>
    </row>
    <row r="4119" spans="1:9" x14ac:dyDescent="0.3">
      <c r="A4119" t="s">
        <v>8705</v>
      </c>
      <c r="B4119" t="s">
        <v>8706</v>
      </c>
      <c r="C4119">
        <v>3</v>
      </c>
      <c r="D4119" t="s">
        <v>345</v>
      </c>
      <c r="E4119" t="s">
        <v>8707</v>
      </c>
      <c r="I4119" t="s">
        <v>8708</v>
      </c>
    </row>
    <row r="4120" spans="1:9" x14ac:dyDescent="0.3">
      <c r="A4120" t="s">
        <v>8709</v>
      </c>
      <c r="B4120" t="s">
        <v>1737</v>
      </c>
      <c r="C4120">
        <v>2</v>
      </c>
      <c r="D4120" t="s">
        <v>23</v>
      </c>
      <c r="E4120" t="s">
        <v>320</v>
      </c>
    </row>
    <row r="4121" spans="1:9" x14ac:dyDescent="0.3">
      <c r="A4121" t="s">
        <v>8710</v>
      </c>
      <c r="B4121" t="s">
        <v>1811</v>
      </c>
      <c r="C4121">
        <v>1</v>
      </c>
      <c r="D4121" t="s">
        <v>612</v>
      </c>
      <c r="E4121" t="s">
        <v>1812</v>
      </c>
      <c r="F4121" t="s">
        <v>1813</v>
      </c>
    </row>
    <row r="4122" spans="1:9" x14ac:dyDescent="0.3">
      <c r="A4122" t="s">
        <v>3825</v>
      </c>
      <c r="B4122" t="s">
        <v>8500</v>
      </c>
      <c r="C4122">
        <v>1</v>
      </c>
      <c r="D4122" t="s">
        <v>18</v>
      </c>
      <c r="E4122" t="s">
        <v>8711</v>
      </c>
      <c r="I4122" t="s">
        <v>20</v>
      </c>
    </row>
    <row r="4123" spans="1:9" x14ac:dyDescent="0.3">
      <c r="A4123" t="s">
        <v>8712</v>
      </c>
      <c r="B4123" t="s">
        <v>7746</v>
      </c>
      <c r="C4123">
        <v>1</v>
      </c>
      <c r="D4123" t="s">
        <v>37</v>
      </c>
      <c r="E4123" t="s">
        <v>1009</v>
      </c>
    </row>
    <row r="4124" spans="1:9" x14ac:dyDescent="0.3">
      <c r="A4124" t="s">
        <v>8713</v>
      </c>
      <c r="B4124" t="s">
        <v>8714</v>
      </c>
      <c r="C4124">
        <v>1</v>
      </c>
      <c r="D4124" t="s">
        <v>2826</v>
      </c>
      <c r="E4124" t="s">
        <v>2424</v>
      </c>
    </row>
    <row r="4125" spans="1:9" x14ac:dyDescent="0.3">
      <c r="A4125" t="s">
        <v>2357</v>
      </c>
      <c r="B4125" t="s">
        <v>2787</v>
      </c>
      <c r="C4125">
        <v>0.5</v>
      </c>
      <c r="D4125" t="s">
        <v>23</v>
      </c>
      <c r="E4125" t="s">
        <v>2211</v>
      </c>
    </row>
    <row r="4126" spans="1:9" x14ac:dyDescent="0.3">
      <c r="A4126" t="s">
        <v>8715</v>
      </c>
      <c r="B4126" t="s">
        <v>1737</v>
      </c>
      <c r="C4126">
        <v>2</v>
      </c>
      <c r="D4126" t="s">
        <v>23</v>
      </c>
      <c r="E4126" t="s">
        <v>320</v>
      </c>
    </row>
    <row r="4127" spans="1:9" x14ac:dyDescent="0.3">
      <c r="A4127" t="s">
        <v>8716</v>
      </c>
      <c r="B4127" t="s">
        <v>7223</v>
      </c>
      <c r="C4127">
        <v>1</v>
      </c>
      <c r="D4127" t="s">
        <v>23</v>
      </c>
      <c r="E4127" t="s">
        <v>7224</v>
      </c>
    </row>
    <row r="4128" spans="1:9" x14ac:dyDescent="0.3">
      <c r="A4128" t="s">
        <v>7786</v>
      </c>
      <c r="B4128" t="s">
        <v>7731</v>
      </c>
      <c r="C4128">
        <v>12.5</v>
      </c>
      <c r="D4128" t="s">
        <v>29</v>
      </c>
      <c r="E4128" t="s">
        <v>4142</v>
      </c>
    </row>
    <row r="4129" spans="1:9" x14ac:dyDescent="0.3">
      <c r="A4129" t="s">
        <v>8717</v>
      </c>
      <c r="B4129" t="s">
        <v>8718</v>
      </c>
      <c r="C4129">
        <v>330</v>
      </c>
      <c r="D4129" t="s">
        <v>29</v>
      </c>
      <c r="E4129" t="s">
        <v>108</v>
      </c>
    </row>
    <row r="4130" spans="1:9" x14ac:dyDescent="0.3">
      <c r="A4130" t="s">
        <v>8719</v>
      </c>
      <c r="B4130" t="s">
        <v>8720</v>
      </c>
      <c r="C4130">
        <v>3</v>
      </c>
      <c r="D4130" t="s">
        <v>23</v>
      </c>
      <c r="E4130" t="s">
        <v>281</v>
      </c>
    </row>
    <row r="4131" spans="1:9" x14ac:dyDescent="0.3">
      <c r="A4131" t="s">
        <v>542</v>
      </c>
      <c r="B4131" t="s">
        <v>1482</v>
      </c>
      <c r="C4131">
        <v>50</v>
      </c>
      <c r="D4131" t="s">
        <v>29</v>
      </c>
      <c r="E4131" t="s">
        <v>1483</v>
      </c>
    </row>
    <row r="4132" spans="1:9" x14ac:dyDescent="0.3">
      <c r="A4132" t="s">
        <v>8721</v>
      </c>
      <c r="B4132" t="s">
        <v>8722</v>
      </c>
      <c r="C4132">
        <v>0.5</v>
      </c>
      <c r="D4132" t="s">
        <v>37</v>
      </c>
      <c r="E4132" t="s">
        <v>4728</v>
      </c>
    </row>
    <row r="4133" spans="1:9" x14ac:dyDescent="0.3">
      <c r="A4133" t="s">
        <v>8723</v>
      </c>
      <c r="B4133" t="s">
        <v>8724</v>
      </c>
      <c r="C4133">
        <v>350</v>
      </c>
      <c r="D4133" t="s">
        <v>29</v>
      </c>
      <c r="E4133" t="s">
        <v>98</v>
      </c>
    </row>
    <row r="4134" spans="1:9" x14ac:dyDescent="0.3">
      <c r="A4134" t="s">
        <v>8725</v>
      </c>
      <c r="B4134" t="s">
        <v>2922</v>
      </c>
      <c r="C4134">
        <v>0.5</v>
      </c>
      <c r="D4134" t="s">
        <v>284</v>
      </c>
      <c r="E4134" t="s">
        <v>2178</v>
      </c>
    </row>
    <row r="4135" spans="1:9" x14ac:dyDescent="0.3">
      <c r="A4135" t="s">
        <v>8726</v>
      </c>
      <c r="B4135" t="s">
        <v>8727</v>
      </c>
      <c r="C4135">
        <v>10.5</v>
      </c>
      <c r="D4135" t="s">
        <v>91</v>
      </c>
      <c r="E4135" t="s">
        <v>8193</v>
      </c>
    </row>
    <row r="4136" spans="1:9" x14ac:dyDescent="0.3">
      <c r="A4136" t="s">
        <v>8728</v>
      </c>
      <c r="B4136" t="s">
        <v>8729</v>
      </c>
      <c r="C4136">
        <v>1.5</v>
      </c>
      <c r="D4136" t="s">
        <v>23</v>
      </c>
      <c r="E4136" t="s">
        <v>1238</v>
      </c>
    </row>
    <row r="4137" spans="1:9" x14ac:dyDescent="0.3">
      <c r="A4137" t="s">
        <v>8730</v>
      </c>
      <c r="B4137" t="s">
        <v>4635</v>
      </c>
      <c r="C4137">
        <v>50</v>
      </c>
      <c r="D4137" t="s">
        <v>29</v>
      </c>
      <c r="E4137" t="s">
        <v>8731</v>
      </c>
    </row>
    <row r="4138" spans="1:9" x14ac:dyDescent="0.3">
      <c r="A4138" t="s">
        <v>7797</v>
      </c>
      <c r="B4138" t="s">
        <v>8732</v>
      </c>
      <c r="C4138">
        <v>0.25</v>
      </c>
      <c r="D4138" t="s">
        <v>37</v>
      </c>
      <c r="E4138" t="s">
        <v>1006</v>
      </c>
      <c r="I4138" t="s">
        <v>8733</v>
      </c>
    </row>
    <row r="4139" spans="1:9" x14ac:dyDescent="0.3">
      <c r="A4139" t="s">
        <v>6048</v>
      </c>
      <c r="B4139" t="s">
        <v>949</v>
      </c>
      <c r="C4139">
        <v>6</v>
      </c>
      <c r="E4139" t="s">
        <v>950</v>
      </c>
      <c r="I4139" t="s">
        <v>951</v>
      </c>
    </row>
    <row r="4140" spans="1:9" x14ac:dyDescent="0.3">
      <c r="A4140" t="s">
        <v>8734</v>
      </c>
      <c r="B4140" t="s">
        <v>8735</v>
      </c>
      <c r="C4140">
        <v>0.25</v>
      </c>
      <c r="D4140" t="s">
        <v>37</v>
      </c>
      <c r="E4140" t="s">
        <v>1927</v>
      </c>
      <c r="I4140" t="s">
        <v>2073</v>
      </c>
    </row>
    <row r="4141" spans="1:9" x14ac:dyDescent="0.3">
      <c r="A4141" t="s">
        <v>7876</v>
      </c>
      <c r="B4141" t="s">
        <v>8736</v>
      </c>
      <c r="C4141">
        <v>2</v>
      </c>
      <c r="D4141" t="s">
        <v>23</v>
      </c>
      <c r="E4141" t="s">
        <v>2305</v>
      </c>
    </row>
    <row r="4142" spans="1:9" x14ac:dyDescent="0.3">
      <c r="A4142" t="s">
        <v>356</v>
      </c>
      <c r="B4142" t="s">
        <v>8737</v>
      </c>
      <c r="C4142">
        <v>2</v>
      </c>
      <c r="D4142" t="s">
        <v>23</v>
      </c>
      <c r="E4142" t="s">
        <v>5075</v>
      </c>
    </row>
    <row r="4143" spans="1:9" x14ac:dyDescent="0.3">
      <c r="A4143" t="s">
        <v>8738</v>
      </c>
      <c r="B4143" t="s">
        <v>8739</v>
      </c>
      <c r="C4143">
        <v>1</v>
      </c>
      <c r="D4143" t="s">
        <v>23</v>
      </c>
      <c r="E4143" t="s">
        <v>7138</v>
      </c>
    </row>
    <row r="4144" spans="1:9" x14ac:dyDescent="0.3">
      <c r="A4144" t="s">
        <v>8740</v>
      </c>
      <c r="B4144" t="s">
        <v>8741</v>
      </c>
      <c r="E4144" t="s">
        <v>173</v>
      </c>
      <c r="I4144" t="s">
        <v>1968</v>
      </c>
    </row>
    <row r="4145" spans="1:9" x14ac:dyDescent="0.3">
      <c r="A4145" t="s">
        <v>8742</v>
      </c>
      <c r="B4145" t="s">
        <v>8743</v>
      </c>
      <c r="C4145">
        <v>1</v>
      </c>
      <c r="D4145" t="s">
        <v>435</v>
      </c>
      <c r="E4145" t="s">
        <v>152</v>
      </c>
      <c r="I4145" t="s">
        <v>248</v>
      </c>
    </row>
    <row r="4146" spans="1:9" x14ac:dyDescent="0.3">
      <c r="A4146" t="s">
        <v>8744</v>
      </c>
      <c r="B4146" t="s">
        <v>8745</v>
      </c>
      <c r="E4146" t="s">
        <v>8746</v>
      </c>
      <c r="F4146" t="s">
        <v>8747</v>
      </c>
    </row>
    <row r="4147" spans="1:9" x14ac:dyDescent="0.3">
      <c r="A4147" t="s">
        <v>8748</v>
      </c>
      <c r="B4147" t="s">
        <v>4591</v>
      </c>
      <c r="C4147">
        <v>3</v>
      </c>
      <c r="D4147" t="s">
        <v>345</v>
      </c>
      <c r="E4147" t="s">
        <v>220</v>
      </c>
    </row>
    <row r="4148" spans="1:9" x14ac:dyDescent="0.3">
      <c r="A4148" t="s">
        <v>8749</v>
      </c>
      <c r="B4148" t="s">
        <v>1179</v>
      </c>
      <c r="C4148">
        <v>1</v>
      </c>
      <c r="D4148" t="s">
        <v>23</v>
      </c>
      <c r="E4148" t="s">
        <v>233</v>
      </c>
    </row>
    <row r="4149" spans="1:9" x14ac:dyDescent="0.3">
      <c r="A4149" t="s">
        <v>8750</v>
      </c>
      <c r="B4149" t="s">
        <v>3355</v>
      </c>
      <c r="C4149">
        <v>1</v>
      </c>
      <c r="D4149" t="s">
        <v>23</v>
      </c>
      <c r="E4149" t="s">
        <v>1431</v>
      </c>
    </row>
    <row r="4150" spans="1:9" x14ac:dyDescent="0.3">
      <c r="A4150" t="s">
        <v>8751</v>
      </c>
      <c r="B4150" t="s">
        <v>8752</v>
      </c>
      <c r="C4150">
        <v>0.75</v>
      </c>
      <c r="D4150" t="s">
        <v>23</v>
      </c>
      <c r="E4150" t="s">
        <v>1328</v>
      </c>
    </row>
    <row r="4151" spans="1:9" x14ac:dyDescent="0.3">
      <c r="A4151" t="s">
        <v>8753</v>
      </c>
      <c r="B4151" t="s">
        <v>8754</v>
      </c>
      <c r="C4151">
        <v>2</v>
      </c>
      <c r="D4151" t="s">
        <v>227</v>
      </c>
      <c r="E4151" t="s">
        <v>1816</v>
      </c>
      <c r="H4151" t="s">
        <v>5392</v>
      </c>
    </row>
    <row r="4152" spans="1:9" x14ac:dyDescent="0.3">
      <c r="A4152" t="s">
        <v>8755</v>
      </c>
      <c r="B4152" t="s">
        <v>8756</v>
      </c>
      <c r="C4152">
        <v>4</v>
      </c>
      <c r="D4152" t="s">
        <v>345</v>
      </c>
      <c r="E4152" t="s">
        <v>1451</v>
      </c>
    </row>
    <row r="4153" spans="1:9" x14ac:dyDescent="0.3">
      <c r="A4153" t="s">
        <v>3477</v>
      </c>
      <c r="B4153" t="s">
        <v>8757</v>
      </c>
      <c r="C4153">
        <v>3</v>
      </c>
      <c r="D4153" t="s">
        <v>345</v>
      </c>
      <c r="E4153" t="s">
        <v>8758</v>
      </c>
      <c r="H4153" t="s">
        <v>3945</v>
      </c>
    </row>
    <row r="4154" spans="1:9" x14ac:dyDescent="0.3">
      <c r="A4154" t="s">
        <v>1117</v>
      </c>
      <c r="B4154" t="s">
        <v>1179</v>
      </c>
      <c r="C4154">
        <v>1</v>
      </c>
      <c r="D4154" t="s">
        <v>23</v>
      </c>
      <c r="E4154" t="s">
        <v>233</v>
      </c>
    </row>
    <row r="4155" spans="1:9" x14ac:dyDescent="0.3">
      <c r="A4155" t="s">
        <v>8759</v>
      </c>
      <c r="B4155" t="s">
        <v>8760</v>
      </c>
      <c r="C4155">
        <v>2</v>
      </c>
      <c r="D4155" t="s">
        <v>23</v>
      </c>
      <c r="E4155" t="s">
        <v>2927</v>
      </c>
    </row>
    <row r="4156" spans="1:9" x14ac:dyDescent="0.3">
      <c r="A4156" t="s">
        <v>8761</v>
      </c>
      <c r="B4156" t="s">
        <v>1545</v>
      </c>
      <c r="E4156" t="s">
        <v>333</v>
      </c>
      <c r="F4156" t="s">
        <v>1247</v>
      </c>
    </row>
    <row r="4157" spans="1:9" x14ac:dyDescent="0.3">
      <c r="A4157" t="s">
        <v>7413</v>
      </c>
      <c r="B4157" t="s">
        <v>8762</v>
      </c>
      <c r="C4157">
        <v>1</v>
      </c>
      <c r="D4157" t="s">
        <v>37</v>
      </c>
      <c r="E4157" t="s">
        <v>516</v>
      </c>
    </row>
    <row r="4158" spans="1:9" x14ac:dyDescent="0.3">
      <c r="A4158" t="s">
        <v>8763</v>
      </c>
      <c r="B4158" t="s">
        <v>2846</v>
      </c>
      <c r="C4158">
        <v>1</v>
      </c>
      <c r="E4158" t="s">
        <v>1440</v>
      </c>
    </row>
    <row r="4159" spans="1:9" x14ac:dyDescent="0.3">
      <c r="A4159" t="s">
        <v>8764</v>
      </c>
      <c r="B4159" t="s">
        <v>968</v>
      </c>
      <c r="C4159">
        <v>1</v>
      </c>
      <c r="D4159" t="s">
        <v>23</v>
      </c>
      <c r="E4159" t="s">
        <v>199</v>
      </c>
    </row>
    <row r="4160" spans="1:9" x14ac:dyDescent="0.3">
      <c r="A4160" t="s">
        <v>293</v>
      </c>
      <c r="B4160" t="s">
        <v>8765</v>
      </c>
      <c r="C4160">
        <v>1.5</v>
      </c>
      <c r="D4160" t="s">
        <v>345</v>
      </c>
      <c r="E4160" t="s">
        <v>8766</v>
      </c>
      <c r="I4160" t="s">
        <v>8767</v>
      </c>
    </row>
    <row r="4161" spans="1:9" x14ac:dyDescent="0.3">
      <c r="A4161" t="s">
        <v>8768</v>
      </c>
      <c r="B4161" t="s">
        <v>8769</v>
      </c>
      <c r="C4161">
        <v>0.5</v>
      </c>
      <c r="E4161" t="s">
        <v>2961</v>
      </c>
      <c r="F4161" t="s">
        <v>8770</v>
      </c>
      <c r="G4161" t="s">
        <v>68</v>
      </c>
    </row>
    <row r="4162" spans="1:9" x14ac:dyDescent="0.3">
      <c r="A4162" t="s">
        <v>8771</v>
      </c>
      <c r="B4162" t="s">
        <v>1235</v>
      </c>
      <c r="C4162">
        <v>0.5</v>
      </c>
      <c r="D4162" t="s">
        <v>11</v>
      </c>
      <c r="E4162" t="s">
        <v>88</v>
      </c>
    </row>
    <row r="4163" spans="1:9" x14ac:dyDescent="0.3">
      <c r="A4163" t="s">
        <v>8772</v>
      </c>
      <c r="B4163" t="s">
        <v>2417</v>
      </c>
      <c r="C4163">
        <v>1</v>
      </c>
      <c r="D4163" t="s">
        <v>426</v>
      </c>
      <c r="E4163" t="s">
        <v>857</v>
      </c>
    </row>
    <row r="4164" spans="1:9" x14ac:dyDescent="0.3">
      <c r="A4164" t="s">
        <v>8179</v>
      </c>
      <c r="B4164" t="s">
        <v>8773</v>
      </c>
      <c r="D4164" t="s">
        <v>1281</v>
      </c>
      <c r="E4164" t="s">
        <v>1056</v>
      </c>
      <c r="I4164" t="s">
        <v>2995</v>
      </c>
    </row>
    <row r="4165" spans="1:9" x14ac:dyDescent="0.3">
      <c r="A4165" t="s">
        <v>8774</v>
      </c>
      <c r="B4165" t="s">
        <v>8775</v>
      </c>
      <c r="C4165">
        <v>1</v>
      </c>
      <c r="D4165" t="s">
        <v>368</v>
      </c>
      <c r="E4165" t="s">
        <v>1794</v>
      </c>
    </row>
    <row r="4166" spans="1:9" x14ac:dyDescent="0.3">
      <c r="A4166" t="s">
        <v>8776</v>
      </c>
      <c r="B4166" t="s">
        <v>8777</v>
      </c>
      <c r="C4166">
        <v>1</v>
      </c>
      <c r="E4166" t="s">
        <v>4580</v>
      </c>
      <c r="G4166" t="s">
        <v>68</v>
      </c>
    </row>
    <row r="4167" spans="1:9" x14ac:dyDescent="0.3">
      <c r="A4167" t="s">
        <v>8778</v>
      </c>
      <c r="B4167" t="s">
        <v>8779</v>
      </c>
      <c r="C4167">
        <v>50</v>
      </c>
      <c r="D4167" t="s">
        <v>29</v>
      </c>
      <c r="E4167" t="s">
        <v>8780</v>
      </c>
    </row>
    <row r="4168" spans="1:9" x14ac:dyDescent="0.3">
      <c r="A4168" t="s">
        <v>8781</v>
      </c>
      <c r="B4168" t="s">
        <v>8782</v>
      </c>
      <c r="C4168">
        <v>0.5</v>
      </c>
      <c r="D4168" t="s">
        <v>23</v>
      </c>
      <c r="E4168" t="s">
        <v>5327</v>
      </c>
    </row>
    <row r="4169" spans="1:9" x14ac:dyDescent="0.3">
      <c r="A4169" t="s">
        <v>8783</v>
      </c>
      <c r="B4169" t="s">
        <v>8784</v>
      </c>
      <c r="C4169">
        <v>0.75</v>
      </c>
      <c r="D4169" t="s">
        <v>37</v>
      </c>
      <c r="E4169" t="s">
        <v>3718</v>
      </c>
      <c r="I4169" t="s">
        <v>8654</v>
      </c>
    </row>
    <row r="4170" spans="1:9" x14ac:dyDescent="0.3">
      <c r="A4170" t="s">
        <v>8785</v>
      </c>
      <c r="B4170" t="s">
        <v>8786</v>
      </c>
      <c r="C4170">
        <v>2</v>
      </c>
      <c r="D4170" t="s">
        <v>227</v>
      </c>
      <c r="E4170" t="s">
        <v>233</v>
      </c>
    </row>
    <row r="4171" spans="1:9" x14ac:dyDescent="0.3">
      <c r="A4171" t="s">
        <v>8787</v>
      </c>
      <c r="B4171" t="s">
        <v>1101</v>
      </c>
      <c r="C4171">
        <v>1</v>
      </c>
      <c r="D4171" t="s">
        <v>23</v>
      </c>
      <c r="E4171" t="s">
        <v>328</v>
      </c>
    </row>
    <row r="4172" spans="1:9" x14ac:dyDescent="0.3">
      <c r="A4172" t="s">
        <v>3487</v>
      </c>
      <c r="B4172" t="s">
        <v>5192</v>
      </c>
      <c r="C4172">
        <v>2</v>
      </c>
      <c r="D4172" t="s">
        <v>23</v>
      </c>
      <c r="E4172" t="s">
        <v>233</v>
      </c>
    </row>
    <row r="4173" spans="1:9" x14ac:dyDescent="0.3">
      <c r="A4173" t="s">
        <v>8788</v>
      </c>
      <c r="B4173" t="s">
        <v>8789</v>
      </c>
      <c r="C4173">
        <v>3</v>
      </c>
      <c r="D4173" t="s">
        <v>227</v>
      </c>
      <c r="E4173" t="s">
        <v>292</v>
      </c>
    </row>
    <row r="4174" spans="1:9" x14ac:dyDescent="0.3">
      <c r="A4174" t="s">
        <v>6850</v>
      </c>
      <c r="B4174" t="s">
        <v>8790</v>
      </c>
      <c r="C4174">
        <v>1</v>
      </c>
      <c r="E4174" t="s">
        <v>8791</v>
      </c>
      <c r="I4174" t="s">
        <v>164</v>
      </c>
    </row>
    <row r="4175" spans="1:9" x14ac:dyDescent="0.3">
      <c r="A4175" t="s">
        <v>8792</v>
      </c>
      <c r="B4175" t="s">
        <v>8793</v>
      </c>
      <c r="C4175">
        <v>0.5</v>
      </c>
      <c r="D4175" t="s">
        <v>206</v>
      </c>
      <c r="E4175" t="s">
        <v>8794</v>
      </c>
    </row>
    <row r="4176" spans="1:9" x14ac:dyDescent="0.3">
      <c r="A4176" t="s">
        <v>5070</v>
      </c>
      <c r="B4176" t="s">
        <v>8795</v>
      </c>
      <c r="E4176" t="s">
        <v>333</v>
      </c>
      <c r="I4176" t="s">
        <v>8796</v>
      </c>
    </row>
    <row r="4177" spans="1:9" x14ac:dyDescent="0.3">
      <c r="A4177" t="s">
        <v>8797</v>
      </c>
      <c r="B4177" t="s">
        <v>7150</v>
      </c>
      <c r="C4177">
        <v>1</v>
      </c>
      <c r="D4177" t="s">
        <v>23</v>
      </c>
      <c r="E4177" t="s">
        <v>5448</v>
      </c>
    </row>
    <row r="4178" spans="1:9" x14ac:dyDescent="0.3">
      <c r="A4178" t="s">
        <v>8798</v>
      </c>
      <c r="B4178" t="s">
        <v>8799</v>
      </c>
      <c r="C4178">
        <v>0.5</v>
      </c>
      <c r="D4178" t="s">
        <v>71</v>
      </c>
      <c r="E4178" t="s">
        <v>8800</v>
      </c>
      <c r="I4178" t="s">
        <v>8801</v>
      </c>
    </row>
    <row r="4179" spans="1:9" x14ac:dyDescent="0.3">
      <c r="A4179" t="s">
        <v>433</v>
      </c>
      <c r="B4179" t="s">
        <v>8802</v>
      </c>
      <c r="C4179">
        <v>3</v>
      </c>
      <c r="D4179" t="s">
        <v>91</v>
      </c>
      <c r="E4179" t="s">
        <v>57</v>
      </c>
    </row>
    <row r="4180" spans="1:9" x14ac:dyDescent="0.3">
      <c r="A4180" t="s">
        <v>2308</v>
      </c>
      <c r="B4180" t="s">
        <v>8803</v>
      </c>
      <c r="C4180">
        <v>1.5</v>
      </c>
      <c r="D4180" t="s">
        <v>37</v>
      </c>
      <c r="E4180" t="s">
        <v>8804</v>
      </c>
      <c r="I4180" t="s">
        <v>8805</v>
      </c>
    </row>
    <row r="4181" spans="1:9" x14ac:dyDescent="0.3">
      <c r="A4181" t="s">
        <v>8806</v>
      </c>
      <c r="B4181" t="s">
        <v>8807</v>
      </c>
      <c r="C4181">
        <v>0.5</v>
      </c>
      <c r="D4181" t="s">
        <v>23</v>
      </c>
      <c r="E4181" t="s">
        <v>8808</v>
      </c>
    </row>
    <row r="4182" spans="1:9" x14ac:dyDescent="0.3">
      <c r="A4182" t="s">
        <v>8809</v>
      </c>
      <c r="B4182" t="s">
        <v>8810</v>
      </c>
      <c r="C4182" t="s">
        <v>8811</v>
      </c>
      <c r="D4182" t="s">
        <v>227</v>
      </c>
      <c r="E4182" t="s">
        <v>524</v>
      </c>
      <c r="I4182" t="s">
        <v>1177</v>
      </c>
    </row>
    <row r="4183" spans="1:9" x14ac:dyDescent="0.3">
      <c r="A4183" t="s">
        <v>8812</v>
      </c>
      <c r="B4183" t="s">
        <v>8813</v>
      </c>
      <c r="C4183">
        <v>1</v>
      </c>
      <c r="D4183" t="s">
        <v>11</v>
      </c>
      <c r="E4183" t="s">
        <v>8814</v>
      </c>
      <c r="I4183" t="s">
        <v>20</v>
      </c>
    </row>
    <row r="4184" spans="1:9" x14ac:dyDescent="0.3">
      <c r="A4184" t="s">
        <v>8815</v>
      </c>
      <c r="B4184" t="s">
        <v>2792</v>
      </c>
      <c r="C4184">
        <v>1</v>
      </c>
      <c r="D4184" t="s">
        <v>361</v>
      </c>
      <c r="E4184" t="s">
        <v>2078</v>
      </c>
    </row>
    <row r="4185" spans="1:9" x14ac:dyDescent="0.3">
      <c r="A4185" t="s">
        <v>2673</v>
      </c>
      <c r="B4185" t="s">
        <v>8816</v>
      </c>
      <c r="C4185">
        <v>10.5</v>
      </c>
      <c r="D4185" t="s">
        <v>11</v>
      </c>
      <c r="E4185" t="s">
        <v>8817</v>
      </c>
      <c r="I4185" t="s">
        <v>654</v>
      </c>
    </row>
    <row r="4186" spans="1:9" x14ac:dyDescent="0.3">
      <c r="A4186" t="s">
        <v>7977</v>
      </c>
      <c r="B4186" t="s">
        <v>8818</v>
      </c>
      <c r="C4186">
        <v>0.25</v>
      </c>
      <c r="D4186" t="s">
        <v>37</v>
      </c>
      <c r="E4186" t="s">
        <v>8819</v>
      </c>
    </row>
    <row r="4187" spans="1:9" x14ac:dyDescent="0.3">
      <c r="A4187" t="s">
        <v>8820</v>
      </c>
      <c r="B4187" t="s">
        <v>8821</v>
      </c>
      <c r="E4187" t="s">
        <v>317</v>
      </c>
      <c r="I4187" t="s">
        <v>1146</v>
      </c>
    </row>
    <row r="4188" spans="1:9" x14ac:dyDescent="0.3">
      <c r="A4188" t="s">
        <v>8822</v>
      </c>
      <c r="B4188" t="s">
        <v>333</v>
      </c>
      <c r="E4188" t="s">
        <v>333</v>
      </c>
    </row>
    <row r="4189" spans="1:9" x14ac:dyDescent="0.3">
      <c r="A4189" t="s">
        <v>8823</v>
      </c>
      <c r="B4189" t="s">
        <v>8824</v>
      </c>
      <c r="C4189">
        <v>0.5</v>
      </c>
      <c r="D4189" t="s">
        <v>23</v>
      </c>
      <c r="E4189" t="s">
        <v>6712</v>
      </c>
    </row>
    <row r="4190" spans="1:9" x14ac:dyDescent="0.3">
      <c r="A4190" t="s">
        <v>8825</v>
      </c>
      <c r="B4190" t="s">
        <v>8826</v>
      </c>
      <c r="C4190">
        <v>0.5</v>
      </c>
      <c r="D4190" t="s">
        <v>284</v>
      </c>
      <c r="E4190" t="s">
        <v>4924</v>
      </c>
    </row>
    <row r="4191" spans="1:9" x14ac:dyDescent="0.3">
      <c r="A4191" t="s">
        <v>1623</v>
      </c>
      <c r="B4191" t="s">
        <v>8827</v>
      </c>
      <c r="C4191">
        <v>1</v>
      </c>
      <c r="D4191" t="s">
        <v>284</v>
      </c>
      <c r="E4191" t="s">
        <v>413</v>
      </c>
    </row>
    <row r="4192" spans="1:9" x14ac:dyDescent="0.3">
      <c r="A4192" t="s">
        <v>8828</v>
      </c>
      <c r="B4192" t="s">
        <v>2747</v>
      </c>
      <c r="C4192">
        <v>1</v>
      </c>
      <c r="D4192" t="s">
        <v>23</v>
      </c>
      <c r="E4192" t="s">
        <v>423</v>
      </c>
    </row>
    <row r="4193" spans="1:9" x14ac:dyDescent="0.3">
      <c r="A4193" t="s">
        <v>8829</v>
      </c>
      <c r="B4193" t="s">
        <v>8830</v>
      </c>
      <c r="C4193">
        <v>0.25</v>
      </c>
      <c r="D4193" t="s">
        <v>23</v>
      </c>
      <c r="E4193" t="s">
        <v>2496</v>
      </c>
    </row>
    <row r="4194" spans="1:9" x14ac:dyDescent="0.3">
      <c r="A4194" t="s">
        <v>8831</v>
      </c>
      <c r="B4194" t="s">
        <v>6392</v>
      </c>
      <c r="C4194">
        <v>2</v>
      </c>
      <c r="D4194" t="s">
        <v>189</v>
      </c>
      <c r="E4194" t="s">
        <v>2214</v>
      </c>
    </row>
    <row r="4195" spans="1:9" x14ac:dyDescent="0.3">
      <c r="A4195" t="s">
        <v>8832</v>
      </c>
      <c r="B4195" t="s">
        <v>8833</v>
      </c>
      <c r="C4195">
        <v>150</v>
      </c>
      <c r="D4195" t="s">
        <v>29</v>
      </c>
      <c r="E4195" t="s">
        <v>2138</v>
      </c>
    </row>
    <row r="4196" spans="1:9" x14ac:dyDescent="0.3">
      <c r="A4196" t="s">
        <v>7861</v>
      </c>
      <c r="B4196" t="s">
        <v>1596</v>
      </c>
      <c r="C4196">
        <v>1</v>
      </c>
      <c r="D4196" t="s">
        <v>18</v>
      </c>
      <c r="E4196" t="s">
        <v>190</v>
      </c>
    </row>
    <row r="4197" spans="1:9" x14ac:dyDescent="0.3">
      <c r="A4197" t="s">
        <v>2590</v>
      </c>
      <c r="B4197" t="s">
        <v>607</v>
      </c>
      <c r="C4197">
        <v>0.5</v>
      </c>
      <c r="D4197" t="s">
        <v>23</v>
      </c>
      <c r="E4197" t="s">
        <v>292</v>
      </c>
    </row>
    <row r="4198" spans="1:9" x14ac:dyDescent="0.3">
      <c r="A4198" t="s">
        <v>6952</v>
      </c>
      <c r="B4198" t="s">
        <v>8834</v>
      </c>
      <c r="C4198">
        <v>12.5</v>
      </c>
      <c r="D4198" t="s">
        <v>29</v>
      </c>
      <c r="E4198" t="s">
        <v>4470</v>
      </c>
    </row>
    <row r="4199" spans="1:9" x14ac:dyDescent="0.3">
      <c r="A4199" t="s">
        <v>3658</v>
      </c>
      <c r="B4199" t="s">
        <v>8835</v>
      </c>
      <c r="C4199">
        <v>0.75</v>
      </c>
      <c r="D4199" t="s">
        <v>23</v>
      </c>
      <c r="E4199" t="s">
        <v>8836</v>
      </c>
    </row>
    <row r="4200" spans="1:9" x14ac:dyDescent="0.3">
      <c r="A4200" t="s">
        <v>8837</v>
      </c>
      <c r="B4200" t="s">
        <v>8838</v>
      </c>
      <c r="C4200">
        <v>2</v>
      </c>
      <c r="D4200" t="s">
        <v>189</v>
      </c>
      <c r="E4200" t="s">
        <v>331</v>
      </c>
    </row>
    <row r="4201" spans="1:9" x14ac:dyDescent="0.3">
      <c r="A4201" t="s">
        <v>8839</v>
      </c>
      <c r="B4201" t="s">
        <v>8840</v>
      </c>
      <c r="C4201">
        <v>2</v>
      </c>
      <c r="D4201" t="s">
        <v>23</v>
      </c>
      <c r="E4201" t="s">
        <v>2678</v>
      </c>
    </row>
    <row r="4202" spans="1:9" x14ac:dyDescent="0.3">
      <c r="A4202" t="s">
        <v>851</v>
      </c>
      <c r="B4202" t="s">
        <v>8841</v>
      </c>
      <c r="C4202">
        <v>2</v>
      </c>
      <c r="D4202" t="s">
        <v>853</v>
      </c>
      <c r="E4202" t="s">
        <v>8842</v>
      </c>
    </row>
    <row r="4203" spans="1:9" x14ac:dyDescent="0.3">
      <c r="A4203" t="s">
        <v>8843</v>
      </c>
      <c r="B4203" t="s">
        <v>2779</v>
      </c>
      <c r="C4203">
        <v>0.5</v>
      </c>
      <c r="D4203" t="s">
        <v>37</v>
      </c>
      <c r="E4203" t="s">
        <v>160</v>
      </c>
      <c r="F4203" t="s">
        <v>167</v>
      </c>
      <c r="G4203" t="s">
        <v>168</v>
      </c>
    </row>
    <row r="4204" spans="1:9" x14ac:dyDescent="0.3">
      <c r="A4204" t="s">
        <v>8844</v>
      </c>
      <c r="B4204" t="s">
        <v>8845</v>
      </c>
      <c r="C4204">
        <v>5</v>
      </c>
      <c r="D4204" t="s">
        <v>23</v>
      </c>
      <c r="E4204" t="s">
        <v>57</v>
      </c>
    </row>
    <row r="4205" spans="1:9" x14ac:dyDescent="0.3">
      <c r="A4205" t="s">
        <v>6338</v>
      </c>
      <c r="B4205" t="s">
        <v>1753</v>
      </c>
      <c r="C4205">
        <v>12.5</v>
      </c>
      <c r="D4205" t="s">
        <v>29</v>
      </c>
      <c r="E4205" t="s">
        <v>30</v>
      </c>
    </row>
    <row r="4206" spans="1:9" x14ac:dyDescent="0.3">
      <c r="A4206" t="s">
        <v>8846</v>
      </c>
      <c r="B4206" t="s">
        <v>8847</v>
      </c>
      <c r="E4206" t="s">
        <v>8847</v>
      </c>
    </row>
    <row r="4207" spans="1:9" x14ac:dyDescent="0.3">
      <c r="A4207" t="s">
        <v>8848</v>
      </c>
      <c r="B4207" t="s">
        <v>8849</v>
      </c>
      <c r="C4207">
        <v>1</v>
      </c>
      <c r="E4207" t="s">
        <v>30</v>
      </c>
      <c r="I4207" t="s">
        <v>289</v>
      </c>
    </row>
    <row r="4208" spans="1:9" x14ac:dyDescent="0.3">
      <c r="A4208" t="s">
        <v>8850</v>
      </c>
      <c r="B4208" t="s">
        <v>8851</v>
      </c>
      <c r="C4208">
        <v>2</v>
      </c>
      <c r="D4208" t="s">
        <v>345</v>
      </c>
      <c r="E4208" t="s">
        <v>1473</v>
      </c>
    </row>
    <row r="4209" spans="1:9" x14ac:dyDescent="0.3">
      <c r="A4209" t="s">
        <v>8852</v>
      </c>
      <c r="B4209" t="s">
        <v>5192</v>
      </c>
      <c r="C4209">
        <v>2</v>
      </c>
      <c r="D4209" t="s">
        <v>23</v>
      </c>
      <c r="E4209" t="s">
        <v>233</v>
      </c>
    </row>
    <row r="4210" spans="1:9" x14ac:dyDescent="0.3">
      <c r="A4210" t="s">
        <v>8853</v>
      </c>
      <c r="B4210" t="s">
        <v>5207</v>
      </c>
      <c r="C4210">
        <v>2</v>
      </c>
      <c r="D4210" t="s">
        <v>23</v>
      </c>
      <c r="E4210" t="s">
        <v>1506</v>
      </c>
    </row>
    <row r="4211" spans="1:9" x14ac:dyDescent="0.3">
      <c r="A4211" t="s">
        <v>6734</v>
      </c>
      <c r="B4211" t="s">
        <v>1101</v>
      </c>
      <c r="C4211">
        <v>1</v>
      </c>
      <c r="D4211" t="s">
        <v>23</v>
      </c>
      <c r="E4211" t="s">
        <v>328</v>
      </c>
    </row>
    <row r="4212" spans="1:9" x14ac:dyDescent="0.3">
      <c r="A4212" t="s">
        <v>7889</v>
      </c>
      <c r="B4212" t="s">
        <v>8854</v>
      </c>
      <c r="C4212">
        <v>2</v>
      </c>
      <c r="D4212" t="s">
        <v>227</v>
      </c>
      <c r="E4212" t="s">
        <v>413</v>
      </c>
      <c r="I4212" t="s">
        <v>1214</v>
      </c>
    </row>
    <row r="4213" spans="1:9" x14ac:dyDescent="0.3">
      <c r="A4213" t="s">
        <v>8855</v>
      </c>
      <c r="B4213" t="s">
        <v>8856</v>
      </c>
      <c r="C4213">
        <v>0.5</v>
      </c>
      <c r="D4213" t="s">
        <v>361</v>
      </c>
      <c r="E4213" t="s">
        <v>7819</v>
      </c>
      <c r="F4213" t="s">
        <v>3326</v>
      </c>
    </row>
    <row r="4214" spans="1:9" x14ac:dyDescent="0.3">
      <c r="A4214" t="s">
        <v>8857</v>
      </c>
      <c r="B4214" t="s">
        <v>6801</v>
      </c>
      <c r="C4214">
        <v>1</v>
      </c>
      <c r="D4214" t="s">
        <v>23</v>
      </c>
      <c r="E4214" t="s">
        <v>2211</v>
      </c>
    </row>
    <row r="4215" spans="1:9" x14ac:dyDescent="0.3">
      <c r="A4215" t="s">
        <v>6700</v>
      </c>
      <c r="B4215" t="s">
        <v>8858</v>
      </c>
      <c r="C4215">
        <v>1</v>
      </c>
      <c r="D4215" t="s">
        <v>23</v>
      </c>
      <c r="E4215" t="s">
        <v>8859</v>
      </c>
    </row>
    <row r="4216" spans="1:9" x14ac:dyDescent="0.3">
      <c r="A4216" t="s">
        <v>2141</v>
      </c>
      <c r="B4216" t="s">
        <v>8860</v>
      </c>
      <c r="C4216">
        <v>2</v>
      </c>
      <c r="D4216" t="s">
        <v>71</v>
      </c>
      <c r="E4216" t="s">
        <v>8861</v>
      </c>
      <c r="I4216" t="e">
        <f>- I used Dalwhinnie</f>
        <v>#NAME?</v>
      </c>
    </row>
    <row r="4217" spans="1:9" x14ac:dyDescent="0.3">
      <c r="A4217" t="s">
        <v>7530</v>
      </c>
      <c r="B4217" t="s">
        <v>8862</v>
      </c>
      <c r="C4217">
        <v>1</v>
      </c>
      <c r="D4217" t="s">
        <v>1785</v>
      </c>
      <c r="E4217" t="s">
        <v>712</v>
      </c>
    </row>
    <row r="4218" spans="1:9" x14ac:dyDescent="0.3">
      <c r="A4218" t="s">
        <v>8768</v>
      </c>
      <c r="B4218" t="s">
        <v>8863</v>
      </c>
      <c r="C4218">
        <v>2</v>
      </c>
      <c r="D4218" t="s">
        <v>176</v>
      </c>
      <c r="E4218" t="s">
        <v>8864</v>
      </c>
    </row>
    <row r="4219" spans="1:9" x14ac:dyDescent="0.3">
      <c r="A4219" t="s">
        <v>8865</v>
      </c>
      <c r="B4219" t="s">
        <v>716</v>
      </c>
      <c r="E4219" t="s">
        <v>716</v>
      </c>
    </row>
    <row r="4220" spans="1:9" x14ac:dyDescent="0.3">
      <c r="A4220" t="s">
        <v>8866</v>
      </c>
      <c r="B4220" t="s">
        <v>4328</v>
      </c>
      <c r="C4220">
        <v>2</v>
      </c>
      <c r="D4220" t="s">
        <v>23</v>
      </c>
      <c r="E4220" t="s">
        <v>338</v>
      </c>
    </row>
    <row r="4221" spans="1:9" x14ac:dyDescent="0.3">
      <c r="A4221" t="s">
        <v>8867</v>
      </c>
      <c r="B4221" t="s">
        <v>8868</v>
      </c>
      <c r="C4221">
        <v>750</v>
      </c>
      <c r="D4221" t="s">
        <v>29</v>
      </c>
      <c r="E4221" t="s">
        <v>8869</v>
      </c>
    </row>
    <row r="4222" spans="1:9" x14ac:dyDescent="0.3">
      <c r="A4222" t="s">
        <v>8870</v>
      </c>
      <c r="B4222" t="s">
        <v>8871</v>
      </c>
      <c r="C4222">
        <v>1</v>
      </c>
      <c r="D4222" t="s">
        <v>23</v>
      </c>
      <c r="E4222" t="s">
        <v>8872</v>
      </c>
    </row>
    <row r="4223" spans="1:9" x14ac:dyDescent="0.3">
      <c r="A4223" t="s">
        <v>8873</v>
      </c>
      <c r="B4223" t="s">
        <v>8874</v>
      </c>
      <c r="C4223" t="s">
        <v>8875</v>
      </c>
      <c r="D4223" t="s">
        <v>29</v>
      </c>
      <c r="E4223" t="s">
        <v>8876</v>
      </c>
      <c r="G4223" t="s">
        <v>68</v>
      </c>
      <c r="I4223" t="s">
        <v>1931</v>
      </c>
    </row>
    <row r="4224" spans="1:9" x14ac:dyDescent="0.3">
      <c r="A4224" t="s">
        <v>8877</v>
      </c>
      <c r="B4224" t="s">
        <v>7010</v>
      </c>
      <c r="C4224">
        <v>1</v>
      </c>
      <c r="D4224" t="s">
        <v>151</v>
      </c>
      <c r="E4224" t="s">
        <v>152</v>
      </c>
      <c r="I4224" t="s">
        <v>248</v>
      </c>
    </row>
    <row r="4225" spans="1:9" x14ac:dyDescent="0.3">
      <c r="A4225" t="s">
        <v>8878</v>
      </c>
      <c r="B4225" t="s">
        <v>8879</v>
      </c>
      <c r="C4225">
        <v>0.75</v>
      </c>
      <c r="D4225" t="s">
        <v>23</v>
      </c>
      <c r="E4225" t="s">
        <v>233</v>
      </c>
    </row>
    <row r="4226" spans="1:9" x14ac:dyDescent="0.3">
      <c r="A4226" t="s">
        <v>8880</v>
      </c>
      <c r="B4226" t="s">
        <v>8881</v>
      </c>
      <c r="C4226">
        <v>0.12</v>
      </c>
      <c r="D4226" t="s">
        <v>460</v>
      </c>
      <c r="E4226" t="s">
        <v>8882</v>
      </c>
    </row>
    <row r="4227" spans="1:9" x14ac:dyDescent="0.3">
      <c r="A4227" t="s">
        <v>8883</v>
      </c>
      <c r="B4227" t="s">
        <v>3446</v>
      </c>
      <c r="C4227">
        <v>2</v>
      </c>
      <c r="D4227" t="s">
        <v>23</v>
      </c>
      <c r="E4227" t="s">
        <v>3447</v>
      </c>
    </row>
    <row r="4228" spans="1:9" x14ac:dyDescent="0.3">
      <c r="A4228" t="s">
        <v>8884</v>
      </c>
      <c r="B4228" t="s">
        <v>8885</v>
      </c>
      <c r="C4228">
        <v>1.5</v>
      </c>
      <c r="D4228" t="s">
        <v>23</v>
      </c>
      <c r="E4228" t="s">
        <v>8886</v>
      </c>
    </row>
    <row r="4229" spans="1:9" x14ac:dyDescent="0.3">
      <c r="A4229" t="s">
        <v>1824</v>
      </c>
      <c r="B4229" t="s">
        <v>7719</v>
      </c>
      <c r="C4229">
        <v>1</v>
      </c>
      <c r="D4229" t="s">
        <v>37</v>
      </c>
      <c r="E4229" t="s">
        <v>741</v>
      </c>
    </row>
    <row r="4230" spans="1:9" x14ac:dyDescent="0.3">
      <c r="A4230" t="s">
        <v>8887</v>
      </c>
      <c r="B4230" t="s">
        <v>8888</v>
      </c>
      <c r="C4230" t="s">
        <v>8811</v>
      </c>
      <c r="D4230" t="s">
        <v>23</v>
      </c>
      <c r="E4230" t="s">
        <v>8889</v>
      </c>
      <c r="I4230" t="s">
        <v>1177</v>
      </c>
    </row>
    <row r="4231" spans="1:9" x14ac:dyDescent="0.3">
      <c r="A4231" t="s">
        <v>8890</v>
      </c>
      <c r="B4231" t="s">
        <v>8891</v>
      </c>
      <c r="C4231">
        <v>15</v>
      </c>
      <c r="D4231" t="s">
        <v>29</v>
      </c>
      <c r="E4231" t="s">
        <v>115</v>
      </c>
    </row>
    <row r="4232" spans="1:9" x14ac:dyDescent="0.3">
      <c r="A4232" t="s">
        <v>8892</v>
      </c>
      <c r="B4232" t="s">
        <v>8893</v>
      </c>
      <c r="C4232">
        <v>3</v>
      </c>
      <c r="D4232" t="s">
        <v>71</v>
      </c>
      <c r="E4232" t="s">
        <v>281</v>
      </c>
    </row>
    <row r="4233" spans="1:9" x14ac:dyDescent="0.3">
      <c r="A4233" t="s">
        <v>8894</v>
      </c>
      <c r="B4233" t="s">
        <v>8895</v>
      </c>
      <c r="C4233">
        <v>50</v>
      </c>
      <c r="D4233" t="s">
        <v>29</v>
      </c>
      <c r="E4233" t="s">
        <v>4083</v>
      </c>
    </row>
    <row r="4234" spans="1:9" x14ac:dyDescent="0.3">
      <c r="A4234" t="s">
        <v>1178</v>
      </c>
      <c r="B4234" t="s">
        <v>5437</v>
      </c>
      <c r="E4234" t="s">
        <v>262</v>
      </c>
      <c r="I4234" t="s">
        <v>65</v>
      </c>
    </row>
    <row r="4235" spans="1:9" x14ac:dyDescent="0.3">
      <c r="A4235" t="s">
        <v>8896</v>
      </c>
      <c r="B4235" t="s">
        <v>8897</v>
      </c>
      <c r="C4235">
        <v>1</v>
      </c>
      <c r="D4235" t="s">
        <v>23</v>
      </c>
      <c r="E4235" t="s">
        <v>5105</v>
      </c>
    </row>
    <row r="4236" spans="1:9" x14ac:dyDescent="0.3">
      <c r="A4236" t="s">
        <v>8898</v>
      </c>
      <c r="B4236" t="s">
        <v>8899</v>
      </c>
      <c r="C4236">
        <v>1</v>
      </c>
      <c r="D4236" t="s">
        <v>23</v>
      </c>
      <c r="E4236" t="s">
        <v>262</v>
      </c>
    </row>
    <row r="4237" spans="1:9" x14ac:dyDescent="0.3">
      <c r="A4237" t="s">
        <v>8900</v>
      </c>
      <c r="B4237" t="s">
        <v>8650</v>
      </c>
      <c r="C4237">
        <v>0.25</v>
      </c>
      <c r="D4237" t="s">
        <v>11</v>
      </c>
      <c r="E4237" t="s">
        <v>1993</v>
      </c>
    </row>
    <row r="4238" spans="1:9" x14ac:dyDescent="0.3">
      <c r="A4238" t="s">
        <v>8901</v>
      </c>
      <c r="B4238" t="s">
        <v>8902</v>
      </c>
      <c r="C4238">
        <v>1</v>
      </c>
      <c r="D4238" t="s">
        <v>270</v>
      </c>
      <c r="E4238" t="s">
        <v>3045</v>
      </c>
    </row>
    <row r="4239" spans="1:9" x14ac:dyDescent="0.3">
      <c r="A4239" t="s">
        <v>8903</v>
      </c>
      <c r="B4239" t="s">
        <v>711</v>
      </c>
      <c r="C4239">
        <v>1</v>
      </c>
      <c r="D4239" t="s">
        <v>23</v>
      </c>
      <c r="E4239" t="s">
        <v>712</v>
      </c>
    </row>
    <row r="4240" spans="1:9" x14ac:dyDescent="0.3">
      <c r="A4240" t="s">
        <v>8904</v>
      </c>
      <c r="B4240" t="s">
        <v>8905</v>
      </c>
      <c r="C4240">
        <v>1</v>
      </c>
      <c r="D4240" t="s">
        <v>23</v>
      </c>
      <c r="E4240" t="s">
        <v>1003</v>
      </c>
    </row>
    <row r="4241" spans="1:9" x14ac:dyDescent="0.3">
      <c r="A4241" t="s">
        <v>8906</v>
      </c>
      <c r="B4241" t="s">
        <v>8907</v>
      </c>
      <c r="E4241" t="s">
        <v>3174</v>
      </c>
      <c r="I4241" t="s">
        <v>8908</v>
      </c>
    </row>
    <row r="4242" spans="1:9" x14ac:dyDescent="0.3">
      <c r="A4242" t="s">
        <v>4077</v>
      </c>
      <c r="B4242" t="s">
        <v>8909</v>
      </c>
      <c r="C4242">
        <v>15</v>
      </c>
      <c r="D4242" t="s">
        <v>29</v>
      </c>
      <c r="E4242" t="s">
        <v>1056</v>
      </c>
    </row>
    <row r="4243" spans="1:9" x14ac:dyDescent="0.3">
      <c r="A4243" t="s">
        <v>8910</v>
      </c>
      <c r="B4243" t="s">
        <v>8911</v>
      </c>
      <c r="C4243">
        <v>4</v>
      </c>
      <c r="D4243" t="s">
        <v>23</v>
      </c>
      <c r="E4243" t="s">
        <v>1238</v>
      </c>
    </row>
    <row r="4244" spans="1:9" x14ac:dyDescent="0.3">
      <c r="A4244" t="s">
        <v>8912</v>
      </c>
      <c r="B4244" t="s">
        <v>8913</v>
      </c>
      <c r="C4244">
        <v>2</v>
      </c>
      <c r="E4244" t="s">
        <v>8914</v>
      </c>
      <c r="I4244" t="s">
        <v>8915</v>
      </c>
    </row>
    <row r="4245" spans="1:9" x14ac:dyDescent="0.3">
      <c r="A4245" t="s">
        <v>8916</v>
      </c>
      <c r="B4245" t="s">
        <v>8917</v>
      </c>
      <c r="C4245">
        <v>1</v>
      </c>
      <c r="D4245" t="s">
        <v>11</v>
      </c>
      <c r="E4245" t="s">
        <v>8918</v>
      </c>
    </row>
    <row r="4246" spans="1:9" x14ac:dyDescent="0.3">
      <c r="A4246" t="s">
        <v>8919</v>
      </c>
      <c r="B4246" t="s">
        <v>3545</v>
      </c>
      <c r="E4246" t="s">
        <v>3545</v>
      </c>
    </row>
    <row r="4247" spans="1:9" x14ac:dyDescent="0.3">
      <c r="A4247" t="s">
        <v>8920</v>
      </c>
      <c r="B4247" t="s">
        <v>2222</v>
      </c>
      <c r="C4247">
        <v>1.5</v>
      </c>
      <c r="D4247" t="s">
        <v>23</v>
      </c>
      <c r="E4247" t="s">
        <v>41</v>
      </c>
    </row>
    <row r="4248" spans="1:9" x14ac:dyDescent="0.3">
      <c r="A4248" t="s">
        <v>8921</v>
      </c>
      <c r="B4248" t="s">
        <v>8922</v>
      </c>
      <c r="C4248">
        <v>2</v>
      </c>
      <c r="D4248" t="s">
        <v>176</v>
      </c>
      <c r="E4248" t="s">
        <v>8923</v>
      </c>
    </row>
    <row r="4249" spans="1:9" x14ac:dyDescent="0.3">
      <c r="A4249" t="s">
        <v>8924</v>
      </c>
      <c r="B4249" t="s">
        <v>8925</v>
      </c>
      <c r="C4249">
        <v>12.5</v>
      </c>
      <c r="D4249" t="s">
        <v>29</v>
      </c>
      <c r="E4249" t="s">
        <v>8926</v>
      </c>
    </row>
    <row r="4250" spans="1:9" x14ac:dyDescent="0.3">
      <c r="A4250" t="s">
        <v>8927</v>
      </c>
      <c r="B4250" t="s">
        <v>8928</v>
      </c>
      <c r="D4250" t="s">
        <v>426</v>
      </c>
      <c r="E4250" t="s">
        <v>738</v>
      </c>
      <c r="I4250" t="s">
        <v>289</v>
      </c>
    </row>
    <row r="4251" spans="1:9" x14ac:dyDescent="0.3">
      <c r="A4251" t="s">
        <v>8929</v>
      </c>
      <c r="B4251" t="s">
        <v>51</v>
      </c>
      <c r="E4251" t="s">
        <v>51</v>
      </c>
    </row>
    <row r="4252" spans="1:9" x14ac:dyDescent="0.3">
      <c r="A4252" t="s">
        <v>8930</v>
      </c>
      <c r="B4252" t="s">
        <v>8931</v>
      </c>
      <c r="C4252">
        <v>0.25</v>
      </c>
      <c r="D4252" t="s">
        <v>23</v>
      </c>
      <c r="E4252" t="s">
        <v>95</v>
      </c>
    </row>
    <row r="4253" spans="1:9" x14ac:dyDescent="0.3">
      <c r="A4253" t="s">
        <v>8932</v>
      </c>
      <c r="B4253" t="s">
        <v>104</v>
      </c>
      <c r="C4253">
        <v>1</v>
      </c>
      <c r="E4253" t="s">
        <v>105</v>
      </c>
    </row>
    <row r="4254" spans="1:9" x14ac:dyDescent="0.3">
      <c r="A4254" t="s">
        <v>8933</v>
      </c>
      <c r="B4254" t="s">
        <v>7638</v>
      </c>
      <c r="C4254">
        <v>1</v>
      </c>
      <c r="D4254" t="s">
        <v>11</v>
      </c>
      <c r="E4254" t="s">
        <v>8934</v>
      </c>
    </row>
    <row r="4255" spans="1:9" x14ac:dyDescent="0.3">
      <c r="A4255" t="s">
        <v>8935</v>
      </c>
      <c r="B4255" t="s">
        <v>8936</v>
      </c>
      <c r="C4255">
        <v>1.5</v>
      </c>
      <c r="D4255" t="s">
        <v>23</v>
      </c>
      <c r="E4255" t="s">
        <v>8937</v>
      </c>
      <c r="I4255" t="s">
        <v>289</v>
      </c>
    </row>
    <row r="4256" spans="1:9" x14ac:dyDescent="0.3">
      <c r="A4256" t="s">
        <v>8938</v>
      </c>
      <c r="B4256" t="s">
        <v>8939</v>
      </c>
      <c r="C4256">
        <v>0.75</v>
      </c>
      <c r="D4256" t="s">
        <v>37</v>
      </c>
      <c r="E4256" t="s">
        <v>220</v>
      </c>
    </row>
    <row r="4257" spans="1:9" x14ac:dyDescent="0.3">
      <c r="A4257" t="s">
        <v>8940</v>
      </c>
      <c r="B4257" t="s">
        <v>8941</v>
      </c>
      <c r="C4257">
        <v>0.5</v>
      </c>
      <c r="D4257" t="s">
        <v>23</v>
      </c>
      <c r="E4257" t="s">
        <v>38</v>
      </c>
      <c r="G4257" t="s">
        <v>814</v>
      </c>
    </row>
    <row r="4258" spans="1:9" x14ac:dyDescent="0.3">
      <c r="A4258" t="s">
        <v>2313</v>
      </c>
      <c r="B4258" t="s">
        <v>8942</v>
      </c>
      <c r="C4258">
        <v>0.75</v>
      </c>
      <c r="D4258" t="s">
        <v>23</v>
      </c>
      <c r="E4258" t="s">
        <v>160</v>
      </c>
    </row>
    <row r="4259" spans="1:9" x14ac:dyDescent="0.3">
      <c r="A4259" t="s">
        <v>8943</v>
      </c>
      <c r="B4259" t="s">
        <v>5649</v>
      </c>
      <c r="C4259">
        <v>70</v>
      </c>
      <c r="D4259" t="s">
        <v>29</v>
      </c>
      <c r="E4259" t="s">
        <v>738</v>
      </c>
    </row>
    <row r="4260" spans="1:9" x14ac:dyDescent="0.3">
      <c r="A4260" t="s">
        <v>8944</v>
      </c>
      <c r="B4260" t="s">
        <v>8945</v>
      </c>
      <c r="E4260" t="s">
        <v>8946</v>
      </c>
      <c r="G4260" t="s">
        <v>814</v>
      </c>
    </row>
    <row r="4261" spans="1:9" x14ac:dyDescent="0.3">
      <c r="A4261" t="s">
        <v>1494</v>
      </c>
      <c r="B4261" t="s">
        <v>8947</v>
      </c>
      <c r="C4261">
        <v>10</v>
      </c>
      <c r="E4261" t="s">
        <v>7734</v>
      </c>
    </row>
    <row r="4262" spans="1:9" x14ac:dyDescent="0.3">
      <c r="A4262" t="s">
        <v>8948</v>
      </c>
      <c r="B4262" t="s">
        <v>743</v>
      </c>
      <c r="E4262" t="s">
        <v>743</v>
      </c>
    </row>
    <row r="4263" spans="1:9" x14ac:dyDescent="0.3">
      <c r="A4263" t="s">
        <v>8949</v>
      </c>
      <c r="B4263" t="s">
        <v>8950</v>
      </c>
      <c r="C4263">
        <v>2</v>
      </c>
      <c r="D4263" t="s">
        <v>23</v>
      </c>
      <c r="E4263" t="s">
        <v>8951</v>
      </c>
    </row>
    <row r="4264" spans="1:9" x14ac:dyDescent="0.3">
      <c r="A4264" t="s">
        <v>8952</v>
      </c>
      <c r="B4264" t="s">
        <v>8953</v>
      </c>
      <c r="C4264">
        <v>0.5</v>
      </c>
      <c r="D4264" t="s">
        <v>284</v>
      </c>
      <c r="E4264" t="s">
        <v>413</v>
      </c>
      <c r="F4264" t="s">
        <v>1571</v>
      </c>
      <c r="I4264" t="s">
        <v>4067</v>
      </c>
    </row>
    <row r="4265" spans="1:9" x14ac:dyDescent="0.3">
      <c r="A4265" t="s">
        <v>8954</v>
      </c>
      <c r="B4265" t="s">
        <v>8955</v>
      </c>
      <c r="C4265">
        <v>1.5</v>
      </c>
      <c r="D4265" t="s">
        <v>37</v>
      </c>
      <c r="E4265" t="s">
        <v>8956</v>
      </c>
      <c r="I4265" t="s">
        <v>2028</v>
      </c>
    </row>
    <row r="4266" spans="1:9" x14ac:dyDescent="0.3">
      <c r="A4266" t="s">
        <v>8957</v>
      </c>
      <c r="B4266" t="s">
        <v>8958</v>
      </c>
      <c r="C4266">
        <v>0.67</v>
      </c>
      <c r="D4266" t="s">
        <v>23</v>
      </c>
      <c r="E4266" t="s">
        <v>233</v>
      </c>
    </row>
    <row r="4267" spans="1:9" x14ac:dyDescent="0.3">
      <c r="A4267" t="s">
        <v>8959</v>
      </c>
      <c r="B4267" t="s">
        <v>8960</v>
      </c>
      <c r="C4267">
        <v>1.5</v>
      </c>
      <c r="D4267" t="s">
        <v>23</v>
      </c>
      <c r="E4267" t="s">
        <v>796</v>
      </c>
    </row>
    <row r="4268" spans="1:9" x14ac:dyDescent="0.3">
      <c r="A4268" t="s">
        <v>8961</v>
      </c>
      <c r="B4268" t="s">
        <v>8962</v>
      </c>
      <c r="C4268">
        <v>2</v>
      </c>
      <c r="D4268" t="s">
        <v>23</v>
      </c>
      <c r="E4268" t="s">
        <v>8963</v>
      </c>
    </row>
    <row r="4269" spans="1:9" x14ac:dyDescent="0.3">
      <c r="A4269" t="s">
        <v>7272</v>
      </c>
      <c r="B4269" t="s">
        <v>489</v>
      </c>
      <c r="C4269">
        <v>1</v>
      </c>
      <c r="D4269" t="s">
        <v>23</v>
      </c>
      <c r="E4269" t="s">
        <v>233</v>
      </c>
    </row>
    <row r="4270" spans="1:9" x14ac:dyDescent="0.3">
      <c r="A4270" t="s">
        <v>8964</v>
      </c>
      <c r="B4270" t="s">
        <v>1193</v>
      </c>
      <c r="E4270" t="s">
        <v>1193</v>
      </c>
    </row>
    <row r="4271" spans="1:9" x14ac:dyDescent="0.3">
      <c r="A4271" t="s">
        <v>8965</v>
      </c>
      <c r="B4271" t="s">
        <v>8966</v>
      </c>
      <c r="C4271">
        <v>0.75</v>
      </c>
      <c r="D4271" t="s">
        <v>11</v>
      </c>
      <c r="E4271" t="s">
        <v>183</v>
      </c>
    </row>
    <row r="4272" spans="1:9" x14ac:dyDescent="0.3">
      <c r="A4272" t="s">
        <v>8967</v>
      </c>
      <c r="B4272" t="s">
        <v>8968</v>
      </c>
      <c r="C4272">
        <v>8</v>
      </c>
      <c r="D4272" t="s">
        <v>23</v>
      </c>
      <c r="E4272" t="s">
        <v>1030</v>
      </c>
    </row>
    <row r="4273" spans="1:9" x14ac:dyDescent="0.3">
      <c r="A4273" t="s">
        <v>1255</v>
      </c>
      <c r="B4273" t="s">
        <v>8969</v>
      </c>
      <c r="C4273">
        <v>3</v>
      </c>
      <c r="E4273" t="s">
        <v>8970</v>
      </c>
      <c r="I4273" t="s">
        <v>248</v>
      </c>
    </row>
    <row r="4274" spans="1:9" x14ac:dyDescent="0.3">
      <c r="A4274" t="s">
        <v>6417</v>
      </c>
      <c r="B4274" t="s">
        <v>8971</v>
      </c>
      <c r="C4274">
        <v>4</v>
      </c>
      <c r="D4274" t="s">
        <v>91</v>
      </c>
      <c r="E4274" t="s">
        <v>4397</v>
      </c>
      <c r="I4274" t="s">
        <v>20</v>
      </c>
    </row>
    <row r="4275" spans="1:9" x14ac:dyDescent="0.3">
      <c r="A4275" t="s">
        <v>7811</v>
      </c>
      <c r="B4275" t="s">
        <v>4469</v>
      </c>
      <c r="C4275">
        <v>15</v>
      </c>
      <c r="D4275" t="s">
        <v>29</v>
      </c>
      <c r="E4275" t="s">
        <v>4470</v>
      </c>
    </row>
    <row r="4276" spans="1:9" x14ac:dyDescent="0.3">
      <c r="A4276" t="s">
        <v>8972</v>
      </c>
      <c r="B4276" t="s">
        <v>8973</v>
      </c>
      <c r="C4276">
        <v>6</v>
      </c>
      <c r="D4276" t="s">
        <v>23</v>
      </c>
      <c r="E4276" t="s">
        <v>7131</v>
      </c>
    </row>
    <row r="4277" spans="1:9" x14ac:dyDescent="0.3">
      <c r="A4277" t="s">
        <v>8974</v>
      </c>
      <c r="B4277" t="s">
        <v>6112</v>
      </c>
      <c r="C4277">
        <v>0.25</v>
      </c>
      <c r="D4277" t="s">
        <v>37</v>
      </c>
      <c r="E4277" t="s">
        <v>160</v>
      </c>
    </row>
    <row r="4278" spans="1:9" x14ac:dyDescent="0.3">
      <c r="A4278" t="s">
        <v>8975</v>
      </c>
      <c r="B4278" t="s">
        <v>8976</v>
      </c>
      <c r="E4278" t="s">
        <v>6008</v>
      </c>
      <c r="I4278" t="s">
        <v>4154</v>
      </c>
    </row>
    <row r="4279" spans="1:9" x14ac:dyDescent="0.3">
      <c r="A4279" t="s">
        <v>8977</v>
      </c>
      <c r="B4279" t="s">
        <v>8978</v>
      </c>
      <c r="C4279">
        <v>1</v>
      </c>
      <c r="D4279" t="s">
        <v>23</v>
      </c>
      <c r="E4279" t="s">
        <v>2067</v>
      </c>
    </row>
    <row r="4280" spans="1:9" x14ac:dyDescent="0.3">
      <c r="A4280" t="s">
        <v>8979</v>
      </c>
      <c r="B4280" t="s">
        <v>8980</v>
      </c>
      <c r="C4280">
        <v>1</v>
      </c>
      <c r="D4280" t="s">
        <v>23</v>
      </c>
      <c r="E4280" t="s">
        <v>8981</v>
      </c>
    </row>
    <row r="4281" spans="1:9" x14ac:dyDescent="0.3">
      <c r="A4281" t="s">
        <v>8982</v>
      </c>
      <c r="B4281" t="s">
        <v>8983</v>
      </c>
      <c r="C4281">
        <v>0.5</v>
      </c>
      <c r="D4281" t="s">
        <v>23</v>
      </c>
      <c r="E4281" t="s">
        <v>8984</v>
      </c>
    </row>
    <row r="4282" spans="1:9" x14ac:dyDescent="0.3">
      <c r="A4282" t="s">
        <v>8985</v>
      </c>
      <c r="B4282" t="s">
        <v>3925</v>
      </c>
      <c r="C4282">
        <v>0.5</v>
      </c>
      <c r="D4282" t="s">
        <v>23</v>
      </c>
      <c r="E4282" t="s">
        <v>793</v>
      </c>
    </row>
    <row r="4283" spans="1:9" x14ac:dyDescent="0.3">
      <c r="A4283" t="s">
        <v>3418</v>
      </c>
      <c r="B4283" t="s">
        <v>8986</v>
      </c>
      <c r="C4283">
        <v>0.5</v>
      </c>
      <c r="D4283" t="s">
        <v>11</v>
      </c>
      <c r="E4283" t="s">
        <v>8987</v>
      </c>
      <c r="I4283" t="s">
        <v>893</v>
      </c>
    </row>
    <row r="4284" spans="1:9" x14ac:dyDescent="0.3">
      <c r="A4284" t="s">
        <v>8988</v>
      </c>
      <c r="B4284" t="s">
        <v>8989</v>
      </c>
      <c r="C4284">
        <v>1</v>
      </c>
      <c r="D4284" t="s">
        <v>23</v>
      </c>
      <c r="E4284" t="s">
        <v>8990</v>
      </c>
    </row>
    <row r="4285" spans="1:9" x14ac:dyDescent="0.3">
      <c r="A4285" t="s">
        <v>8991</v>
      </c>
      <c r="B4285" t="s">
        <v>8992</v>
      </c>
      <c r="C4285">
        <v>0.75</v>
      </c>
      <c r="D4285" t="s">
        <v>11</v>
      </c>
      <c r="E4285" t="s">
        <v>8993</v>
      </c>
    </row>
    <row r="4286" spans="1:9" x14ac:dyDescent="0.3">
      <c r="A4286" t="s">
        <v>7081</v>
      </c>
      <c r="B4286" t="s">
        <v>8994</v>
      </c>
      <c r="C4286">
        <v>0.5</v>
      </c>
      <c r="D4286" t="s">
        <v>206</v>
      </c>
      <c r="E4286" t="s">
        <v>551</v>
      </c>
    </row>
    <row r="4287" spans="1:9" x14ac:dyDescent="0.3">
      <c r="A4287" t="s">
        <v>8995</v>
      </c>
      <c r="B4287" t="s">
        <v>1299</v>
      </c>
      <c r="C4287">
        <v>4</v>
      </c>
      <c r="D4287" t="s">
        <v>23</v>
      </c>
      <c r="E4287" t="s">
        <v>199</v>
      </c>
    </row>
    <row r="4288" spans="1:9" x14ac:dyDescent="0.3">
      <c r="A4288" t="s">
        <v>8996</v>
      </c>
      <c r="B4288" t="s">
        <v>4467</v>
      </c>
      <c r="C4288">
        <v>0.5</v>
      </c>
      <c r="D4288" t="s">
        <v>23</v>
      </c>
      <c r="E4288" t="s">
        <v>936</v>
      </c>
    </row>
    <row r="4289" spans="1:9" x14ac:dyDescent="0.3">
      <c r="A4289" t="s">
        <v>8997</v>
      </c>
      <c r="B4289" t="s">
        <v>8998</v>
      </c>
      <c r="C4289">
        <v>1</v>
      </c>
      <c r="D4289" t="s">
        <v>91</v>
      </c>
      <c r="E4289" t="s">
        <v>8999</v>
      </c>
      <c r="I4289" t="s">
        <v>20</v>
      </c>
    </row>
    <row r="4290" spans="1:9" x14ac:dyDescent="0.3">
      <c r="A4290" t="s">
        <v>9000</v>
      </c>
      <c r="B4290" t="s">
        <v>320</v>
      </c>
      <c r="E4290" t="s">
        <v>320</v>
      </c>
    </row>
    <row r="4291" spans="1:9" x14ac:dyDescent="0.3">
      <c r="A4291" t="s">
        <v>9001</v>
      </c>
      <c r="B4291" t="s">
        <v>9002</v>
      </c>
      <c r="C4291">
        <v>6</v>
      </c>
      <c r="D4291" t="s">
        <v>23</v>
      </c>
      <c r="E4291" t="s">
        <v>9003</v>
      </c>
    </row>
    <row r="4292" spans="1:9" x14ac:dyDescent="0.3">
      <c r="A4292" t="s">
        <v>5919</v>
      </c>
      <c r="B4292" t="s">
        <v>9004</v>
      </c>
      <c r="C4292">
        <v>2</v>
      </c>
      <c r="D4292" t="s">
        <v>189</v>
      </c>
      <c r="E4292" t="s">
        <v>5487</v>
      </c>
    </row>
    <row r="4293" spans="1:9" x14ac:dyDescent="0.3">
      <c r="A4293" t="s">
        <v>9005</v>
      </c>
      <c r="B4293" t="s">
        <v>3493</v>
      </c>
      <c r="E4293" t="s">
        <v>333</v>
      </c>
      <c r="F4293" t="s">
        <v>1512</v>
      </c>
    </row>
    <row r="4294" spans="1:9" x14ac:dyDescent="0.3">
      <c r="A4294" t="s">
        <v>2883</v>
      </c>
      <c r="B4294" t="s">
        <v>9006</v>
      </c>
      <c r="C4294">
        <v>10</v>
      </c>
      <c r="D4294" t="s">
        <v>29</v>
      </c>
      <c r="E4294" t="s">
        <v>51</v>
      </c>
      <c r="I4294" t="s">
        <v>248</v>
      </c>
    </row>
    <row r="4295" spans="1:9" x14ac:dyDescent="0.3">
      <c r="A4295" t="s">
        <v>5753</v>
      </c>
      <c r="B4295" t="s">
        <v>6402</v>
      </c>
      <c r="C4295">
        <v>1</v>
      </c>
      <c r="D4295" t="s">
        <v>23</v>
      </c>
      <c r="E4295" t="s">
        <v>3269</v>
      </c>
    </row>
    <row r="4296" spans="1:9" x14ac:dyDescent="0.3">
      <c r="A4296" t="s">
        <v>4759</v>
      </c>
      <c r="B4296" t="s">
        <v>9007</v>
      </c>
      <c r="C4296">
        <v>1.67</v>
      </c>
      <c r="D4296" t="s">
        <v>23</v>
      </c>
      <c r="E4296" t="s">
        <v>233</v>
      </c>
    </row>
    <row r="4297" spans="1:9" x14ac:dyDescent="0.3">
      <c r="A4297" t="s">
        <v>9008</v>
      </c>
      <c r="B4297" t="s">
        <v>9009</v>
      </c>
      <c r="C4297">
        <v>0.75</v>
      </c>
      <c r="D4297" t="s">
        <v>23</v>
      </c>
      <c r="E4297" t="s">
        <v>30</v>
      </c>
    </row>
    <row r="4298" spans="1:9" x14ac:dyDescent="0.3">
      <c r="A4298" t="s">
        <v>9010</v>
      </c>
      <c r="B4298" t="s">
        <v>2220</v>
      </c>
      <c r="C4298">
        <v>1</v>
      </c>
      <c r="D4298" t="s">
        <v>1671</v>
      </c>
      <c r="E4298" t="s">
        <v>163</v>
      </c>
    </row>
    <row r="4299" spans="1:9" x14ac:dyDescent="0.3">
      <c r="A4299" t="s">
        <v>9011</v>
      </c>
      <c r="B4299" t="s">
        <v>9012</v>
      </c>
      <c r="C4299">
        <v>2</v>
      </c>
      <c r="D4299" t="s">
        <v>23</v>
      </c>
      <c r="E4299" t="s">
        <v>7925</v>
      </c>
    </row>
    <row r="4300" spans="1:9" x14ac:dyDescent="0.3">
      <c r="A4300" t="s">
        <v>9013</v>
      </c>
      <c r="B4300" t="s">
        <v>9014</v>
      </c>
      <c r="C4300">
        <v>3</v>
      </c>
      <c r="D4300" t="s">
        <v>189</v>
      </c>
      <c r="E4300" t="s">
        <v>190</v>
      </c>
    </row>
    <row r="4301" spans="1:9" x14ac:dyDescent="0.3">
      <c r="A4301" t="s">
        <v>3951</v>
      </c>
      <c r="B4301" t="s">
        <v>9015</v>
      </c>
      <c r="C4301">
        <v>1.5</v>
      </c>
      <c r="D4301" t="s">
        <v>23</v>
      </c>
      <c r="E4301" t="s">
        <v>2602</v>
      </c>
    </row>
    <row r="4302" spans="1:9" x14ac:dyDescent="0.3">
      <c r="A4302" t="s">
        <v>9016</v>
      </c>
      <c r="B4302" t="s">
        <v>9017</v>
      </c>
      <c r="C4302">
        <v>0.33</v>
      </c>
      <c r="D4302" t="s">
        <v>37</v>
      </c>
      <c r="E4302" t="s">
        <v>81</v>
      </c>
      <c r="I4302" t="s">
        <v>9018</v>
      </c>
    </row>
    <row r="4303" spans="1:9" x14ac:dyDescent="0.3">
      <c r="A4303" t="s">
        <v>9019</v>
      </c>
      <c r="B4303" t="s">
        <v>1237</v>
      </c>
      <c r="C4303">
        <v>1</v>
      </c>
      <c r="D4303" t="s">
        <v>23</v>
      </c>
      <c r="E4303" t="s">
        <v>1238</v>
      </c>
    </row>
    <row r="4304" spans="1:9" x14ac:dyDescent="0.3">
      <c r="A4304" t="s">
        <v>5220</v>
      </c>
      <c r="B4304" t="s">
        <v>9020</v>
      </c>
      <c r="C4304">
        <v>2</v>
      </c>
      <c r="D4304" t="s">
        <v>835</v>
      </c>
      <c r="E4304" t="s">
        <v>1578</v>
      </c>
    </row>
    <row r="4305" spans="1:9" x14ac:dyDescent="0.3">
      <c r="A4305" t="s">
        <v>9013</v>
      </c>
      <c r="B4305" t="s">
        <v>8318</v>
      </c>
      <c r="C4305">
        <v>0.25</v>
      </c>
      <c r="D4305" t="s">
        <v>23</v>
      </c>
      <c r="E4305" t="s">
        <v>423</v>
      </c>
    </row>
    <row r="4306" spans="1:9" x14ac:dyDescent="0.3">
      <c r="A4306" t="s">
        <v>4628</v>
      </c>
      <c r="B4306" t="s">
        <v>5276</v>
      </c>
      <c r="C4306">
        <v>0.25</v>
      </c>
      <c r="D4306" t="s">
        <v>11</v>
      </c>
      <c r="E4306" t="s">
        <v>5277</v>
      </c>
    </row>
    <row r="4307" spans="1:9" x14ac:dyDescent="0.3">
      <c r="A4307" t="s">
        <v>9021</v>
      </c>
      <c r="B4307" t="s">
        <v>9022</v>
      </c>
      <c r="C4307">
        <v>1</v>
      </c>
      <c r="D4307" t="s">
        <v>11</v>
      </c>
      <c r="E4307" t="s">
        <v>8181</v>
      </c>
    </row>
    <row r="4308" spans="1:9" x14ac:dyDescent="0.3">
      <c r="A4308" t="s">
        <v>9023</v>
      </c>
      <c r="B4308" t="s">
        <v>9024</v>
      </c>
      <c r="C4308">
        <v>2</v>
      </c>
      <c r="D4308" t="s">
        <v>345</v>
      </c>
      <c r="E4308" t="s">
        <v>5464</v>
      </c>
    </row>
    <row r="4309" spans="1:9" x14ac:dyDescent="0.3">
      <c r="A4309" t="s">
        <v>161</v>
      </c>
      <c r="B4309" t="s">
        <v>8939</v>
      </c>
      <c r="C4309">
        <v>0.75</v>
      </c>
      <c r="D4309" t="s">
        <v>37</v>
      </c>
      <c r="E4309" t="s">
        <v>220</v>
      </c>
    </row>
    <row r="4310" spans="1:9" x14ac:dyDescent="0.3">
      <c r="A4310" t="s">
        <v>6257</v>
      </c>
      <c r="B4310" t="s">
        <v>9025</v>
      </c>
      <c r="C4310">
        <v>0.75</v>
      </c>
      <c r="D4310" t="s">
        <v>284</v>
      </c>
      <c r="E4310" t="s">
        <v>1594</v>
      </c>
    </row>
    <row r="4311" spans="1:9" x14ac:dyDescent="0.3">
      <c r="A4311" t="s">
        <v>1403</v>
      </c>
      <c r="B4311" t="s">
        <v>9026</v>
      </c>
      <c r="C4311">
        <v>4</v>
      </c>
      <c r="D4311" t="s">
        <v>91</v>
      </c>
      <c r="E4311" t="s">
        <v>765</v>
      </c>
    </row>
    <row r="4312" spans="1:9" x14ac:dyDescent="0.3">
      <c r="A4312" t="s">
        <v>4314</v>
      </c>
      <c r="B4312" t="s">
        <v>3132</v>
      </c>
      <c r="E4312" t="s">
        <v>3132</v>
      </c>
    </row>
    <row r="4313" spans="1:9" x14ac:dyDescent="0.3">
      <c r="A4313" t="s">
        <v>9027</v>
      </c>
      <c r="B4313" t="s">
        <v>9028</v>
      </c>
      <c r="C4313">
        <v>50</v>
      </c>
      <c r="D4313" t="s">
        <v>29</v>
      </c>
      <c r="E4313" t="s">
        <v>9029</v>
      </c>
    </row>
    <row r="4314" spans="1:9" x14ac:dyDescent="0.3">
      <c r="A4314" t="s">
        <v>9030</v>
      </c>
      <c r="B4314" t="s">
        <v>9031</v>
      </c>
      <c r="C4314">
        <v>30</v>
      </c>
      <c r="D4314" t="s">
        <v>29</v>
      </c>
      <c r="E4314" t="s">
        <v>5840</v>
      </c>
    </row>
    <row r="4315" spans="1:9" x14ac:dyDescent="0.3">
      <c r="A4315" t="s">
        <v>9032</v>
      </c>
      <c r="B4315" t="s">
        <v>9033</v>
      </c>
      <c r="C4315">
        <v>1.5</v>
      </c>
      <c r="D4315" t="s">
        <v>71</v>
      </c>
      <c r="E4315" t="s">
        <v>265</v>
      </c>
    </row>
    <row r="4316" spans="1:9" x14ac:dyDescent="0.3">
      <c r="A4316" t="s">
        <v>9034</v>
      </c>
      <c r="B4316" t="s">
        <v>9035</v>
      </c>
      <c r="C4316">
        <v>1</v>
      </c>
      <c r="D4316" t="s">
        <v>37</v>
      </c>
      <c r="E4316" t="s">
        <v>24</v>
      </c>
    </row>
    <row r="4317" spans="1:9" x14ac:dyDescent="0.3">
      <c r="A4317" t="s">
        <v>9036</v>
      </c>
      <c r="B4317" t="s">
        <v>9037</v>
      </c>
      <c r="C4317">
        <v>0.75</v>
      </c>
      <c r="D4317" t="s">
        <v>23</v>
      </c>
      <c r="E4317" t="s">
        <v>115</v>
      </c>
    </row>
    <row r="4318" spans="1:9" x14ac:dyDescent="0.3">
      <c r="A4318" t="s">
        <v>9038</v>
      </c>
      <c r="B4318" t="s">
        <v>9039</v>
      </c>
      <c r="C4318">
        <v>10.5</v>
      </c>
      <c r="D4318" t="s">
        <v>91</v>
      </c>
      <c r="E4318" t="s">
        <v>3092</v>
      </c>
      <c r="I4318" t="s">
        <v>654</v>
      </c>
    </row>
    <row r="4319" spans="1:9" x14ac:dyDescent="0.3">
      <c r="A4319" t="s">
        <v>9040</v>
      </c>
      <c r="B4319" t="s">
        <v>9041</v>
      </c>
      <c r="C4319">
        <v>1</v>
      </c>
      <c r="D4319" t="s">
        <v>23</v>
      </c>
      <c r="E4319" t="s">
        <v>341</v>
      </c>
    </row>
    <row r="4320" spans="1:9" x14ac:dyDescent="0.3">
      <c r="A4320" t="s">
        <v>9042</v>
      </c>
      <c r="B4320" t="s">
        <v>9043</v>
      </c>
      <c r="C4320">
        <v>2</v>
      </c>
      <c r="D4320" t="s">
        <v>9044</v>
      </c>
      <c r="E4320" t="s">
        <v>497</v>
      </c>
    </row>
    <row r="4321" spans="1:9" x14ac:dyDescent="0.3">
      <c r="A4321" t="s">
        <v>9045</v>
      </c>
      <c r="B4321" t="s">
        <v>9046</v>
      </c>
      <c r="C4321">
        <v>0.75</v>
      </c>
      <c r="D4321" t="s">
        <v>23</v>
      </c>
      <c r="E4321" t="s">
        <v>9047</v>
      </c>
    </row>
    <row r="4322" spans="1:9" x14ac:dyDescent="0.3">
      <c r="A4322" t="s">
        <v>8223</v>
      </c>
      <c r="B4322" t="s">
        <v>9048</v>
      </c>
      <c r="C4322">
        <v>1</v>
      </c>
      <c r="D4322" t="s">
        <v>11</v>
      </c>
      <c r="E4322" t="s">
        <v>9049</v>
      </c>
    </row>
    <row r="4323" spans="1:9" x14ac:dyDescent="0.3">
      <c r="A4323" t="s">
        <v>9050</v>
      </c>
      <c r="B4323" t="s">
        <v>9051</v>
      </c>
      <c r="C4323">
        <v>0.25</v>
      </c>
      <c r="D4323" t="s">
        <v>11</v>
      </c>
      <c r="E4323" t="s">
        <v>793</v>
      </c>
    </row>
    <row r="4324" spans="1:9" x14ac:dyDescent="0.3">
      <c r="A4324" t="s">
        <v>9052</v>
      </c>
      <c r="B4324" t="s">
        <v>9053</v>
      </c>
      <c r="C4324">
        <v>3</v>
      </c>
      <c r="D4324" t="s">
        <v>23</v>
      </c>
      <c r="E4324" t="s">
        <v>2703</v>
      </c>
    </row>
    <row r="4325" spans="1:9" x14ac:dyDescent="0.3">
      <c r="A4325" t="s">
        <v>9054</v>
      </c>
      <c r="B4325" t="s">
        <v>9055</v>
      </c>
      <c r="C4325">
        <v>0.75</v>
      </c>
      <c r="D4325" t="s">
        <v>37</v>
      </c>
      <c r="E4325" t="s">
        <v>9056</v>
      </c>
    </row>
    <row r="4326" spans="1:9" x14ac:dyDescent="0.3">
      <c r="A4326" t="s">
        <v>9057</v>
      </c>
      <c r="B4326" t="s">
        <v>9058</v>
      </c>
      <c r="C4326">
        <v>0.75</v>
      </c>
      <c r="D4326" t="s">
        <v>23</v>
      </c>
      <c r="E4326" t="s">
        <v>9059</v>
      </c>
    </row>
    <row r="4327" spans="1:9" x14ac:dyDescent="0.3">
      <c r="A4327" t="s">
        <v>9060</v>
      </c>
      <c r="B4327" t="s">
        <v>3424</v>
      </c>
      <c r="C4327">
        <v>1</v>
      </c>
      <c r="D4327" t="s">
        <v>23</v>
      </c>
      <c r="E4327" t="s">
        <v>1209</v>
      </c>
    </row>
    <row r="4328" spans="1:9" x14ac:dyDescent="0.3">
      <c r="A4328" t="s">
        <v>9061</v>
      </c>
      <c r="B4328" t="s">
        <v>9062</v>
      </c>
      <c r="C4328">
        <v>6</v>
      </c>
      <c r="D4328" t="s">
        <v>345</v>
      </c>
      <c r="E4328" t="s">
        <v>516</v>
      </c>
    </row>
    <row r="4329" spans="1:9" x14ac:dyDescent="0.3">
      <c r="A4329" t="s">
        <v>9063</v>
      </c>
      <c r="B4329" t="s">
        <v>9064</v>
      </c>
      <c r="C4329">
        <v>1</v>
      </c>
      <c r="D4329" t="s">
        <v>11</v>
      </c>
      <c r="E4329" t="s">
        <v>9065</v>
      </c>
      <c r="I4329" t="s">
        <v>20</v>
      </c>
    </row>
    <row r="4330" spans="1:9" x14ac:dyDescent="0.3">
      <c r="A4330" t="s">
        <v>9066</v>
      </c>
      <c r="B4330" t="s">
        <v>9067</v>
      </c>
      <c r="C4330">
        <v>20</v>
      </c>
      <c r="D4330" t="s">
        <v>29</v>
      </c>
      <c r="E4330" t="s">
        <v>7453</v>
      </c>
    </row>
    <row r="4331" spans="1:9" x14ac:dyDescent="0.3">
      <c r="A4331" t="s">
        <v>9068</v>
      </c>
      <c r="B4331" t="s">
        <v>9069</v>
      </c>
      <c r="C4331">
        <v>0.75</v>
      </c>
      <c r="D4331" t="s">
        <v>37</v>
      </c>
      <c r="E4331" t="s">
        <v>9070</v>
      </c>
    </row>
    <row r="4332" spans="1:9" x14ac:dyDescent="0.3">
      <c r="A4332" t="s">
        <v>9071</v>
      </c>
      <c r="B4332" t="s">
        <v>6131</v>
      </c>
      <c r="C4332">
        <v>1</v>
      </c>
      <c r="D4332" t="s">
        <v>18</v>
      </c>
      <c r="E4332" t="s">
        <v>61</v>
      </c>
    </row>
    <row r="4333" spans="1:9" x14ac:dyDescent="0.3">
      <c r="A4333" t="s">
        <v>9072</v>
      </c>
      <c r="B4333" t="s">
        <v>9073</v>
      </c>
      <c r="C4333">
        <v>0.5</v>
      </c>
      <c r="D4333" t="s">
        <v>11</v>
      </c>
      <c r="E4333" t="s">
        <v>1238</v>
      </c>
    </row>
    <row r="4334" spans="1:9" x14ac:dyDescent="0.3">
      <c r="A4334" t="s">
        <v>702</v>
      </c>
      <c r="B4334" t="s">
        <v>1179</v>
      </c>
      <c r="C4334">
        <v>1</v>
      </c>
      <c r="D4334" t="s">
        <v>23</v>
      </c>
      <c r="E4334" t="s">
        <v>233</v>
      </c>
    </row>
    <row r="4335" spans="1:9" x14ac:dyDescent="0.3">
      <c r="A4335" t="s">
        <v>2777</v>
      </c>
      <c r="B4335" t="s">
        <v>9074</v>
      </c>
      <c r="C4335">
        <v>100</v>
      </c>
      <c r="D4335" t="s">
        <v>29</v>
      </c>
      <c r="E4335" t="s">
        <v>9075</v>
      </c>
    </row>
    <row r="4336" spans="1:9" x14ac:dyDescent="0.3">
      <c r="A4336" t="s">
        <v>9076</v>
      </c>
      <c r="B4336" t="s">
        <v>2612</v>
      </c>
      <c r="C4336">
        <v>1</v>
      </c>
      <c r="D4336" t="s">
        <v>37</v>
      </c>
      <c r="E4336" t="s">
        <v>1328</v>
      </c>
    </row>
    <row r="4337" spans="1:9" x14ac:dyDescent="0.3">
      <c r="A4337" t="s">
        <v>9077</v>
      </c>
      <c r="B4337" t="s">
        <v>1097</v>
      </c>
      <c r="E4337" t="s">
        <v>1097</v>
      </c>
    </row>
    <row r="4338" spans="1:9" x14ac:dyDescent="0.3">
      <c r="A4338" t="s">
        <v>4372</v>
      </c>
      <c r="B4338" t="s">
        <v>5398</v>
      </c>
      <c r="C4338">
        <v>1</v>
      </c>
      <c r="D4338" t="s">
        <v>33</v>
      </c>
      <c r="E4338" t="s">
        <v>1056</v>
      </c>
    </row>
    <row r="4339" spans="1:9" x14ac:dyDescent="0.3">
      <c r="A4339" t="s">
        <v>9078</v>
      </c>
      <c r="B4339" t="s">
        <v>1118</v>
      </c>
      <c r="C4339">
        <v>1</v>
      </c>
      <c r="D4339" t="s">
        <v>23</v>
      </c>
      <c r="E4339" t="s">
        <v>281</v>
      </c>
    </row>
    <row r="4340" spans="1:9" x14ac:dyDescent="0.3">
      <c r="A4340" t="s">
        <v>9079</v>
      </c>
      <c r="B4340" t="s">
        <v>6886</v>
      </c>
      <c r="C4340">
        <v>2</v>
      </c>
      <c r="D4340" t="s">
        <v>345</v>
      </c>
      <c r="E4340" t="s">
        <v>1451</v>
      </c>
    </row>
    <row r="4341" spans="1:9" x14ac:dyDescent="0.3">
      <c r="A4341" t="s">
        <v>9080</v>
      </c>
      <c r="B4341" t="s">
        <v>2088</v>
      </c>
      <c r="C4341">
        <v>1</v>
      </c>
      <c r="D4341" t="s">
        <v>1990</v>
      </c>
      <c r="E4341" t="s">
        <v>163</v>
      </c>
      <c r="I4341" t="s">
        <v>248</v>
      </c>
    </row>
    <row r="4342" spans="1:9" x14ac:dyDescent="0.3">
      <c r="A4342" t="s">
        <v>9081</v>
      </c>
      <c r="B4342" t="s">
        <v>1369</v>
      </c>
      <c r="C4342">
        <v>1</v>
      </c>
      <c r="D4342" t="s">
        <v>460</v>
      </c>
      <c r="E4342" t="s">
        <v>331</v>
      </c>
    </row>
    <row r="4343" spans="1:9" x14ac:dyDescent="0.3">
      <c r="A4343" t="s">
        <v>4398</v>
      </c>
      <c r="B4343" t="s">
        <v>9082</v>
      </c>
      <c r="C4343">
        <v>2</v>
      </c>
      <c r="D4343" t="s">
        <v>176</v>
      </c>
      <c r="E4343" t="s">
        <v>9083</v>
      </c>
    </row>
    <row r="4344" spans="1:9" x14ac:dyDescent="0.3">
      <c r="A4344" t="s">
        <v>9084</v>
      </c>
      <c r="B4344" t="s">
        <v>9085</v>
      </c>
      <c r="C4344">
        <v>1.76</v>
      </c>
      <c r="D4344" t="s">
        <v>23</v>
      </c>
      <c r="E4344" t="s">
        <v>24</v>
      </c>
    </row>
    <row r="4345" spans="1:9" x14ac:dyDescent="0.3">
      <c r="A4345" t="s">
        <v>7424</v>
      </c>
      <c r="B4345" t="s">
        <v>4002</v>
      </c>
      <c r="C4345">
        <v>1</v>
      </c>
      <c r="D4345" t="s">
        <v>23</v>
      </c>
      <c r="E4345" t="s">
        <v>1003</v>
      </c>
    </row>
    <row r="4346" spans="1:9" x14ac:dyDescent="0.3">
      <c r="A4346" t="s">
        <v>5212</v>
      </c>
      <c r="B4346" t="s">
        <v>9086</v>
      </c>
      <c r="C4346">
        <v>6</v>
      </c>
      <c r="D4346" t="s">
        <v>23</v>
      </c>
      <c r="E4346" t="s">
        <v>9087</v>
      </c>
    </row>
    <row r="4347" spans="1:9" x14ac:dyDescent="0.3">
      <c r="A4347" t="s">
        <v>9088</v>
      </c>
      <c r="B4347" t="s">
        <v>9089</v>
      </c>
      <c r="C4347">
        <v>4</v>
      </c>
      <c r="D4347" t="s">
        <v>23</v>
      </c>
      <c r="E4347" t="s">
        <v>1476</v>
      </c>
    </row>
    <row r="4348" spans="1:9" x14ac:dyDescent="0.3">
      <c r="A4348" t="s">
        <v>9090</v>
      </c>
      <c r="B4348" t="s">
        <v>9091</v>
      </c>
      <c r="E4348" t="s">
        <v>932</v>
      </c>
      <c r="I4348" t="s">
        <v>9092</v>
      </c>
    </row>
    <row r="4349" spans="1:9" x14ac:dyDescent="0.3">
      <c r="A4349" t="s">
        <v>3276</v>
      </c>
      <c r="B4349" t="s">
        <v>743</v>
      </c>
      <c r="E4349" t="s">
        <v>743</v>
      </c>
    </row>
    <row r="4350" spans="1:9" x14ac:dyDescent="0.3">
      <c r="A4350" t="s">
        <v>9093</v>
      </c>
      <c r="B4350" t="s">
        <v>9094</v>
      </c>
      <c r="C4350">
        <v>1</v>
      </c>
      <c r="D4350" t="s">
        <v>23</v>
      </c>
      <c r="E4350" t="s">
        <v>5676</v>
      </c>
    </row>
    <row r="4351" spans="1:9" x14ac:dyDescent="0.3">
      <c r="A4351" t="s">
        <v>9040</v>
      </c>
      <c r="B4351" t="s">
        <v>9095</v>
      </c>
      <c r="C4351">
        <v>2</v>
      </c>
      <c r="D4351" t="s">
        <v>23</v>
      </c>
      <c r="E4351" t="s">
        <v>1077</v>
      </c>
    </row>
    <row r="4352" spans="1:9" x14ac:dyDescent="0.3">
      <c r="A4352" t="s">
        <v>9010</v>
      </c>
      <c r="B4352" t="s">
        <v>459</v>
      </c>
      <c r="C4352">
        <v>2</v>
      </c>
      <c r="D4352" t="s">
        <v>460</v>
      </c>
      <c r="E4352" t="s">
        <v>30</v>
      </c>
    </row>
    <row r="4353" spans="1:9" x14ac:dyDescent="0.3">
      <c r="A4353" t="s">
        <v>9096</v>
      </c>
      <c r="B4353" t="s">
        <v>2905</v>
      </c>
      <c r="C4353">
        <v>6</v>
      </c>
      <c r="D4353" t="s">
        <v>23</v>
      </c>
      <c r="E4353" t="s">
        <v>262</v>
      </c>
    </row>
    <row r="4354" spans="1:9" x14ac:dyDescent="0.3">
      <c r="A4354" t="s">
        <v>9097</v>
      </c>
      <c r="B4354" t="s">
        <v>9098</v>
      </c>
      <c r="C4354">
        <v>3</v>
      </c>
      <c r="D4354" t="s">
        <v>23</v>
      </c>
      <c r="E4354" t="s">
        <v>616</v>
      </c>
    </row>
    <row r="4355" spans="1:9" x14ac:dyDescent="0.3">
      <c r="A4355" t="s">
        <v>3249</v>
      </c>
      <c r="B4355" t="s">
        <v>9099</v>
      </c>
      <c r="D4355" t="s">
        <v>435</v>
      </c>
      <c r="E4355" t="s">
        <v>1169</v>
      </c>
      <c r="I4355" t="s">
        <v>1124</v>
      </c>
    </row>
    <row r="4356" spans="1:9" x14ac:dyDescent="0.3">
      <c r="A4356" t="s">
        <v>9100</v>
      </c>
      <c r="B4356" t="s">
        <v>9101</v>
      </c>
      <c r="C4356">
        <v>7</v>
      </c>
      <c r="D4356" t="s">
        <v>23</v>
      </c>
      <c r="E4356" t="s">
        <v>102</v>
      </c>
    </row>
    <row r="4357" spans="1:9" x14ac:dyDescent="0.3">
      <c r="A4357" t="s">
        <v>6565</v>
      </c>
      <c r="B4357" t="s">
        <v>9102</v>
      </c>
      <c r="C4357">
        <v>16</v>
      </c>
      <c r="D4357" t="s">
        <v>176</v>
      </c>
      <c r="E4357" t="s">
        <v>9103</v>
      </c>
      <c r="H4357" t="s">
        <v>1078</v>
      </c>
    </row>
    <row r="4358" spans="1:9" x14ac:dyDescent="0.3">
      <c r="A4358" t="s">
        <v>9104</v>
      </c>
      <c r="B4358" t="s">
        <v>9105</v>
      </c>
      <c r="C4358">
        <v>1</v>
      </c>
      <c r="D4358" t="s">
        <v>23</v>
      </c>
      <c r="E4358" t="s">
        <v>9106</v>
      </c>
      <c r="I4358" t="s">
        <v>289</v>
      </c>
    </row>
    <row r="4359" spans="1:9" x14ac:dyDescent="0.3">
      <c r="A4359" t="s">
        <v>9107</v>
      </c>
      <c r="B4359" t="s">
        <v>9108</v>
      </c>
      <c r="C4359">
        <v>10</v>
      </c>
      <c r="D4359" t="s">
        <v>29</v>
      </c>
      <c r="E4359" t="s">
        <v>9109</v>
      </c>
    </row>
    <row r="4360" spans="1:9" x14ac:dyDescent="0.3">
      <c r="A4360" t="s">
        <v>9110</v>
      </c>
      <c r="B4360" t="s">
        <v>9111</v>
      </c>
      <c r="C4360">
        <v>1</v>
      </c>
      <c r="D4360" t="s">
        <v>23</v>
      </c>
      <c r="E4360" t="s">
        <v>9112</v>
      </c>
    </row>
    <row r="4361" spans="1:9" x14ac:dyDescent="0.3">
      <c r="A4361" t="s">
        <v>9113</v>
      </c>
      <c r="B4361" t="s">
        <v>9114</v>
      </c>
      <c r="C4361">
        <v>1</v>
      </c>
      <c r="D4361" t="s">
        <v>23</v>
      </c>
      <c r="E4361" t="s">
        <v>9115</v>
      </c>
    </row>
    <row r="4362" spans="1:9" x14ac:dyDescent="0.3">
      <c r="A4362" t="s">
        <v>9116</v>
      </c>
      <c r="B4362" t="s">
        <v>9117</v>
      </c>
      <c r="C4362">
        <v>10.25</v>
      </c>
      <c r="D4362" t="s">
        <v>91</v>
      </c>
      <c r="E4362" t="s">
        <v>9118</v>
      </c>
    </row>
    <row r="4363" spans="1:9" x14ac:dyDescent="0.3">
      <c r="A4363" t="s">
        <v>9119</v>
      </c>
      <c r="B4363" t="s">
        <v>4467</v>
      </c>
      <c r="C4363">
        <v>0.5</v>
      </c>
      <c r="D4363" t="s">
        <v>23</v>
      </c>
      <c r="E4363" t="s">
        <v>936</v>
      </c>
    </row>
    <row r="4364" spans="1:9" x14ac:dyDescent="0.3">
      <c r="A4364" t="s">
        <v>9120</v>
      </c>
      <c r="B4364" t="s">
        <v>2260</v>
      </c>
      <c r="C4364">
        <v>25</v>
      </c>
      <c r="D4364" t="s">
        <v>29</v>
      </c>
      <c r="E4364" t="s">
        <v>30</v>
      </c>
    </row>
    <row r="4365" spans="1:9" x14ac:dyDescent="0.3">
      <c r="A4365" t="s">
        <v>9121</v>
      </c>
      <c r="B4365" t="s">
        <v>9122</v>
      </c>
      <c r="C4365">
        <v>1</v>
      </c>
      <c r="D4365" t="s">
        <v>37</v>
      </c>
      <c r="E4365" t="s">
        <v>2496</v>
      </c>
    </row>
    <row r="4366" spans="1:9" x14ac:dyDescent="0.3">
      <c r="A4366" t="s">
        <v>9123</v>
      </c>
      <c r="B4366" t="s">
        <v>9124</v>
      </c>
      <c r="C4366">
        <v>34</v>
      </c>
      <c r="D4366" t="s">
        <v>23</v>
      </c>
      <c r="E4366" t="s">
        <v>160</v>
      </c>
      <c r="G4366" t="s">
        <v>68</v>
      </c>
    </row>
    <row r="4367" spans="1:9" x14ac:dyDescent="0.3">
      <c r="A4367" t="s">
        <v>9125</v>
      </c>
      <c r="B4367" t="s">
        <v>9126</v>
      </c>
      <c r="C4367">
        <v>1</v>
      </c>
      <c r="D4367" t="s">
        <v>50</v>
      </c>
      <c r="E4367" t="s">
        <v>64</v>
      </c>
    </row>
    <row r="4368" spans="1:9" x14ac:dyDescent="0.3">
      <c r="A4368" t="s">
        <v>9127</v>
      </c>
      <c r="B4368" t="s">
        <v>923</v>
      </c>
      <c r="C4368">
        <v>1.5</v>
      </c>
      <c r="D4368" t="s">
        <v>23</v>
      </c>
      <c r="E4368" t="s">
        <v>233</v>
      </c>
    </row>
    <row r="4369" spans="1:9" x14ac:dyDescent="0.3">
      <c r="A4369" t="s">
        <v>9128</v>
      </c>
      <c r="B4369" t="s">
        <v>9129</v>
      </c>
      <c r="C4369">
        <v>2</v>
      </c>
      <c r="D4369" t="s">
        <v>189</v>
      </c>
      <c r="E4369" t="s">
        <v>9130</v>
      </c>
      <c r="H4369" t="s">
        <v>3058</v>
      </c>
    </row>
    <row r="4370" spans="1:9" x14ac:dyDescent="0.3">
      <c r="A4370" t="s">
        <v>6484</v>
      </c>
      <c r="B4370" t="s">
        <v>9131</v>
      </c>
      <c r="E4370" t="s">
        <v>413</v>
      </c>
      <c r="F4370" t="s">
        <v>9132</v>
      </c>
      <c r="I4370" t="s">
        <v>4154</v>
      </c>
    </row>
    <row r="4371" spans="1:9" x14ac:dyDescent="0.3">
      <c r="A4371" t="s">
        <v>9133</v>
      </c>
      <c r="B4371" t="s">
        <v>4492</v>
      </c>
      <c r="C4371">
        <v>1</v>
      </c>
      <c r="D4371" t="s">
        <v>23</v>
      </c>
      <c r="E4371" t="s">
        <v>3447</v>
      </c>
    </row>
    <row r="4372" spans="1:9" x14ac:dyDescent="0.3">
      <c r="A4372" t="s">
        <v>1520</v>
      </c>
      <c r="B4372" t="s">
        <v>9134</v>
      </c>
      <c r="C4372">
        <v>0.5</v>
      </c>
      <c r="D4372" t="s">
        <v>37</v>
      </c>
      <c r="E4372" t="s">
        <v>81</v>
      </c>
      <c r="I4372" t="s">
        <v>9135</v>
      </c>
    </row>
    <row r="4373" spans="1:9" x14ac:dyDescent="0.3">
      <c r="A4373" t="s">
        <v>5591</v>
      </c>
      <c r="B4373" t="s">
        <v>9136</v>
      </c>
      <c r="C4373">
        <v>10</v>
      </c>
      <c r="E4373" t="s">
        <v>2767</v>
      </c>
      <c r="I4373" t="s">
        <v>248</v>
      </c>
    </row>
    <row r="4374" spans="1:9" x14ac:dyDescent="0.3">
      <c r="A4374" t="s">
        <v>9137</v>
      </c>
      <c r="B4374" t="s">
        <v>9138</v>
      </c>
      <c r="E4374" t="s">
        <v>1139</v>
      </c>
      <c r="I4374" t="s">
        <v>1452</v>
      </c>
    </row>
    <row r="4375" spans="1:9" x14ac:dyDescent="0.3">
      <c r="A4375" t="s">
        <v>2325</v>
      </c>
      <c r="B4375" t="s">
        <v>9139</v>
      </c>
      <c r="C4375">
        <v>1</v>
      </c>
      <c r="D4375" t="s">
        <v>284</v>
      </c>
      <c r="E4375" t="s">
        <v>9140</v>
      </c>
    </row>
    <row r="4376" spans="1:9" x14ac:dyDescent="0.3">
      <c r="A4376" t="s">
        <v>9141</v>
      </c>
      <c r="B4376" t="s">
        <v>4197</v>
      </c>
      <c r="C4376">
        <v>3</v>
      </c>
      <c r="D4376" t="s">
        <v>1338</v>
      </c>
      <c r="E4376" t="s">
        <v>1043</v>
      </c>
      <c r="I4376" t="s">
        <v>289</v>
      </c>
    </row>
    <row r="4377" spans="1:9" x14ac:dyDescent="0.3">
      <c r="A4377" t="s">
        <v>6037</v>
      </c>
      <c r="B4377" t="s">
        <v>9142</v>
      </c>
      <c r="C4377">
        <v>4</v>
      </c>
      <c r="D4377" t="s">
        <v>189</v>
      </c>
      <c r="E4377" t="s">
        <v>2214</v>
      </c>
    </row>
    <row r="4378" spans="1:9" x14ac:dyDescent="0.3">
      <c r="A4378" t="s">
        <v>9143</v>
      </c>
      <c r="B4378" t="s">
        <v>2680</v>
      </c>
      <c r="C4378">
        <v>0.75</v>
      </c>
      <c r="D4378" t="s">
        <v>11</v>
      </c>
      <c r="E4378" t="s">
        <v>57</v>
      </c>
    </row>
    <row r="4379" spans="1:9" x14ac:dyDescent="0.3">
      <c r="A4379" t="s">
        <v>9144</v>
      </c>
      <c r="B4379" t="s">
        <v>9145</v>
      </c>
      <c r="C4379">
        <v>2</v>
      </c>
      <c r="D4379" t="s">
        <v>345</v>
      </c>
      <c r="E4379" t="s">
        <v>547</v>
      </c>
    </row>
    <row r="4380" spans="1:9" x14ac:dyDescent="0.3">
      <c r="A4380" t="s">
        <v>9146</v>
      </c>
      <c r="B4380" t="s">
        <v>9147</v>
      </c>
      <c r="C4380">
        <v>1</v>
      </c>
      <c r="D4380" t="s">
        <v>23</v>
      </c>
      <c r="E4380" t="s">
        <v>9148</v>
      </c>
    </row>
    <row r="4381" spans="1:9" x14ac:dyDescent="0.3">
      <c r="A4381" t="s">
        <v>811</v>
      </c>
      <c r="B4381" t="s">
        <v>9149</v>
      </c>
      <c r="C4381">
        <v>50</v>
      </c>
      <c r="D4381" t="s">
        <v>29</v>
      </c>
      <c r="E4381" t="s">
        <v>9150</v>
      </c>
    </row>
    <row r="4382" spans="1:9" x14ac:dyDescent="0.3">
      <c r="A4382" t="s">
        <v>9151</v>
      </c>
      <c r="B4382" t="s">
        <v>80</v>
      </c>
      <c r="C4382">
        <v>0.5</v>
      </c>
      <c r="D4382" t="s">
        <v>37</v>
      </c>
      <c r="E4382" t="s">
        <v>81</v>
      </c>
    </row>
    <row r="4383" spans="1:9" x14ac:dyDescent="0.3">
      <c r="A4383" t="s">
        <v>9152</v>
      </c>
      <c r="B4383" t="s">
        <v>6868</v>
      </c>
      <c r="C4383">
        <v>0.33</v>
      </c>
      <c r="D4383" t="s">
        <v>23</v>
      </c>
      <c r="E4383" t="s">
        <v>115</v>
      </c>
    </row>
    <row r="4384" spans="1:9" x14ac:dyDescent="0.3">
      <c r="A4384" t="s">
        <v>9153</v>
      </c>
      <c r="B4384" t="s">
        <v>9154</v>
      </c>
      <c r="C4384">
        <v>0.25</v>
      </c>
      <c r="D4384" t="s">
        <v>23</v>
      </c>
      <c r="E4384" t="s">
        <v>1238</v>
      </c>
    </row>
    <row r="4385" spans="1:9" x14ac:dyDescent="0.3">
      <c r="A4385" t="s">
        <v>1551</v>
      </c>
      <c r="B4385" t="s">
        <v>9155</v>
      </c>
      <c r="C4385">
        <v>12</v>
      </c>
      <c r="D4385" t="s">
        <v>23</v>
      </c>
      <c r="E4385" t="s">
        <v>9156</v>
      </c>
    </row>
    <row r="4386" spans="1:9" x14ac:dyDescent="0.3">
      <c r="A4386" t="s">
        <v>9157</v>
      </c>
      <c r="B4386" t="s">
        <v>9158</v>
      </c>
      <c r="C4386">
        <v>1</v>
      </c>
      <c r="D4386" t="s">
        <v>37</v>
      </c>
      <c r="E4386" t="s">
        <v>9159</v>
      </c>
      <c r="G4386" t="s">
        <v>68</v>
      </c>
    </row>
    <row r="4387" spans="1:9" x14ac:dyDescent="0.3">
      <c r="A4387" t="s">
        <v>4696</v>
      </c>
      <c r="B4387" t="s">
        <v>9160</v>
      </c>
      <c r="C4387">
        <v>8</v>
      </c>
      <c r="D4387" t="s">
        <v>23</v>
      </c>
      <c r="E4387" t="s">
        <v>9161</v>
      </c>
      <c r="I4387" t="s">
        <v>9162</v>
      </c>
    </row>
    <row r="4388" spans="1:9" x14ac:dyDescent="0.3">
      <c r="A4388" t="s">
        <v>9163</v>
      </c>
      <c r="B4388" t="s">
        <v>163</v>
      </c>
      <c r="E4388" t="s">
        <v>163</v>
      </c>
    </row>
    <row r="4389" spans="1:9" x14ac:dyDescent="0.3">
      <c r="A4389" t="s">
        <v>2811</v>
      </c>
      <c r="B4389" t="s">
        <v>9164</v>
      </c>
      <c r="C4389">
        <v>1</v>
      </c>
      <c r="D4389" t="s">
        <v>111</v>
      </c>
      <c r="E4389" t="s">
        <v>241</v>
      </c>
    </row>
    <row r="4390" spans="1:9" x14ac:dyDescent="0.3">
      <c r="A4390" t="s">
        <v>9165</v>
      </c>
      <c r="B4390" t="s">
        <v>5811</v>
      </c>
      <c r="D4390" t="s">
        <v>2397</v>
      </c>
      <c r="E4390" t="s">
        <v>1984</v>
      </c>
      <c r="I4390" t="s">
        <v>1124</v>
      </c>
    </row>
    <row r="4391" spans="1:9" x14ac:dyDescent="0.3">
      <c r="A4391" t="s">
        <v>5924</v>
      </c>
      <c r="B4391" t="s">
        <v>7983</v>
      </c>
      <c r="C4391">
        <v>3</v>
      </c>
      <c r="D4391" t="s">
        <v>23</v>
      </c>
      <c r="E4391" t="s">
        <v>2867</v>
      </c>
    </row>
    <row r="4392" spans="1:9" x14ac:dyDescent="0.3">
      <c r="A4392" t="s">
        <v>9166</v>
      </c>
      <c r="B4392" t="s">
        <v>9167</v>
      </c>
      <c r="C4392">
        <v>0.75</v>
      </c>
      <c r="D4392" t="s">
        <v>11</v>
      </c>
      <c r="E4392" t="s">
        <v>9168</v>
      </c>
    </row>
    <row r="4393" spans="1:9" x14ac:dyDescent="0.3">
      <c r="A4393" t="s">
        <v>9169</v>
      </c>
      <c r="B4393" t="s">
        <v>9170</v>
      </c>
      <c r="C4393">
        <v>2</v>
      </c>
      <c r="D4393" t="s">
        <v>23</v>
      </c>
      <c r="E4393" t="s">
        <v>5344</v>
      </c>
    </row>
    <row r="4394" spans="1:9" x14ac:dyDescent="0.3">
      <c r="A4394" t="s">
        <v>9171</v>
      </c>
      <c r="B4394" t="s">
        <v>51</v>
      </c>
      <c r="E4394" t="s">
        <v>51</v>
      </c>
    </row>
    <row r="4395" spans="1:9" x14ac:dyDescent="0.3">
      <c r="A4395" t="s">
        <v>9172</v>
      </c>
      <c r="B4395" t="s">
        <v>9173</v>
      </c>
      <c r="C4395">
        <v>3</v>
      </c>
      <c r="D4395" t="s">
        <v>23</v>
      </c>
      <c r="E4395" t="s">
        <v>6273</v>
      </c>
    </row>
    <row r="4396" spans="1:9" x14ac:dyDescent="0.3">
      <c r="A4396" t="s">
        <v>9174</v>
      </c>
      <c r="B4396" t="s">
        <v>9175</v>
      </c>
      <c r="C4396">
        <v>1.5</v>
      </c>
      <c r="D4396" t="s">
        <v>23</v>
      </c>
      <c r="E4396" t="s">
        <v>9176</v>
      </c>
    </row>
    <row r="4397" spans="1:9" x14ac:dyDescent="0.3">
      <c r="A4397" t="s">
        <v>9177</v>
      </c>
      <c r="B4397" t="s">
        <v>953</v>
      </c>
      <c r="C4397">
        <v>2</v>
      </c>
      <c r="D4397" t="s">
        <v>23</v>
      </c>
      <c r="E4397" t="s">
        <v>738</v>
      </c>
    </row>
    <row r="4398" spans="1:9" x14ac:dyDescent="0.3">
      <c r="A4398" t="s">
        <v>9178</v>
      </c>
      <c r="B4398" t="s">
        <v>9179</v>
      </c>
      <c r="C4398">
        <v>2</v>
      </c>
      <c r="D4398" t="s">
        <v>189</v>
      </c>
      <c r="E4398" t="s">
        <v>9180</v>
      </c>
    </row>
    <row r="4399" spans="1:9" x14ac:dyDescent="0.3">
      <c r="A4399" t="s">
        <v>9181</v>
      </c>
      <c r="B4399" t="s">
        <v>9182</v>
      </c>
      <c r="C4399">
        <v>1.5</v>
      </c>
      <c r="D4399" t="s">
        <v>23</v>
      </c>
      <c r="E4399" t="s">
        <v>9183</v>
      </c>
    </row>
    <row r="4400" spans="1:9" x14ac:dyDescent="0.3">
      <c r="A4400" t="s">
        <v>9184</v>
      </c>
      <c r="B4400" t="s">
        <v>9185</v>
      </c>
      <c r="C4400">
        <v>1</v>
      </c>
      <c r="D4400" t="s">
        <v>460</v>
      </c>
      <c r="E4400" t="s">
        <v>127</v>
      </c>
    </row>
    <row r="4401" spans="1:9" x14ac:dyDescent="0.3">
      <c r="A4401" t="s">
        <v>9186</v>
      </c>
      <c r="B4401" t="s">
        <v>773</v>
      </c>
      <c r="C4401">
        <v>1</v>
      </c>
      <c r="D4401" t="s">
        <v>11</v>
      </c>
      <c r="E4401" t="s">
        <v>88</v>
      </c>
    </row>
    <row r="4402" spans="1:9" x14ac:dyDescent="0.3">
      <c r="A4402" t="s">
        <v>9187</v>
      </c>
      <c r="B4402" t="s">
        <v>9188</v>
      </c>
      <c r="C4402">
        <v>10.25</v>
      </c>
      <c r="D4402" t="s">
        <v>91</v>
      </c>
      <c r="E4402" t="s">
        <v>8094</v>
      </c>
    </row>
    <row r="4403" spans="1:9" x14ac:dyDescent="0.3">
      <c r="A4403" t="s">
        <v>2516</v>
      </c>
      <c r="B4403" t="s">
        <v>9189</v>
      </c>
      <c r="C4403">
        <v>1</v>
      </c>
      <c r="D4403" t="s">
        <v>23</v>
      </c>
      <c r="E4403" t="s">
        <v>4797</v>
      </c>
    </row>
    <row r="4404" spans="1:9" x14ac:dyDescent="0.3">
      <c r="A4404" t="s">
        <v>9190</v>
      </c>
      <c r="B4404" t="s">
        <v>9191</v>
      </c>
      <c r="C4404">
        <v>3</v>
      </c>
      <c r="E4404" t="s">
        <v>9192</v>
      </c>
      <c r="F4404" t="s">
        <v>1571</v>
      </c>
      <c r="G4404" t="s">
        <v>814</v>
      </c>
      <c r="I4404" t="s">
        <v>289</v>
      </c>
    </row>
    <row r="4405" spans="1:9" x14ac:dyDescent="0.3">
      <c r="A4405" t="s">
        <v>9193</v>
      </c>
      <c r="B4405" t="s">
        <v>6246</v>
      </c>
      <c r="E4405" t="s">
        <v>6246</v>
      </c>
    </row>
    <row r="4406" spans="1:9" x14ac:dyDescent="0.3">
      <c r="A4406" t="s">
        <v>4047</v>
      </c>
      <c r="B4406" t="s">
        <v>9194</v>
      </c>
      <c r="C4406">
        <v>1</v>
      </c>
      <c r="E4406" t="s">
        <v>115</v>
      </c>
    </row>
    <row r="4407" spans="1:9" x14ac:dyDescent="0.3">
      <c r="A4407" t="s">
        <v>9195</v>
      </c>
      <c r="B4407" t="s">
        <v>9196</v>
      </c>
      <c r="C4407">
        <v>1</v>
      </c>
      <c r="D4407" t="s">
        <v>18</v>
      </c>
      <c r="E4407" t="s">
        <v>3420</v>
      </c>
    </row>
    <row r="4408" spans="1:9" x14ac:dyDescent="0.3">
      <c r="A4408" t="s">
        <v>9197</v>
      </c>
      <c r="B4408" t="s">
        <v>9198</v>
      </c>
      <c r="C4408">
        <v>4</v>
      </c>
      <c r="E4408" t="s">
        <v>9199</v>
      </c>
    </row>
    <row r="4409" spans="1:9" x14ac:dyDescent="0.3">
      <c r="A4409" t="s">
        <v>9200</v>
      </c>
      <c r="B4409" t="s">
        <v>9201</v>
      </c>
      <c r="C4409">
        <v>1</v>
      </c>
      <c r="D4409" t="s">
        <v>11</v>
      </c>
      <c r="E4409" t="s">
        <v>402</v>
      </c>
      <c r="G4409" t="s">
        <v>814</v>
      </c>
    </row>
    <row r="4410" spans="1:9" x14ac:dyDescent="0.3">
      <c r="A4410" t="s">
        <v>9202</v>
      </c>
      <c r="B4410" t="s">
        <v>9203</v>
      </c>
      <c r="C4410">
        <v>45</v>
      </c>
      <c r="D4410" t="s">
        <v>29</v>
      </c>
      <c r="E4410" t="s">
        <v>9204</v>
      </c>
    </row>
    <row r="4411" spans="1:9" x14ac:dyDescent="0.3">
      <c r="A4411" t="s">
        <v>9205</v>
      </c>
      <c r="B4411" t="s">
        <v>9206</v>
      </c>
      <c r="C4411">
        <v>0.75</v>
      </c>
      <c r="D4411" t="s">
        <v>23</v>
      </c>
      <c r="E4411" t="s">
        <v>2958</v>
      </c>
    </row>
    <row r="4412" spans="1:9" x14ac:dyDescent="0.3">
      <c r="A4412" t="s">
        <v>9207</v>
      </c>
      <c r="B4412" t="s">
        <v>9208</v>
      </c>
      <c r="C4412">
        <v>2</v>
      </c>
      <c r="D4412" t="s">
        <v>189</v>
      </c>
      <c r="E4412" t="s">
        <v>9209</v>
      </c>
      <c r="I4412" t="s">
        <v>9210</v>
      </c>
    </row>
    <row r="4413" spans="1:9" x14ac:dyDescent="0.3">
      <c r="A4413" t="s">
        <v>9211</v>
      </c>
      <c r="B4413" t="s">
        <v>9212</v>
      </c>
      <c r="C4413">
        <v>16</v>
      </c>
      <c r="D4413" t="s">
        <v>23</v>
      </c>
      <c r="E4413" t="s">
        <v>9213</v>
      </c>
    </row>
    <row r="4414" spans="1:9" x14ac:dyDescent="0.3">
      <c r="A4414" t="s">
        <v>9214</v>
      </c>
      <c r="B4414" t="s">
        <v>9215</v>
      </c>
      <c r="C4414">
        <v>2</v>
      </c>
      <c r="D4414" t="s">
        <v>176</v>
      </c>
      <c r="E4414" t="s">
        <v>4907</v>
      </c>
    </row>
    <row r="4415" spans="1:9" x14ac:dyDescent="0.3">
      <c r="A4415" t="s">
        <v>5698</v>
      </c>
      <c r="B4415" t="s">
        <v>9216</v>
      </c>
      <c r="C4415">
        <v>1</v>
      </c>
      <c r="D4415" t="s">
        <v>120</v>
      </c>
      <c r="E4415" t="s">
        <v>64</v>
      </c>
    </row>
    <row r="4416" spans="1:9" x14ac:dyDescent="0.3">
      <c r="A4416" t="s">
        <v>9217</v>
      </c>
      <c r="B4416" t="s">
        <v>4517</v>
      </c>
      <c r="C4416">
        <v>1.5</v>
      </c>
      <c r="D4416" t="s">
        <v>23</v>
      </c>
      <c r="E4416" t="s">
        <v>241</v>
      </c>
    </row>
    <row r="4417" spans="1:9" x14ac:dyDescent="0.3">
      <c r="A4417" t="s">
        <v>9218</v>
      </c>
      <c r="B4417" t="s">
        <v>9219</v>
      </c>
      <c r="C4417">
        <v>0.25</v>
      </c>
      <c r="D4417" t="s">
        <v>11</v>
      </c>
      <c r="E4417" t="s">
        <v>9220</v>
      </c>
    </row>
    <row r="4418" spans="1:9" x14ac:dyDescent="0.3">
      <c r="A4418" t="s">
        <v>9221</v>
      </c>
      <c r="B4418" t="s">
        <v>9222</v>
      </c>
      <c r="C4418">
        <v>3</v>
      </c>
      <c r="D4418" t="s">
        <v>91</v>
      </c>
      <c r="E4418" t="s">
        <v>5688</v>
      </c>
    </row>
    <row r="4419" spans="1:9" x14ac:dyDescent="0.3">
      <c r="A4419" t="s">
        <v>9223</v>
      </c>
      <c r="B4419" t="s">
        <v>163</v>
      </c>
      <c r="E4419" t="s">
        <v>163</v>
      </c>
    </row>
    <row r="4420" spans="1:9" x14ac:dyDescent="0.3">
      <c r="A4420" t="s">
        <v>1060</v>
      </c>
      <c r="B4420" t="s">
        <v>9224</v>
      </c>
      <c r="C4420">
        <v>0.33</v>
      </c>
      <c r="D4420" t="s">
        <v>11</v>
      </c>
      <c r="E4420" t="s">
        <v>524</v>
      </c>
    </row>
    <row r="4421" spans="1:9" x14ac:dyDescent="0.3">
      <c r="A4421" t="s">
        <v>9225</v>
      </c>
      <c r="B4421" t="s">
        <v>233</v>
      </c>
      <c r="E4421" t="s">
        <v>233</v>
      </c>
    </row>
    <row r="4422" spans="1:9" x14ac:dyDescent="0.3">
      <c r="A4422" t="s">
        <v>9226</v>
      </c>
      <c r="B4422" t="s">
        <v>9227</v>
      </c>
      <c r="C4422">
        <v>1</v>
      </c>
      <c r="E4422" t="s">
        <v>9228</v>
      </c>
    </row>
    <row r="4423" spans="1:9" x14ac:dyDescent="0.3">
      <c r="A4423" t="s">
        <v>9229</v>
      </c>
      <c r="B4423" t="s">
        <v>9230</v>
      </c>
      <c r="C4423">
        <v>2</v>
      </c>
      <c r="D4423" t="s">
        <v>23</v>
      </c>
      <c r="E4423" t="s">
        <v>241</v>
      </c>
    </row>
    <row r="4424" spans="1:9" x14ac:dyDescent="0.3">
      <c r="A4424" t="s">
        <v>9231</v>
      </c>
      <c r="B4424" t="s">
        <v>9232</v>
      </c>
      <c r="C4424">
        <v>6</v>
      </c>
      <c r="D4424" t="s">
        <v>23</v>
      </c>
      <c r="E4424" t="s">
        <v>3447</v>
      </c>
    </row>
    <row r="4425" spans="1:9" x14ac:dyDescent="0.3">
      <c r="A4425" t="s">
        <v>9233</v>
      </c>
      <c r="B4425" t="s">
        <v>9234</v>
      </c>
      <c r="C4425">
        <v>1</v>
      </c>
      <c r="D4425" t="s">
        <v>270</v>
      </c>
      <c r="E4425" t="s">
        <v>9235</v>
      </c>
    </row>
    <row r="4426" spans="1:9" x14ac:dyDescent="0.3">
      <c r="A4426" t="s">
        <v>6160</v>
      </c>
      <c r="B4426" t="s">
        <v>1413</v>
      </c>
      <c r="C4426">
        <v>1</v>
      </c>
      <c r="D4426" t="s">
        <v>23</v>
      </c>
      <c r="E4426" t="s">
        <v>292</v>
      </c>
    </row>
    <row r="4427" spans="1:9" x14ac:dyDescent="0.3">
      <c r="A4427" t="s">
        <v>1762</v>
      </c>
      <c r="B4427" t="s">
        <v>9236</v>
      </c>
      <c r="C4427">
        <v>60</v>
      </c>
      <c r="D4427" t="s">
        <v>29</v>
      </c>
      <c r="E4427" t="s">
        <v>9237</v>
      </c>
    </row>
    <row r="4428" spans="1:9" x14ac:dyDescent="0.3">
      <c r="A4428" t="s">
        <v>9238</v>
      </c>
      <c r="B4428" t="s">
        <v>1611</v>
      </c>
      <c r="C4428">
        <v>0.75</v>
      </c>
      <c r="D4428" t="s">
        <v>37</v>
      </c>
      <c r="E4428" t="s">
        <v>160</v>
      </c>
    </row>
    <row r="4429" spans="1:9" x14ac:dyDescent="0.3">
      <c r="A4429" t="s">
        <v>9239</v>
      </c>
      <c r="B4429" t="s">
        <v>9240</v>
      </c>
      <c r="C4429">
        <v>30</v>
      </c>
      <c r="D4429" t="s">
        <v>29</v>
      </c>
      <c r="E4429" t="s">
        <v>857</v>
      </c>
      <c r="I4429" t="s">
        <v>289</v>
      </c>
    </row>
    <row r="4430" spans="1:9" x14ac:dyDescent="0.3">
      <c r="A4430" t="s">
        <v>2366</v>
      </c>
      <c r="B4430" t="s">
        <v>2613</v>
      </c>
      <c r="C4430">
        <v>1</v>
      </c>
      <c r="D4430" t="s">
        <v>23</v>
      </c>
      <c r="E4430" t="s">
        <v>2614</v>
      </c>
    </row>
    <row r="4431" spans="1:9" x14ac:dyDescent="0.3">
      <c r="A4431" t="s">
        <v>9241</v>
      </c>
      <c r="B4431" t="s">
        <v>9242</v>
      </c>
      <c r="C4431">
        <v>4</v>
      </c>
      <c r="D4431" t="s">
        <v>91</v>
      </c>
      <c r="E4431" t="s">
        <v>9243</v>
      </c>
    </row>
    <row r="4432" spans="1:9" x14ac:dyDescent="0.3">
      <c r="A4432" t="s">
        <v>9244</v>
      </c>
      <c r="B4432" t="s">
        <v>9245</v>
      </c>
      <c r="C4432">
        <v>5</v>
      </c>
      <c r="D4432" t="s">
        <v>29</v>
      </c>
      <c r="E4432" t="s">
        <v>5052</v>
      </c>
    </row>
    <row r="4433" spans="1:9" x14ac:dyDescent="0.3">
      <c r="A4433" t="s">
        <v>9246</v>
      </c>
      <c r="B4433" t="s">
        <v>9247</v>
      </c>
      <c r="C4433">
        <v>2</v>
      </c>
      <c r="D4433" t="s">
        <v>345</v>
      </c>
      <c r="E4433" t="s">
        <v>209</v>
      </c>
    </row>
    <row r="4434" spans="1:9" x14ac:dyDescent="0.3">
      <c r="A4434" t="s">
        <v>9248</v>
      </c>
      <c r="B4434" t="s">
        <v>9249</v>
      </c>
      <c r="C4434">
        <v>8</v>
      </c>
      <c r="D4434" t="s">
        <v>23</v>
      </c>
      <c r="E4434" t="s">
        <v>1209</v>
      </c>
    </row>
    <row r="4435" spans="1:9" x14ac:dyDescent="0.3">
      <c r="A4435" t="s">
        <v>9250</v>
      </c>
      <c r="B4435" t="s">
        <v>4919</v>
      </c>
      <c r="C4435">
        <v>0.5</v>
      </c>
      <c r="D4435" t="s">
        <v>23</v>
      </c>
      <c r="E4435" t="s">
        <v>30</v>
      </c>
    </row>
    <row r="4436" spans="1:9" x14ac:dyDescent="0.3">
      <c r="A4436" t="s">
        <v>9251</v>
      </c>
      <c r="B4436" t="s">
        <v>9252</v>
      </c>
      <c r="C4436">
        <v>1</v>
      </c>
      <c r="D4436" t="s">
        <v>206</v>
      </c>
      <c r="E4436" t="s">
        <v>9253</v>
      </c>
    </row>
    <row r="4437" spans="1:9" x14ac:dyDescent="0.3">
      <c r="A4437" t="s">
        <v>9254</v>
      </c>
      <c r="B4437" t="s">
        <v>9255</v>
      </c>
      <c r="D4437" t="s">
        <v>1281</v>
      </c>
      <c r="E4437" t="s">
        <v>1056</v>
      </c>
    </row>
    <row r="4438" spans="1:9" x14ac:dyDescent="0.3">
      <c r="A4438" t="s">
        <v>3602</v>
      </c>
      <c r="B4438" t="s">
        <v>5161</v>
      </c>
      <c r="E4438" t="s">
        <v>5161</v>
      </c>
    </row>
    <row r="4439" spans="1:9" x14ac:dyDescent="0.3">
      <c r="A4439" t="s">
        <v>9256</v>
      </c>
      <c r="B4439" t="s">
        <v>1976</v>
      </c>
      <c r="C4439">
        <v>1</v>
      </c>
      <c r="E4439" t="s">
        <v>1977</v>
      </c>
    </row>
    <row r="4440" spans="1:9" x14ac:dyDescent="0.3">
      <c r="A4440" t="s">
        <v>9257</v>
      </c>
      <c r="B4440" t="s">
        <v>9258</v>
      </c>
      <c r="C4440">
        <v>2</v>
      </c>
      <c r="D4440" t="s">
        <v>227</v>
      </c>
      <c r="E4440" t="s">
        <v>1816</v>
      </c>
    </row>
    <row r="4441" spans="1:9" x14ac:dyDescent="0.3">
      <c r="A4441" t="s">
        <v>9259</v>
      </c>
      <c r="B4441" t="s">
        <v>9260</v>
      </c>
      <c r="C4441">
        <v>1.5</v>
      </c>
      <c r="D4441" t="s">
        <v>345</v>
      </c>
      <c r="E4441" t="s">
        <v>1009</v>
      </c>
      <c r="I4441" t="s">
        <v>2073</v>
      </c>
    </row>
    <row r="4442" spans="1:9" x14ac:dyDescent="0.3">
      <c r="A4442" t="s">
        <v>9261</v>
      </c>
      <c r="B4442" t="s">
        <v>9262</v>
      </c>
      <c r="C4442">
        <v>0.25</v>
      </c>
      <c r="D4442" t="s">
        <v>23</v>
      </c>
      <c r="E4442" t="s">
        <v>1047</v>
      </c>
    </row>
    <row r="4443" spans="1:9" x14ac:dyDescent="0.3">
      <c r="A4443" t="s">
        <v>5118</v>
      </c>
      <c r="B4443" t="s">
        <v>9263</v>
      </c>
      <c r="E4443" t="s">
        <v>738</v>
      </c>
      <c r="G4443" t="s">
        <v>814</v>
      </c>
    </row>
    <row r="4444" spans="1:9" x14ac:dyDescent="0.3">
      <c r="A4444" t="s">
        <v>9264</v>
      </c>
      <c r="B4444" t="s">
        <v>4749</v>
      </c>
      <c r="C4444">
        <v>0.5</v>
      </c>
      <c r="D4444" t="s">
        <v>23</v>
      </c>
      <c r="E4444" t="s">
        <v>1188</v>
      </c>
    </row>
    <row r="4445" spans="1:9" x14ac:dyDescent="0.3">
      <c r="A4445" t="s">
        <v>9265</v>
      </c>
      <c r="B4445" t="s">
        <v>9266</v>
      </c>
      <c r="C4445">
        <v>1</v>
      </c>
      <c r="E4445" t="s">
        <v>9267</v>
      </c>
      <c r="F4445" t="s">
        <v>9268</v>
      </c>
      <c r="G4445" t="s">
        <v>814</v>
      </c>
      <c r="I4445" t="s">
        <v>9269</v>
      </c>
    </row>
    <row r="4446" spans="1:9" x14ac:dyDescent="0.3">
      <c r="A4446" t="s">
        <v>9270</v>
      </c>
      <c r="B4446" t="s">
        <v>618</v>
      </c>
      <c r="C4446">
        <v>1</v>
      </c>
      <c r="E4446" t="s">
        <v>299</v>
      </c>
      <c r="I4446" t="s">
        <v>248</v>
      </c>
    </row>
    <row r="4447" spans="1:9" x14ac:dyDescent="0.3">
      <c r="A4447" t="s">
        <v>1290</v>
      </c>
      <c r="B4447" t="s">
        <v>4346</v>
      </c>
      <c r="C4447">
        <v>10</v>
      </c>
      <c r="D4447" t="s">
        <v>29</v>
      </c>
      <c r="E4447" t="s">
        <v>423</v>
      </c>
    </row>
    <row r="4448" spans="1:9" x14ac:dyDescent="0.3">
      <c r="A4448" t="s">
        <v>9271</v>
      </c>
      <c r="B4448" t="s">
        <v>9272</v>
      </c>
      <c r="C4448">
        <v>0.75</v>
      </c>
      <c r="D4448" t="s">
        <v>37</v>
      </c>
      <c r="E4448" t="s">
        <v>9273</v>
      </c>
      <c r="I4448" t="s">
        <v>2028</v>
      </c>
    </row>
    <row r="4449" spans="1:9" x14ac:dyDescent="0.3">
      <c r="A4449" t="s">
        <v>4776</v>
      </c>
      <c r="B4449" t="s">
        <v>9274</v>
      </c>
      <c r="C4449">
        <v>0.5</v>
      </c>
      <c r="D4449" t="s">
        <v>23</v>
      </c>
      <c r="E4449" t="s">
        <v>9275</v>
      </c>
      <c r="I4449" t="s">
        <v>289</v>
      </c>
    </row>
    <row r="4450" spans="1:9" x14ac:dyDescent="0.3">
      <c r="A4450" t="s">
        <v>8499</v>
      </c>
      <c r="B4450" t="s">
        <v>9276</v>
      </c>
      <c r="C4450">
        <v>10.5</v>
      </c>
      <c r="D4450" t="s">
        <v>91</v>
      </c>
      <c r="E4450" t="s">
        <v>9277</v>
      </c>
      <c r="I4450" t="s">
        <v>654</v>
      </c>
    </row>
    <row r="4451" spans="1:9" x14ac:dyDescent="0.3">
      <c r="A4451" t="s">
        <v>9278</v>
      </c>
      <c r="B4451" t="s">
        <v>6023</v>
      </c>
      <c r="C4451">
        <v>50</v>
      </c>
      <c r="D4451" t="s">
        <v>29</v>
      </c>
      <c r="E4451" t="s">
        <v>6155</v>
      </c>
    </row>
    <row r="4452" spans="1:9" x14ac:dyDescent="0.3">
      <c r="A4452" t="s">
        <v>6649</v>
      </c>
      <c r="B4452" t="s">
        <v>1029</v>
      </c>
      <c r="C4452">
        <v>4</v>
      </c>
      <c r="D4452" t="s">
        <v>23</v>
      </c>
      <c r="E4452" t="s">
        <v>1030</v>
      </c>
      <c r="I4452" t="s">
        <v>289</v>
      </c>
    </row>
    <row r="4453" spans="1:9" x14ac:dyDescent="0.3">
      <c r="A4453" t="s">
        <v>9279</v>
      </c>
      <c r="B4453" t="s">
        <v>3554</v>
      </c>
      <c r="C4453">
        <v>0.5</v>
      </c>
      <c r="D4453" t="s">
        <v>23</v>
      </c>
      <c r="E4453" t="s">
        <v>160</v>
      </c>
      <c r="G4453" t="s">
        <v>68</v>
      </c>
    </row>
    <row r="4454" spans="1:9" x14ac:dyDescent="0.3">
      <c r="A4454" t="s">
        <v>9280</v>
      </c>
      <c r="B4454" t="s">
        <v>9281</v>
      </c>
      <c r="E4454" t="s">
        <v>9281</v>
      </c>
    </row>
    <row r="4455" spans="1:9" x14ac:dyDescent="0.3">
      <c r="A4455" t="s">
        <v>9282</v>
      </c>
      <c r="B4455" t="s">
        <v>2225</v>
      </c>
      <c r="C4455">
        <v>1</v>
      </c>
      <c r="D4455" t="s">
        <v>23</v>
      </c>
      <c r="E4455" t="s">
        <v>183</v>
      </c>
    </row>
    <row r="4456" spans="1:9" x14ac:dyDescent="0.3">
      <c r="A4456" t="s">
        <v>9283</v>
      </c>
      <c r="B4456" t="s">
        <v>9284</v>
      </c>
      <c r="C4456">
        <v>5</v>
      </c>
      <c r="E4456" t="s">
        <v>538</v>
      </c>
      <c r="F4456" t="s">
        <v>7182</v>
      </c>
    </row>
    <row r="4457" spans="1:9" x14ac:dyDescent="0.3">
      <c r="A4457" t="s">
        <v>9285</v>
      </c>
      <c r="B4457" t="s">
        <v>9286</v>
      </c>
      <c r="C4457">
        <v>2</v>
      </c>
      <c r="D4457" t="s">
        <v>23</v>
      </c>
      <c r="E4457" t="s">
        <v>8918</v>
      </c>
    </row>
    <row r="4458" spans="1:9" x14ac:dyDescent="0.3">
      <c r="A4458" t="s">
        <v>9287</v>
      </c>
      <c r="B4458" t="s">
        <v>9288</v>
      </c>
      <c r="C4458">
        <v>1</v>
      </c>
      <c r="D4458" t="s">
        <v>1785</v>
      </c>
      <c r="E4458" t="s">
        <v>5036</v>
      </c>
    </row>
    <row r="4459" spans="1:9" x14ac:dyDescent="0.3">
      <c r="A4459" t="s">
        <v>9289</v>
      </c>
      <c r="B4459" t="s">
        <v>9290</v>
      </c>
      <c r="C4459">
        <v>1</v>
      </c>
      <c r="D4459" t="s">
        <v>23</v>
      </c>
      <c r="E4459" t="s">
        <v>64</v>
      </c>
    </row>
    <row r="4460" spans="1:9" x14ac:dyDescent="0.3">
      <c r="A4460" t="s">
        <v>9291</v>
      </c>
      <c r="B4460" t="s">
        <v>711</v>
      </c>
      <c r="C4460">
        <v>1</v>
      </c>
      <c r="D4460" t="s">
        <v>23</v>
      </c>
      <c r="E4460" t="s">
        <v>712</v>
      </c>
    </row>
    <row r="4461" spans="1:9" x14ac:dyDescent="0.3">
      <c r="A4461" t="s">
        <v>161</v>
      </c>
      <c r="B4461" t="s">
        <v>773</v>
      </c>
      <c r="C4461">
        <v>1</v>
      </c>
      <c r="D4461" t="s">
        <v>11</v>
      </c>
      <c r="E4461" t="s">
        <v>88</v>
      </c>
    </row>
    <row r="4462" spans="1:9" x14ac:dyDescent="0.3">
      <c r="A4462" t="s">
        <v>9292</v>
      </c>
      <c r="B4462" t="s">
        <v>9293</v>
      </c>
      <c r="C4462">
        <v>1</v>
      </c>
      <c r="D4462" t="s">
        <v>1990</v>
      </c>
      <c r="E4462" t="s">
        <v>1056</v>
      </c>
    </row>
    <row r="4463" spans="1:9" x14ac:dyDescent="0.3">
      <c r="A4463" t="s">
        <v>9294</v>
      </c>
      <c r="B4463" t="s">
        <v>9295</v>
      </c>
      <c r="E4463" t="s">
        <v>9296</v>
      </c>
      <c r="H4463" t="s">
        <v>3058</v>
      </c>
    </row>
    <row r="4464" spans="1:9" x14ac:dyDescent="0.3">
      <c r="A4464" t="s">
        <v>9297</v>
      </c>
      <c r="B4464" t="s">
        <v>6571</v>
      </c>
      <c r="C4464">
        <v>1</v>
      </c>
      <c r="D4464" t="s">
        <v>284</v>
      </c>
      <c r="E4464" t="s">
        <v>2178</v>
      </c>
    </row>
    <row r="4465" spans="1:9" x14ac:dyDescent="0.3">
      <c r="A4465" t="s">
        <v>9298</v>
      </c>
      <c r="B4465" t="s">
        <v>8320</v>
      </c>
      <c r="C4465">
        <v>0.5</v>
      </c>
      <c r="D4465" t="s">
        <v>460</v>
      </c>
      <c r="E4465" t="s">
        <v>4654</v>
      </c>
    </row>
    <row r="4466" spans="1:9" x14ac:dyDescent="0.3">
      <c r="A4466" t="s">
        <v>9299</v>
      </c>
      <c r="B4466" t="s">
        <v>9300</v>
      </c>
      <c r="C4466">
        <v>2</v>
      </c>
      <c r="D4466" t="s">
        <v>23</v>
      </c>
      <c r="E4466" t="s">
        <v>1816</v>
      </c>
    </row>
    <row r="4467" spans="1:9" x14ac:dyDescent="0.3">
      <c r="A4467" t="s">
        <v>9301</v>
      </c>
      <c r="B4467" t="s">
        <v>9302</v>
      </c>
      <c r="C4467">
        <v>0.5</v>
      </c>
      <c r="D4467" t="s">
        <v>2646</v>
      </c>
      <c r="E4467" t="s">
        <v>1915</v>
      </c>
    </row>
    <row r="4468" spans="1:9" x14ac:dyDescent="0.3">
      <c r="A4468" t="s">
        <v>9303</v>
      </c>
      <c r="B4468" t="s">
        <v>9304</v>
      </c>
      <c r="C4468">
        <v>0.75</v>
      </c>
      <c r="D4468" t="s">
        <v>23</v>
      </c>
      <c r="E4468" t="s">
        <v>9305</v>
      </c>
    </row>
    <row r="4469" spans="1:9" x14ac:dyDescent="0.3">
      <c r="A4469" t="s">
        <v>9306</v>
      </c>
      <c r="B4469" t="s">
        <v>9307</v>
      </c>
      <c r="C4469">
        <v>0.5</v>
      </c>
      <c r="D4469" t="s">
        <v>37</v>
      </c>
      <c r="E4469" t="s">
        <v>9308</v>
      </c>
    </row>
    <row r="4470" spans="1:9" x14ac:dyDescent="0.3">
      <c r="A4470" t="s">
        <v>6122</v>
      </c>
      <c r="B4470" t="s">
        <v>9309</v>
      </c>
      <c r="C4470">
        <v>3</v>
      </c>
      <c r="D4470" t="s">
        <v>23</v>
      </c>
      <c r="E4470" t="s">
        <v>1644</v>
      </c>
      <c r="I4470" t="s">
        <v>289</v>
      </c>
    </row>
    <row r="4471" spans="1:9" x14ac:dyDescent="0.3">
      <c r="A4471" t="s">
        <v>9310</v>
      </c>
      <c r="B4471" t="s">
        <v>9311</v>
      </c>
      <c r="C4471">
        <v>2</v>
      </c>
      <c r="D4471" t="s">
        <v>189</v>
      </c>
      <c r="E4471" t="s">
        <v>9312</v>
      </c>
    </row>
    <row r="4472" spans="1:9" x14ac:dyDescent="0.3">
      <c r="A4472" t="s">
        <v>9313</v>
      </c>
      <c r="B4472" t="s">
        <v>3709</v>
      </c>
      <c r="C4472">
        <v>1</v>
      </c>
      <c r="D4472" t="s">
        <v>270</v>
      </c>
      <c r="E4472" t="s">
        <v>3710</v>
      </c>
    </row>
    <row r="4473" spans="1:9" x14ac:dyDescent="0.3">
      <c r="A4473" t="s">
        <v>2325</v>
      </c>
      <c r="B4473" t="s">
        <v>2922</v>
      </c>
      <c r="C4473">
        <v>0.5</v>
      </c>
      <c r="D4473" t="s">
        <v>284</v>
      </c>
      <c r="E4473" t="s">
        <v>2178</v>
      </c>
    </row>
    <row r="4474" spans="1:9" x14ac:dyDescent="0.3">
      <c r="A4474" t="s">
        <v>1575</v>
      </c>
      <c r="B4474" t="s">
        <v>9314</v>
      </c>
      <c r="C4474">
        <v>0.5</v>
      </c>
      <c r="D4474" t="s">
        <v>37</v>
      </c>
      <c r="E4474" t="s">
        <v>9315</v>
      </c>
      <c r="I4474" t="s">
        <v>9316</v>
      </c>
    </row>
    <row r="4475" spans="1:9" x14ac:dyDescent="0.3">
      <c r="A4475" t="s">
        <v>4800</v>
      </c>
      <c r="B4475" t="s">
        <v>9317</v>
      </c>
      <c r="D4475" t="s">
        <v>151</v>
      </c>
      <c r="E4475" t="s">
        <v>152</v>
      </c>
      <c r="I4475" t="s">
        <v>9318</v>
      </c>
    </row>
    <row r="4476" spans="1:9" x14ac:dyDescent="0.3">
      <c r="A4476" t="s">
        <v>9319</v>
      </c>
      <c r="B4476" t="s">
        <v>9320</v>
      </c>
      <c r="C4476">
        <v>1</v>
      </c>
      <c r="D4476" t="s">
        <v>23</v>
      </c>
      <c r="E4476" t="s">
        <v>9321</v>
      </c>
    </row>
    <row r="4477" spans="1:9" x14ac:dyDescent="0.3">
      <c r="A4477" t="s">
        <v>9322</v>
      </c>
      <c r="B4477" t="s">
        <v>9323</v>
      </c>
      <c r="C4477">
        <v>2</v>
      </c>
      <c r="D4477" t="s">
        <v>91</v>
      </c>
      <c r="E4477" t="s">
        <v>9324</v>
      </c>
      <c r="I4477" t="s">
        <v>654</v>
      </c>
    </row>
    <row r="4478" spans="1:9" x14ac:dyDescent="0.3">
      <c r="A4478" t="s">
        <v>9325</v>
      </c>
      <c r="B4478" t="s">
        <v>9326</v>
      </c>
      <c r="C4478">
        <v>3</v>
      </c>
      <c r="D4478" t="s">
        <v>1785</v>
      </c>
      <c r="E4478" t="s">
        <v>355</v>
      </c>
    </row>
    <row r="4479" spans="1:9" x14ac:dyDescent="0.3">
      <c r="A4479" t="s">
        <v>8783</v>
      </c>
      <c r="B4479" t="s">
        <v>9327</v>
      </c>
      <c r="C4479">
        <v>1.5</v>
      </c>
      <c r="D4479" t="s">
        <v>37</v>
      </c>
      <c r="E4479" t="s">
        <v>1328</v>
      </c>
    </row>
    <row r="4480" spans="1:9" x14ac:dyDescent="0.3">
      <c r="A4480" t="s">
        <v>1790</v>
      </c>
      <c r="B4480" t="s">
        <v>9328</v>
      </c>
      <c r="C4480">
        <v>2</v>
      </c>
      <c r="D4480" t="s">
        <v>345</v>
      </c>
      <c r="E4480" t="s">
        <v>1204</v>
      </c>
      <c r="H4480" t="s">
        <v>1078</v>
      </c>
      <c r="I4480" t="s">
        <v>9329</v>
      </c>
    </row>
    <row r="4481" spans="1:9" x14ac:dyDescent="0.3">
      <c r="A4481" t="s">
        <v>2020</v>
      </c>
      <c r="B4481" t="s">
        <v>2944</v>
      </c>
      <c r="C4481">
        <v>0.5</v>
      </c>
      <c r="D4481" t="s">
        <v>23</v>
      </c>
      <c r="E4481" t="s">
        <v>1209</v>
      </c>
    </row>
    <row r="4482" spans="1:9" x14ac:dyDescent="0.3">
      <c r="A4482" t="s">
        <v>1533</v>
      </c>
      <c r="B4482" t="s">
        <v>9330</v>
      </c>
      <c r="C4482">
        <v>6</v>
      </c>
      <c r="D4482" t="s">
        <v>23</v>
      </c>
      <c r="E4482" t="s">
        <v>9331</v>
      </c>
    </row>
    <row r="4483" spans="1:9" x14ac:dyDescent="0.3">
      <c r="A4483" t="s">
        <v>9332</v>
      </c>
      <c r="B4483" t="s">
        <v>9333</v>
      </c>
      <c r="C4483">
        <v>70</v>
      </c>
      <c r="D4483" t="s">
        <v>29</v>
      </c>
      <c r="E4483" t="s">
        <v>9334</v>
      </c>
    </row>
    <row r="4484" spans="1:9" x14ac:dyDescent="0.3">
      <c r="A4484" t="s">
        <v>9335</v>
      </c>
      <c r="B4484" t="s">
        <v>9336</v>
      </c>
      <c r="C4484">
        <v>4</v>
      </c>
      <c r="D4484" t="s">
        <v>23</v>
      </c>
      <c r="E4484" t="s">
        <v>4510</v>
      </c>
    </row>
    <row r="4485" spans="1:9" x14ac:dyDescent="0.3">
      <c r="A4485" t="s">
        <v>7681</v>
      </c>
      <c r="B4485" t="s">
        <v>9337</v>
      </c>
      <c r="C4485">
        <v>1</v>
      </c>
      <c r="D4485" t="s">
        <v>23</v>
      </c>
      <c r="E4485" t="s">
        <v>281</v>
      </c>
    </row>
    <row r="4486" spans="1:9" x14ac:dyDescent="0.3">
      <c r="A4486" t="s">
        <v>2297</v>
      </c>
      <c r="B4486" t="s">
        <v>3018</v>
      </c>
      <c r="C4486">
        <v>2</v>
      </c>
      <c r="D4486" t="s">
        <v>189</v>
      </c>
      <c r="E4486" t="s">
        <v>541</v>
      </c>
    </row>
    <row r="4487" spans="1:9" x14ac:dyDescent="0.3">
      <c r="A4487" t="s">
        <v>9338</v>
      </c>
      <c r="B4487" t="s">
        <v>9339</v>
      </c>
      <c r="C4487">
        <v>1</v>
      </c>
      <c r="D4487" t="s">
        <v>18</v>
      </c>
      <c r="E4487" t="s">
        <v>9340</v>
      </c>
    </row>
    <row r="4488" spans="1:9" x14ac:dyDescent="0.3">
      <c r="A4488" t="s">
        <v>9341</v>
      </c>
      <c r="B4488" t="s">
        <v>9342</v>
      </c>
      <c r="D4488" t="s">
        <v>33</v>
      </c>
      <c r="E4488" t="s">
        <v>1056</v>
      </c>
      <c r="I4488" t="s">
        <v>2175</v>
      </c>
    </row>
    <row r="4489" spans="1:9" x14ac:dyDescent="0.3">
      <c r="A4489" t="s">
        <v>9343</v>
      </c>
      <c r="B4489" t="s">
        <v>9344</v>
      </c>
      <c r="C4489">
        <v>1</v>
      </c>
      <c r="D4489" t="s">
        <v>11</v>
      </c>
      <c r="E4489" t="s">
        <v>1027</v>
      </c>
    </row>
    <row r="4490" spans="1:9" x14ac:dyDescent="0.3">
      <c r="A4490" t="s">
        <v>3649</v>
      </c>
      <c r="B4490" t="s">
        <v>333</v>
      </c>
      <c r="E4490" t="s">
        <v>333</v>
      </c>
    </row>
    <row r="4491" spans="1:9" x14ac:dyDescent="0.3">
      <c r="A4491" t="s">
        <v>1196</v>
      </c>
      <c r="B4491" t="s">
        <v>159</v>
      </c>
      <c r="C4491">
        <v>0.75</v>
      </c>
      <c r="D4491" t="s">
        <v>23</v>
      </c>
      <c r="E4491" t="s">
        <v>160</v>
      </c>
      <c r="G4491" t="s">
        <v>68</v>
      </c>
    </row>
    <row r="4492" spans="1:9" x14ac:dyDescent="0.3">
      <c r="A4492" t="s">
        <v>8421</v>
      </c>
      <c r="B4492" t="s">
        <v>9345</v>
      </c>
      <c r="C4492">
        <v>1</v>
      </c>
      <c r="D4492" t="s">
        <v>435</v>
      </c>
      <c r="E4492" t="s">
        <v>1984</v>
      </c>
      <c r="G4492" t="s">
        <v>68</v>
      </c>
    </row>
    <row r="4493" spans="1:9" x14ac:dyDescent="0.3">
      <c r="A4493" t="s">
        <v>9346</v>
      </c>
      <c r="B4493" t="s">
        <v>2220</v>
      </c>
      <c r="C4493">
        <v>1</v>
      </c>
      <c r="D4493" t="s">
        <v>1671</v>
      </c>
      <c r="E4493" t="s">
        <v>163</v>
      </c>
    </row>
    <row r="4494" spans="1:9" x14ac:dyDescent="0.3">
      <c r="A4494" t="s">
        <v>7772</v>
      </c>
      <c r="B4494" t="s">
        <v>9347</v>
      </c>
      <c r="C4494">
        <v>1</v>
      </c>
      <c r="E4494" t="s">
        <v>163</v>
      </c>
    </row>
    <row r="4495" spans="1:9" x14ac:dyDescent="0.3">
      <c r="A4495" t="s">
        <v>9348</v>
      </c>
      <c r="B4495" t="s">
        <v>4296</v>
      </c>
      <c r="C4495">
        <v>0.5</v>
      </c>
      <c r="D4495" t="s">
        <v>37</v>
      </c>
      <c r="E4495" t="s">
        <v>160</v>
      </c>
    </row>
    <row r="4496" spans="1:9" x14ac:dyDescent="0.3">
      <c r="A4496" t="s">
        <v>9349</v>
      </c>
      <c r="B4496" t="s">
        <v>9350</v>
      </c>
      <c r="C4496">
        <v>1.5</v>
      </c>
      <c r="D4496" t="s">
        <v>345</v>
      </c>
      <c r="E4496" t="s">
        <v>3071</v>
      </c>
      <c r="I4496" t="s">
        <v>9351</v>
      </c>
    </row>
    <row r="4497" spans="1:9" x14ac:dyDescent="0.3">
      <c r="A4497" t="s">
        <v>9352</v>
      </c>
      <c r="B4497" t="s">
        <v>9353</v>
      </c>
      <c r="C4497">
        <v>1.5</v>
      </c>
      <c r="D4497" t="s">
        <v>91</v>
      </c>
      <c r="E4497" t="s">
        <v>9354</v>
      </c>
    </row>
    <row r="4498" spans="1:9" x14ac:dyDescent="0.3">
      <c r="A4498" t="s">
        <v>9355</v>
      </c>
      <c r="B4498" t="s">
        <v>9356</v>
      </c>
      <c r="C4498">
        <v>1.5</v>
      </c>
      <c r="D4498" t="s">
        <v>23</v>
      </c>
      <c r="E4498" t="s">
        <v>781</v>
      </c>
    </row>
    <row r="4499" spans="1:9" x14ac:dyDescent="0.3">
      <c r="A4499" t="s">
        <v>5240</v>
      </c>
      <c r="B4499" t="s">
        <v>9357</v>
      </c>
      <c r="C4499">
        <v>0.75</v>
      </c>
      <c r="D4499" t="s">
        <v>206</v>
      </c>
      <c r="E4499" t="s">
        <v>160</v>
      </c>
      <c r="G4499" t="s">
        <v>68</v>
      </c>
    </row>
    <row r="4500" spans="1:9" x14ac:dyDescent="0.3">
      <c r="A4500" t="s">
        <v>9358</v>
      </c>
      <c r="B4500" t="s">
        <v>9359</v>
      </c>
      <c r="C4500">
        <v>1</v>
      </c>
      <c r="E4500" t="s">
        <v>9360</v>
      </c>
      <c r="I4500" t="s">
        <v>248</v>
      </c>
    </row>
    <row r="4501" spans="1:9" x14ac:dyDescent="0.3">
      <c r="A4501" t="s">
        <v>1756</v>
      </c>
      <c r="B4501" t="s">
        <v>9361</v>
      </c>
      <c r="C4501">
        <v>2</v>
      </c>
      <c r="D4501" t="s">
        <v>71</v>
      </c>
      <c r="E4501" t="s">
        <v>220</v>
      </c>
    </row>
    <row r="4502" spans="1:9" x14ac:dyDescent="0.3">
      <c r="A4502" t="s">
        <v>5387</v>
      </c>
      <c r="B4502" t="s">
        <v>9362</v>
      </c>
      <c r="C4502">
        <v>2</v>
      </c>
      <c r="D4502" t="s">
        <v>146</v>
      </c>
      <c r="E4502" t="s">
        <v>9363</v>
      </c>
    </row>
    <row r="4503" spans="1:9" x14ac:dyDescent="0.3">
      <c r="A4503" t="s">
        <v>9038</v>
      </c>
      <c r="B4503" t="s">
        <v>9364</v>
      </c>
      <c r="C4503">
        <v>0.25</v>
      </c>
      <c r="D4503" t="s">
        <v>284</v>
      </c>
      <c r="E4503" t="s">
        <v>3196</v>
      </c>
    </row>
    <row r="4504" spans="1:9" x14ac:dyDescent="0.3">
      <c r="A4504" t="s">
        <v>9365</v>
      </c>
      <c r="B4504" t="s">
        <v>9366</v>
      </c>
      <c r="C4504">
        <v>0.75</v>
      </c>
      <c r="D4504" t="s">
        <v>23</v>
      </c>
      <c r="E4504" t="s">
        <v>1844</v>
      </c>
    </row>
    <row r="4505" spans="1:9" x14ac:dyDescent="0.3">
      <c r="A4505" t="s">
        <v>9367</v>
      </c>
      <c r="B4505" t="s">
        <v>9368</v>
      </c>
      <c r="C4505">
        <v>3</v>
      </c>
      <c r="D4505" t="s">
        <v>91</v>
      </c>
      <c r="E4505" t="s">
        <v>4137</v>
      </c>
    </row>
    <row r="4506" spans="1:9" x14ac:dyDescent="0.3">
      <c r="A4506" t="s">
        <v>1302</v>
      </c>
      <c r="B4506" t="s">
        <v>9369</v>
      </c>
      <c r="C4506">
        <v>2</v>
      </c>
      <c r="E4506" t="s">
        <v>323</v>
      </c>
    </row>
    <row r="4507" spans="1:9" x14ac:dyDescent="0.3">
      <c r="A4507" t="s">
        <v>2109</v>
      </c>
      <c r="B4507" t="s">
        <v>9370</v>
      </c>
      <c r="C4507">
        <v>3</v>
      </c>
      <c r="D4507" t="s">
        <v>71</v>
      </c>
      <c r="E4507" t="s">
        <v>199</v>
      </c>
    </row>
    <row r="4508" spans="1:9" x14ac:dyDescent="0.3">
      <c r="A4508" t="s">
        <v>3418</v>
      </c>
      <c r="B4508" t="s">
        <v>4296</v>
      </c>
      <c r="C4508">
        <v>0.5</v>
      </c>
      <c r="D4508" t="s">
        <v>37</v>
      </c>
      <c r="E4508" t="s">
        <v>160</v>
      </c>
    </row>
    <row r="4509" spans="1:9" x14ac:dyDescent="0.3">
      <c r="A4509" t="s">
        <v>9371</v>
      </c>
      <c r="B4509" t="s">
        <v>9372</v>
      </c>
      <c r="C4509">
        <v>2</v>
      </c>
      <c r="D4509" t="s">
        <v>345</v>
      </c>
      <c r="E4509" t="s">
        <v>9373</v>
      </c>
      <c r="I4509" t="s">
        <v>654</v>
      </c>
    </row>
    <row r="4510" spans="1:9" x14ac:dyDescent="0.3">
      <c r="A4510" t="s">
        <v>6490</v>
      </c>
      <c r="B4510" t="s">
        <v>9374</v>
      </c>
      <c r="C4510">
        <v>2</v>
      </c>
      <c r="D4510" t="s">
        <v>1212</v>
      </c>
      <c r="E4510" t="s">
        <v>9375</v>
      </c>
      <c r="G4510" t="s">
        <v>68</v>
      </c>
      <c r="I4510" t="s">
        <v>9376</v>
      </c>
    </row>
    <row r="4511" spans="1:9" x14ac:dyDescent="0.3">
      <c r="A4511" t="s">
        <v>9377</v>
      </c>
      <c r="B4511" t="s">
        <v>3809</v>
      </c>
      <c r="C4511">
        <v>1</v>
      </c>
      <c r="D4511" t="s">
        <v>23</v>
      </c>
      <c r="E4511" t="s">
        <v>331</v>
      </c>
    </row>
    <row r="4512" spans="1:9" x14ac:dyDescent="0.3">
      <c r="A4512" t="s">
        <v>9378</v>
      </c>
      <c r="B4512" t="s">
        <v>9379</v>
      </c>
      <c r="C4512">
        <v>1</v>
      </c>
      <c r="D4512" t="s">
        <v>71</v>
      </c>
      <c r="E4512" t="s">
        <v>1009</v>
      </c>
    </row>
    <row r="4513" spans="1:9" x14ac:dyDescent="0.3">
      <c r="A4513" t="s">
        <v>9380</v>
      </c>
      <c r="B4513" t="s">
        <v>9381</v>
      </c>
      <c r="C4513">
        <v>50</v>
      </c>
      <c r="D4513" t="s">
        <v>29</v>
      </c>
      <c r="E4513" t="s">
        <v>738</v>
      </c>
    </row>
    <row r="4514" spans="1:9" x14ac:dyDescent="0.3">
      <c r="A4514" t="s">
        <v>9382</v>
      </c>
      <c r="B4514" t="s">
        <v>9383</v>
      </c>
      <c r="C4514">
        <v>1</v>
      </c>
      <c r="E4514" t="s">
        <v>1056</v>
      </c>
    </row>
    <row r="4515" spans="1:9" x14ac:dyDescent="0.3">
      <c r="A4515" t="s">
        <v>9384</v>
      </c>
      <c r="B4515" t="s">
        <v>1711</v>
      </c>
      <c r="C4515">
        <v>0.75</v>
      </c>
      <c r="D4515" t="s">
        <v>23</v>
      </c>
      <c r="E4515" t="s">
        <v>81</v>
      </c>
    </row>
    <row r="4516" spans="1:9" x14ac:dyDescent="0.3">
      <c r="A4516" t="s">
        <v>9385</v>
      </c>
      <c r="B4516" t="s">
        <v>9386</v>
      </c>
      <c r="C4516">
        <v>2</v>
      </c>
      <c r="D4516" t="s">
        <v>23</v>
      </c>
      <c r="E4516" t="s">
        <v>9387</v>
      </c>
    </row>
    <row r="4517" spans="1:9" x14ac:dyDescent="0.3">
      <c r="A4517" t="s">
        <v>2761</v>
      </c>
      <c r="B4517" t="s">
        <v>9388</v>
      </c>
      <c r="C4517">
        <v>2</v>
      </c>
      <c r="E4517" t="s">
        <v>9389</v>
      </c>
    </row>
    <row r="4518" spans="1:9" x14ac:dyDescent="0.3">
      <c r="A4518" t="s">
        <v>9390</v>
      </c>
      <c r="B4518" t="s">
        <v>9170</v>
      </c>
      <c r="C4518">
        <v>2</v>
      </c>
      <c r="D4518" t="s">
        <v>23</v>
      </c>
      <c r="E4518" t="s">
        <v>5344</v>
      </c>
    </row>
    <row r="4519" spans="1:9" x14ac:dyDescent="0.3">
      <c r="A4519" t="s">
        <v>9391</v>
      </c>
      <c r="B4519" t="s">
        <v>80</v>
      </c>
      <c r="C4519">
        <v>0.5</v>
      </c>
      <c r="D4519" t="s">
        <v>37</v>
      </c>
      <c r="E4519" t="s">
        <v>81</v>
      </c>
    </row>
    <row r="4520" spans="1:9" x14ac:dyDescent="0.3">
      <c r="A4520" t="s">
        <v>9392</v>
      </c>
      <c r="B4520" t="s">
        <v>9393</v>
      </c>
      <c r="C4520">
        <v>2</v>
      </c>
      <c r="D4520" t="s">
        <v>23</v>
      </c>
      <c r="E4520" t="s">
        <v>9394</v>
      </c>
    </row>
    <row r="4521" spans="1:9" x14ac:dyDescent="0.3">
      <c r="A4521" t="s">
        <v>9395</v>
      </c>
      <c r="B4521" t="s">
        <v>9396</v>
      </c>
      <c r="C4521">
        <v>20</v>
      </c>
      <c r="D4521" t="s">
        <v>29</v>
      </c>
      <c r="E4521" t="s">
        <v>9397</v>
      </c>
    </row>
    <row r="4522" spans="1:9" x14ac:dyDescent="0.3">
      <c r="A4522" t="s">
        <v>9398</v>
      </c>
      <c r="B4522" t="s">
        <v>8503</v>
      </c>
      <c r="C4522">
        <v>2</v>
      </c>
      <c r="D4522" t="s">
        <v>345</v>
      </c>
      <c r="E4522" t="s">
        <v>24</v>
      </c>
    </row>
    <row r="4523" spans="1:9" x14ac:dyDescent="0.3">
      <c r="A4523" t="s">
        <v>9399</v>
      </c>
      <c r="B4523" t="s">
        <v>9400</v>
      </c>
      <c r="D4523" t="s">
        <v>2397</v>
      </c>
      <c r="E4523" t="s">
        <v>163</v>
      </c>
      <c r="I4523" t="s">
        <v>1968</v>
      </c>
    </row>
    <row r="4524" spans="1:9" x14ac:dyDescent="0.3">
      <c r="A4524" t="s">
        <v>3039</v>
      </c>
      <c r="B4524" t="s">
        <v>9401</v>
      </c>
      <c r="C4524">
        <v>50</v>
      </c>
      <c r="E4524" t="s">
        <v>196</v>
      </c>
    </row>
    <row r="4525" spans="1:9" x14ac:dyDescent="0.3">
      <c r="A4525" t="s">
        <v>9402</v>
      </c>
      <c r="B4525" t="s">
        <v>9403</v>
      </c>
      <c r="C4525">
        <v>0.5</v>
      </c>
      <c r="D4525" t="s">
        <v>435</v>
      </c>
      <c r="E4525" t="s">
        <v>163</v>
      </c>
    </row>
    <row r="4526" spans="1:9" x14ac:dyDescent="0.3">
      <c r="A4526" t="s">
        <v>9404</v>
      </c>
      <c r="B4526" t="s">
        <v>6392</v>
      </c>
      <c r="C4526">
        <v>2</v>
      </c>
      <c r="D4526" t="s">
        <v>189</v>
      </c>
      <c r="E4526" t="s">
        <v>2214</v>
      </c>
    </row>
    <row r="4527" spans="1:9" x14ac:dyDescent="0.3">
      <c r="A4527" t="s">
        <v>536</v>
      </c>
      <c r="B4527" t="s">
        <v>8520</v>
      </c>
      <c r="C4527">
        <v>1</v>
      </c>
      <c r="D4527" t="s">
        <v>246</v>
      </c>
      <c r="E4527" t="s">
        <v>591</v>
      </c>
      <c r="I4527" t="s">
        <v>248</v>
      </c>
    </row>
    <row r="4528" spans="1:9" x14ac:dyDescent="0.3">
      <c r="A4528" t="s">
        <v>9405</v>
      </c>
      <c r="B4528" t="s">
        <v>5043</v>
      </c>
      <c r="C4528">
        <v>1.5</v>
      </c>
      <c r="D4528" t="s">
        <v>23</v>
      </c>
      <c r="E4528" t="s">
        <v>233</v>
      </c>
      <c r="I4528" t="s">
        <v>289</v>
      </c>
    </row>
    <row r="4529" spans="1:9" x14ac:dyDescent="0.3">
      <c r="A4529" t="s">
        <v>9406</v>
      </c>
      <c r="B4529" t="s">
        <v>1286</v>
      </c>
      <c r="C4529">
        <v>2</v>
      </c>
      <c r="D4529" t="s">
        <v>91</v>
      </c>
      <c r="E4529" t="s">
        <v>281</v>
      </c>
    </row>
    <row r="4530" spans="1:9" x14ac:dyDescent="0.3">
      <c r="A4530" t="s">
        <v>9407</v>
      </c>
      <c r="B4530" t="s">
        <v>9408</v>
      </c>
      <c r="C4530">
        <v>0.33</v>
      </c>
      <c r="D4530" t="s">
        <v>11</v>
      </c>
      <c r="E4530" t="s">
        <v>5430</v>
      </c>
    </row>
    <row r="4531" spans="1:9" x14ac:dyDescent="0.3">
      <c r="A4531" t="s">
        <v>9409</v>
      </c>
      <c r="B4531" t="s">
        <v>2697</v>
      </c>
      <c r="C4531">
        <v>1</v>
      </c>
      <c r="D4531" t="s">
        <v>60</v>
      </c>
      <c r="E4531" t="s">
        <v>331</v>
      </c>
    </row>
    <row r="4532" spans="1:9" x14ac:dyDescent="0.3">
      <c r="A4532" t="s">
        <v>9410</v>
      </c>
      <c r="B4532" t="s">
        <v>5655</v>
      </c>
      <c r="C4532">
        <v>1</v>
      </c>
      <c r="D4532" t="s">
        <v>23</v>
      </c>
      <c r="E4532" t="s">
        <v>220</v>
      </c>
    </row>
    <row r="4533" spans="1:9" x14ac:dyDescent="0.3">
      <c r="A4533" t="s">
        <v>9411</v>
      </c>
      <c r="B4533" t="s">
        <v>9412</v>
      </c>
      <c r="C4533">
        <v>1</v>
      </c>
      <c r="D4533" t="s">
        <v>11</v>
      </c>
      <c r="E4533" t="s">
        <v>355</v>
      </c>
    </row>
    <row r="4534" spans="1:9" x14ac:dyDescent="0.3">
      <c r="A4534" t="s">
        <v>9413</v>
      </c>
      <c r="B4534" t="s">
        <v>9414</v>
      </c>
      <c r="C4534">
        <v>2</v>
      </c>
      <c r="D4534" t="s">
        <v>23</v>
      </c>
      <c r="E4534" t="s">
        <v>95</v>
      </c>
    </row>
    <row r="4535" spans="1:9" x14ac:dyDescent="0.3">
      <c r="A4535" t="s">
        <v>9415</v>
      </c>
      <c r="B4535" t="s">
        <v>8833</v>
      </c>
      <c r="C4535">
        <v>150</v>
      </c>
      <c r="D4535" t="s">
        <v>29</v>
      </c>
      <c r="E4535" t="s">
        <v>2138</v>
      </c>
    </row>
    <row r="4536" spans="1:9" x14ac:dyDescent="0.3">
      <c r="A4536" t="s">
        <v>9416</v>
      </c>
      <c r="B4536" t="s">
        <v>5540</v>
      </c>
      <c r="C4536">
        <v>0.75</v>
      </c>
      <c r="D4536" t="s">
        <v>23</v>
      </c>
      <c r="E4536" t="s">
        <v>1209</v>
      </c>
    </row>
    <row r="4537" spans="1:9" x14ac:dyDescent="0.3">
      <c r="A4537" t="s">
        <v>9417</v>
      </c>
      <c r="B4537" t="s">
        <v>9418</v>
      </c>
      <c r="C4537">
        <v>0.5</v>
      </c>
      <c r="D4537" t="s">
        <v>23</v>
      </c>
      <c r="E4537" t="s">
        <v>1431</v>
      </c>
    </row>
    <row r="4538" spans="1:9" x14ac:dyDescent="0.3">
      <c r="A4538" t="s">
        <v>5139</v>
      </c>
      <c r="B4538" t="s">
        <v>9419</v>
      </c>
      <c r="E4538" t="s">
        <v>416</v>
      </c>
      <c r="I4538" t="s">
        <v>1146</v>
      </c>
    </row>
    <row r="4539" spans="1:9" x14ac:dyDescent="0.3">
      <c r="A4539" t="s">
        <v>9420</v>
      </c>
      <c r="B4539" t="s">
        <v>1974</v>
      </c>
      <c r="C4539">
        <v>0.5</v>
      </c>
      <c r="D4539" t="s">
        <v>23</v>
      </c>
      <c r="E4539" t="s">
        <v>758</v>
      </c>
    </row>
    <row r="4540" spans="1:9" x14ac:dyDescent="0.3">
      <c r="A4540" t="s">
        <v>4790</v>
      </c>
      <c r="B4540" t="s">
        <v>9421</v>
      </c>
      <c r="C4540">
        <v>2</v>
      </c>
      <c r="D4540" t="s">
        <v>345</v>
      </c>
      <c r="E4540" t="s">
        <v>9422</v>
      </c>
      <c r="I4540" t="s">
        <v>9423</v>
      </c>
    </row>
    <row r="4541" spans="1:9" x14ac:dyDescent="0.3">
      <c r="A4541">
        <v>46</v>
      </c>
      <c r="B4541" t="s">
        <v>2445</v>
      </c>
      <c r="C4541">
        <v>10.5</v>
      </c>
      <c r="D4541" t="s">
        <v>91</v>
      </c>
      <c r="E4541" t="s">
        <v>2446</v>
      </c>
    </row>
    <row r="4542" spans="1:9" x14ac:dyDescent="0.3">
      <c r="A4542" t="s">
        <v>9424</v>
      </c>
      <c r="B4542" t="s">
        <v>9425</v>
      </c>
      <c r="C4542">
        <v>1</v>
      </c>
      <c r="D4542" t="s">
        <v>18</v>
      </c>
      <c r="E4542" t="s">
        <v>7085</v>
      </c>
    </row>
    <row r="4543" spans="1:9" x14ac:dyDescent="0.3">
      <c r="A4543" t="s">
        <v>9426</v>
      </c>
      <c r="B4543" t="s">
        <v>1179</v>
      </c>
      <c r="C4543">
        <v>1</v>
      </c>
      <c r="D4543" t="s">
        <v>23</v>
      </c>
      <c r="E4543" t="s">
        <v>233</v>
      </c>
    </row>
    <row r="4544" spans="1:9" x14ac:dyDescent="0.3">
      <c r="A4544" t="s">
        <v>9427</v>
      </c>
      <c r="B4544" t="s">
        <v>9428</v>
      </c>
      <c r="C4544">
        <v>1.75</v>
      </c>
      <c r="D4544" t="s">
        <v>345</v>
      </c>
      <c r="E4544" t="s">
        <v>9429</v>
      </c>
      <c r="I4544" t="s">
        <v>9430</v>
      </c>
    </row>
    <row r="4545" spans="1:9" x14ac:dyDescent="0.3">
      <c r="A4545" t="s">
        <v>9431</v>
      </c>
      <c r="B4545" t="s">
        <v>9432</v>
      </c>
      <c r="C4545">
        <v>1</v>
      </c>
      <c r="D4545" t="s">
        <v>23</v>
      </c>
      <c r="E4545" t="s">
        <v>1844</v>
      </c>
      <c r="I4545" t="e">
        <f>- I used Appelton V/X</f>
        <v>#NAME?</v>
      </c>
    </row>
    <row r="4546" spans="1:9" x14ac:dyDescent="0.3">
      <c r="A4546" t="s">
        <v>9433</v>
      </c>
      <c r="B4546" t="s">
        <v>9434</v>
      </c>
      <c r="E4546" t="s">
        <v>9434</v>
      </c>
    </row>
    <row r="4547" spans="1:9" x14ac:dyDescent="0.3">
      <c r="A4547" t="s">
        <v>9435</v>
      </c>
      <c r="B4547" t="s">
        <v>8320</v>
      </c>
      <c r="C4547">
        <v>0.5</v>
      </c>
      <c r="D4547" t="s">
        <v>460</v>
      </c>
      <c r="E4547" t="s">
        <v>4654</v>
      </c>
    </row>
    <row r="4548" spans="1:9" x14ac:dyDescent="0.3">
      <c r="A4548" t="s">
        <v>9436</v>
      </c>
      <c r="B4548" t="s">
        <v>9437</v>
      </c>
      <c r="C4548">
        <v>2</v>
      </c>
      <c r="D4548" t="s">
        <v>23</v>
      </c>
      <c r="E4548" t="s">
        <v>9438</v>
      </c>
    </row>
    <row r="4549" spans="1:9" x14ac:dyDescent="0.3">
      <c r="A4549" t="s">
        <v>9439</v>
      </c>
      <c r="B4549" t="s">
        <v>9440</v>
      </c>
      <c r="C4549">
        <v>10</v>
      </c>
      <c r="D4549" t="s">
        <v>29</v>
      </c>
      <c r="E4549" t="s">
        <v>112</v>
      </c>
    </row>
    <row r="4550" spans="1:9" x14ac:dyDescent="0.3">
      <c r="A4550" t="s">
        <v>9441</v>
      </c>
      <c r="B4550" t="s">
        <v>9442</v>
      </c>
      <c r="C4550">
        <v>1</v>
      </c>
      <c r="D4550" t="s">
        <v>368</v>
      </c>
      <c r="E4550" t="s">
        <v>9443</v>
      </c>
      <c r="I4550" t="s">
        <v>20</v>
      </c>
    </row>
    <row r="4551" spans="1:9" x14ac:dyDescent="0.3">
      <c r="A4551" t="s">
        <v>9444</v>
      </c>
      <c r="B4551" t="s">
        <v>9445</v>
      </c>
      <c r="D4551" t="s">
        <v>469</v>
      </c>
      <c r="E4551" t="s">
        <v>1097</v>
      </c>
      <c r="I4551" t="s">
        <v>289</v>
      </c>
    </row>
    <row r="4552" spans="1:9" x14ac:dyDescent="0.3">
      <c r="A4552" t="s">
        <v>9446</v>
      </c>
      <c r="B4552" t="s">
        <v>9447</v>
      </c>
      <c r="C4552">
        <v>1</v>
      </c>
      <c r="D4552" t="s">
        <v>23</v>
      </c>
      <c r="E4552" t="s">
        <v>1030</v>
      </c>
    </row>
    <row r="4553" spans="1:9" x14ac:dyDescent="0.3">
      <c r="A4553" t="s">
        <v>9448</v>
      </c>
      <c r="B4553" t="s">
        <v>9449</v>
      </c>
      <c r="C4553">
        <v>2</v>
      </c>
      <c r="D4553" t="s">
        <v>146</v>
      </c>
      <c r="E4553" t="s">
        <v>9450</v>
      </c>
    </row>
    <row r="4554" spans="1:9" x14ac:dyDescent="0.3">
      <c r="A4554" t="s">
        <v>9451</v>
      </c>
      <c r="B4554" t="s">
        <v>8555</v>
      </c>
      <c r="C4554">
        <v>2</v>
      </c>
      <c r="D4554" t="s">
        <v>345</v>
      </c>
      <c r="E4554" t="s">
        <v>649</v>
      </c>
    </row>
    <row r="4555" spans="1:9" x14ac:dyDescent="0.3">
      <c r="A4555" t="s">
        <v>1367</v>
      </c>
      <c r="B4555" t="s">
        <v>9452</v>
      </c>
      <c r="C4555">
        <v>10</v>
      </c>
      <c r="D4555" t="s">
        <v>29</v>
      </c>
      <c r="E4555" t="s">
        <v>638</v>
      </c>
    </row>
    <row r="4556" spans="1:9" x14ac:dyDescent="0.3">
      <c r="A4556" t="s">
        <v>9453</v>
      </c>
      <c r="B4556" t="s">
        <v>9454</v>
      </c>
      <c r="C4556">
        <v>1</v>
      </c>
      <c r="D4556" t="s">
        <v>1338</v>
      </c>
      <c r="E4556" t="s">
        <v>9455</v>
      </c>
    </row>
    <row r="4557" spans="1:9" x14ac:dyDescent="0.3">
      <c r="A4557" t="s">
        <v>9456</v>
      </c>
      <c r="B4557" t="s">
        <v>9457</v>
      </c>
      <c r="C4557">
        <v>2</v>
      </c>
      <c r="D4557" t="s">
        <v>91</v>
      </c>
      <c r="E4557" t="s">
        <v>8252</v>
      </c>
      <c r="I4557" t="s">
        <v>20</v>
      </c>
    </row>
    <row r="4558" spans="1:9" x14ac:dyDescent="0.3">
      <c r="A4558" t="s">
        <v>1752</v>
      </c>
      <c r="B4558" t="s">
        <v>9458</v>
      </c>
      <c r="C4558">
        <v>4</v>
      </c>
      <c r="E4558" t="s">
        <v>9459</v>
      </c>
    </row>
    <row r="4559" spans="1:9" x14ac:dyDescent="0.3">
      <c r="A4559" t="s">
        <v>4259</v>
      </c>
      <c r="B4559" t="s">
        <v>9460</v>
      </c>
      <c r="C4559">
        <v>1</v>
      </c>
      <c r="D4559" t="s">
        <v>206</v>
      </c>
      <c r="E4559" t="s">
        <v>9461</v>
      </c>
    </row>
    <row r="4560" spans="1:9" x14ac:dyDescent="0.3">
      <c r="A4560" t="s">
        <v>9462</v>
      </c>
      <c r="B4560" t="s">
        <v>9463</v>
      </c>
      <c r="E4560" t="s">
        <v>444</v>
      </c>
      <c r="I4560" t="s">
        <v>65</v>
      </c>
    </row>
    <row r="4561" spans="1:9" x14ac:dyDescent="0.3">
      <c r="A4561" t="s">
        <v>9464</v>
      </c>
      <c r="B4561" t="s">
        <v>9465</v>
      </c>
      <c r="E4561" t="s">
        <v>253</v>
      </c>
      <c r="I4561" t="s">
        <v>65</v>
      </c>
    </row>
    <row r="4562" spans="1:9" x14ac:dyDescent="0.3">
      <c r="A4562" t="s">
        <v>9466</v>
      </c>
      <c r="B4562" t="s">
        <v>9467</v>
      </c>
      <c r="C4562">
        <v>2</v>
      </c>
      <c r="D4562" t="s">
        <v>345</v>
      </c>
      <c r="E4562" t="s">
        <v>3274</v>
      </c>
    </row>
    <row r="4563" spans="1:9" x14ac:dyDescent="0.3">
      <c r="A4563" t="s">
        <v>9468</v>
      </c>
      <c r="B4563" t="s">
        <v>9469</v>
      </c>
      <c r="C4563">
        <v>1</v>
      </c>
      <c r="D4563" t="s">
        <v>460</v>
      </c>
      <c r="E4563" t="s">
        <v>9470</v>
      </c>
    </row>
    <row r="4564" spans="1:9" x14ac:dyDescent="0.3">
      <c r="A4564" t="s">
        <v>9471</v>
      </c>
      <c r="B4564" t="s">
        <v>9472</v>
      </c>
      <c r="C4564">
        <v>1</v>
      </c>
      <c r="D4564" t="s">
        <v>460</v>
      </c>
      <c r="E4564" t="s">
        <v>199</v>
      </c>
    </row>
    <row r="4565" spans="1:9" x14ac:dyDescent="0.3">
      <c r="A4565" t="s">
        <v>9473</v>
      </c>
      <c r="B4565" t="s">
        <v>6392</v>
      </c>
      <c r="C4565">
        <v>2</v>
      </c>
      <c r="D4565" t="s">
        <v>189</v>
      </c>
      <c r="E4565" t="s">
        <v>2214</v>
      </c>
    </row>
    <row r="4566" spans="1:9" x14ac:dyDescent="0.3">
      <c r="A4566" t="s">
        <v>9474</v>
      </c>
      <c r="B4566" t="s">
        <v>9475</v>
      </c>
      <c r="C4566">
        <v>0.75</v>
      </c>
      <c r="D4566" t="s">
        <v>37</v>
      </c>
      <c r="E4566" t="s">
        <v>9476</v>
      </c>
      <c r="I4566" t="s">
        <v>2028</v>
      </c>
    </row>
    <row r="4567" spans="1:9" x14ac:dyDescent="0.3">
      <c r="A4567" t="s">
        <v>8518</v>
      </c>
      <c r="B4567" t="s">
        <v>9477</v>
      </c>
      <c r="C4567">
        <v>3</v>
      </c>
      <c r="D4567" t="s">
        <v>91</v>
      </c>
      <c r="E4567" t="s">
        <v>253</v>
      </c>
    </row>
    <row r="4568" spans="1:9" x14ac:dyDescent="0.3">
      <c r="A4568" t="s">
        <v>7221</v>
      </c>
      <c r="B4568" t="s">
        <v>9478</v>
      </c>
      <c r="E4568" t="s">
        <v>9478</v>
      </c>
    </row>
    <row r="4569" spans="1:9" x14ac:dyDescent="0.3">
      <c r="A4569" t="s">
        <v>7232</v>
      </c>
      <c r="B4569" t="s">
        <v>9479</v>
      </c>
      <c r="C4569">
        <v>1</v>
      </c>
      <c r="D4569" t="s">
        <v>469</v>
      </c>
      <c r="E4569" t="s">
        <v>4654</v>
      </c>
    </row>
    <row r="4570" spans="1:9" x14ac:dyDescent="0.3">
      <c r="A4570" t="s">
        <v>9480</v>
      </c>
      <c r="B4570" t="s">
        <v>9481</v>
      </c>
      <c r="C4570">
        <v>1.5</v>
      </c>
      <c r="D4570" t="s">
        <v>345</v>
      </c>
      <c r="E4570" t="s">
        <v>9482</v>
      </c>
    </row>
    <row r="4571" spans="1:9" x14ac:dyDescent="0.3">
      <c r="A4571" t="s">
        <v>9483</v>
      </c>
      <c r="B4571" t="s">
        <v>3826</v>
      </c>
      <c r="C4571">
        <v>1</v>
      </c>
      <c r="D4571" t="s">
        <v>37</v>
      </c>
      <c r="E4571" t="s">
        <v>38</v>
      </c>
    </row>
    <row r="4572" spans="1:9" x14ac:dyDescent="0.3">
      <c r="A4572" t="s">
        <v>3480</v>
      </c>
      <c r="B4572" t="s">
        <v>1626</v>
      </c>
      <c r="C4572">
        <v>1</v>
      </c>
      <c r="D4572" t="s">
        <v>11</v>
      </c>
      <c r="E4572" t="s">
        <v>9484</v>
      </c>
    </row>
    <row r="4573" spans="1:9" x14ac:dyDescent="0.3">
      <c r="A4573" t="s">
        <v>4411</v>
      </c>
      <c r="B4573" t="s">
        <v>9485</v>
      </c>
      <c r="C4573">
        <v>0.75</v>
      </c>
      <c r="D4573" t="s">
        <v>23</v>
      </c>
      <c r="E4573" t="s">
        <v>738</v>
      </c>
    </row>
    <row r="4574" spans="1:9" x14ac:dyDescent="0.3">
      <c r="A4574" t="s">
        <v>2300</v>
      </c>
      <c r="B4574" t="s">
        <v>9486</v>
      </c>
      <c r="C4574">
        <v>2</v>
      </c>
      <c r="D4574" t="s">
        <v>227</v>
      </c>
      <c r="E4574" t="s">
        <v>220</v>
      </c>
    </row>
    <row r="4575" spans="1:9" x14ac:dyDescent="0.3">
      <c r="A4575" t="s">
        <v>9487</v>
      </c>
      <c r="B4575" t="s">
        <v>6742</v>
      </c>
      <c r="C4575">
        <v>1.5</v>
      </c>
      <c r="D4575" t="s">
        <v>23</v>
      </c>
      <c r="E4575" t="s">
        <v>6743</v>
      </c>
    </row>
    <row r="4576" spans="1:9" x14ac:dyDescent="0.3">
      <c r="A4576" t="s">
        <v>9488</v>
      </c>
      <c r="B4576" t="s">
        <v>9489</v>
      </c>
      <c r="C4576">
        <v>0.25</v>
      </c>
      <c r="D4576" t="s">
        <v>37</v>
      </c>
      <c r="E4576" t="s">
        <v>558</v>
      </c>
    </row>
    <row r="4577" spans="1:9" x14ac:dyDescent="0.3">
      <c r="A4577" t="s">
        <v>8122</v>
      </c>
      <c r="B4577" t="s">
        <v>3453</v>
      </c>
      <c r="C4577">
        <v>0.5</v>
      </c>
      <c r="D4577" t="s">
        <v>37</v>
      </c>
      <c r="E4577" t="s">
        <v>3454</v>
      </c>
    </row>
    <row r="4578" spans="1:9" x14ac:dyDescent="0.3">
      <c r="A4578" t="s">
        <v>7231</v>
      </c>
      <c r="B4578" t="s">
        <v>9490</v>
      </c>
      <c r="C4578">
        <v>10.5</v>
      </c>
      <c r="D4578" t="s">
        <v>23</v>
      </c>
      <c r="E4578" t="s">
        <v>602</v>
      </c>
    </row>
    <row r="4579" spans="1:9" x14ac:dyDescent="0.3">
      <c r="A4579" t="s">
        <v>9491</v>
      </c>
      <c r="B4579" t="s">
        <v>7561</v>
      </c>
      <c r="C4579">
        <v>2</v>
      </c>
      <c r="D4579" t="s">
        <v>23</v>
      </c>
      <c r="E4579" t="s">
        <v>1003</v>
      </c>
      <c r="I4579" t="s">
        <v>289</v>
      </c>
    </row>
    <row r="4580" spans="1:9" x14ac:dyDescent="0.3">
      <c r="A4580" t="s">
        <v>9492</v>
      </c>
      <c r="B4580" t="s">
        <v>1058</v>
      </c>
      <c r="C4580">
        <v>1</v>
      </c>
      <c r="D4580" t="s">
        <v>426</v>
      </c>
      <c r="E4580" t="s">
        <v>1059</v>
      </c>
    </row>
    <row r="4581" spans="1:9" x14ac:dyDescent="0.3">
      <c r="A4581" t="s">
        <v>5863</v>
      </c>
      <c r="B4581" t="s">
        <v>9493</v>
      </c>
      <c r="C4581">
        <v>2</v>
      </c>
      <c r="D4581" t="s">
        <v>189</v>
      </c>
      <c r="E4581" t="s">
        <v>9494</v>
      </c>
    </row>
    <row r="4582" spans="1:9" x14ac:dyDescent="0.3">
      <c r="A4582" t="s">
        <v>7356</v>
      </c>
      <c r="B4582" t="s">
        <v>4204</v>
      </c>
      <c r="C4582">
        <v>1</v>
      </c>
      <c r="D4582" t="s">
        <v>11</v>
      </c>
      <c r="E4582" t="s">
        <v>281</v>
      </c>
    </row>
    <row r="4583" spans="1:9" x14ac:dyDescent="0.3">
      <c r="A4583" t="s">
        <v>4365</v>
      </c>
      <c r="B4583" t="s">
        <v>2367</v>
      </c>
      <c r="C4583">
        <v>1</v>
      </c>
      <c r="D4583" t="s">
        <v>23</v>
      </c>
      <c r="E4583" t="s">
        <v>2368</v>
      </c>
    </row>
    <row r="4584" spans="1:9" x14ac:dyDescent="0.3">
      <c r="A4584" t="s">
        <v>9495</v>
      </c>
      <c r="B4584" t="s">
        <v>3216</v>
      </c>
      <c r="C4584">
        <v>0.75</v>
      </c>
      <c r="D4584" t="s">
        <v>23</v>
      </c>
      <c r="E4584" t="s">
        <v>38</v>
      </c>
      <c r="G4584" t="s">
        <v>68</v>
      </c>
    </row>
    <row r="4585" spans="1:9" x14ac:dyDescent="0.3">
      <c r="A4585" t="s">
        <v>9496</v>
      </c>
      <c r="B4585" t="s">
        <v>1058</v>
      </c>
      <c r="C4585">
        <v>1</v>
      </c>
      <c r="D4585" t="s">
        <v>426</v>
      </c>
      <c r="E4585" t="s">
        <v>1059</v>
      </c>
    </row>
    <row r="4586" spans="1:9" x14ac:dyDescent="0.3">
      <c r="A4586" t="s">
        <v>4015</v>
      </c>
      <c r="B4586" t="s">
        <v>9497</v>
      </c>
      <c r="C4586">
        <v>1</v>
      </c>
      <c r="E4586" t="s">
        <v>1030</v>
      </c>
      <c r="I4586" t="s">
        <v>9498</v>
      </c>
    </row>
    <row r="4587" spans="1:9" x14ac:dyDescent="0.3">
      <c r="A4587" t="s">
        <v>9499</v>
      </c>
      <c r="B4587" t="s">
        <v>9500</v>
      </c>
      <c r="E4587" t="s">
        <v>9500</v>
      </c>
    </row>
    <row r="4588" spans="1:9" x14ac:dyDescent="0.3">
      <c r="A4588" t="s">
        <v>9501</v>
      </c>
      <c r="B4588" t="s">
        <v>9502</v>
      </c>
      <c r="C4588">
        <v>2</v>
      </c>
      <c r="D4588" t="s">
        <v>23</v>
      </c>
      <c r="E4588" t="s">
        <v>9503</v>
      </c>
    </row>
    <row r="4589" spans="1:9" x14ac:dyDescent="0.3">
      <c r="A4589" t="s">
        <v>9504</v>
      </c>
      <c r="B4589" t="s">
        <v>3318</v>
      </c>
      <c r="C4589">
        <v>0.75</v>
      </c>
      <c r="D4589" t="s">
        <v>11</v>
      </c>
      <c r="E4589" t="s">
        <v>1674</v>
      </c>
    </row>
    <row r="4590" spans="1:9" x14ac:dyDescent="0.3">
      <c r="A4590" t="s">
        <v>5500</v>
      </c>
      <c r="B4590" t="s">
        <v>9505</v>
      </c>
      <c r="C4590">
        <v>0.75</v>
      </c>
      <c r="D4590" t="s">
        <v>37</v>
      </c>
      <c r="E4590" t="s">
        <v>2449</v>
      </c>
      <c r="I4590" t="s">
        <v>9506</v>
      </c>
    </row>
    <row r="4591" spans="1:9" x14ac:dyDescent="0.3">
      <c r="A4591" t="s">
        <v>7904</v>
      </c>
      <c r="B4591" t="s">
        <v>9507</v>
      </c>
      <c r="C4591">
        <v>0.67</v>
      </c>
      <c r="D4591" t="s">
        <v>284</v>
      </c>
      <c r="E4591" t="s">
        <v>7058</v>
      </c>
    </row>
    <row r="4592" spans="1:9" x14ac:dyDescent="0.3">
      <c r="A4592" t="s">
        <v>2064</v>
      </c>
      <c r="B4592" t="s">
        <v>9094</v>
      </c>
      <c r="C4592">
        <v>1</v>
      </c>
      <c r="D4592" t="s">
        <v>23</v>
      </c>
      <c r="E4592" t="s">
        <v>5676</v>
      </c>
    </row>
    <row r="4593" spans="1:9" x14ac:dyDescent="0.3">
      <c r="A4593" t="s">
        <v>9508</v>
      </c>
      <c r="B4593" t="s">
        <v>879</v>
      </c>
      <c r="C4593">
        <v>1</v>
      </c>
      <c r="D4593" t="s">
        <v>23</v>
      </c>
      <c r="E4593" t="s">
        <v>880</v>
      </c>
    </row>
    <row r="4594" spans="1:9" x14ac:dyDescent="0.3">
      <c r="A4594" t="s">
        <v>9509</v>
      </c>
      <c r="B4594" t="s">
        <v>9510</v>
      </c>
      <c r="C4594">
        <v>0.5</v>
      </c>
      <c r="D4594" t="s">
        <v>206</v>
      </c>
      <c r="E4594" t="s">
        <v>4705</v>
      </c>
      <c r="I4594" t="s">
        <v>9511</v>
      </c>
    </row>
    <row r="4595" spans="1:9" x14ac:dyDescent="0.3">
      <c r="A4595" t="s">
        <v>9512</v>
      </c>
      <c r="B4595" t="s">
        <v>9513</v>
      </c>
      <c r="C4595">
        <v>2</v>
      </c>
      <c r="D4595" t="s">
        <v>23</v>
      </c>
      <c r="E4595" t="s">
        <v>9514</v>
      </c>
    </row>
    <row r="4596" spans="1:9" x14ac:dyDescent="0.3">
      <c r="A4596" t="s">
        <v>9515</v>
      </c>
      <c r="B4596" t="s">
        <v>9516</v>
      </c>
      <c r="C4596">
        <v>4</v>
      </c>
      <c r="D4596" t="s">
        <v>23</v>
      </c>
      <c r="E4596" t="s">
        <v>3442</v>
      </c>
      <c r="H4596" t="s">
        <v>3058</v>
      </c>
    </row>
    <row r="4597" spans="1:9" x14ac:dyDescent="0.3">
      <c r="A4597" t="s">
        <v>9517</v>
      </c>
      <c r="B4597" t="s">
        <v>57</v>
      </c>
      <c r="E4597" t="s">
        <v>57</v>
      </c>
    </row>
    <row r="4598" spans="1:9" x14ac:dyDescent="0.3">
      <c r="A4598" t="s">
        <v>4439</v>
      </c>
      <c r="B4598" t="s">
        <v>9518</v>
      </c>
      <c r="C4598">
        <v>375</v>
      </c>
      <c r="D4598" t="s">
        <v>1998</v>
      </c>
      <c r="E4598" t="s">
        <v>1445</v>
      </c>
      <c r="I4598" t="s">
        <v>9519</v>
      </c>
    </row>
    <row r="4599" spans="1:9" x14ac:dyDescent="0.3">
      <c r="A4599" t="s">
        <v>4739</v>
      </c>
      <c r="B4599" t="s">
        <v>9520</v>
      </c>
      <c r="D4599" t="s">
        <v>60</v>
      </c>
      <c r="E4599" t="s">
        <v>9521</v>
      </c>
      <c r="I4599" t="s">
        <v>289</v>
      </c>
    </row>
    <row r="4600" spans="1:9" x14ac:dyDescent="0.3">
      <c r="A4600" t="s">
        <v>9522</v>
      </c>
      <c r="B4600" t="s">
        <v>9523</v>
      </c>
      <c r="C4600">
        <v>5</v>
      </c>
      <c r="E4600" t="s">
        <v>9524</v>
      </c>
    </row>
    <row r="4601" spans="1:9" x14ac:dyDescent="0.3">
      <c r="A4601" t="s">
        <v>1353</v>
      </c>
      <c r="B4601" t="s">
        <v>1820</v>
      </c>
      <c r="C4601">
        <v>0.25</v>
      </c>
      <c r="D4601" t="s">
        <v>23</v>
      </c>
      <c r="E4601" t="s">
        <v>81</v>
      </c>
    </row>
    <row r="4602" spans="1:9" x14ac:dyDescent="0.3">
      <c r="A4602" t="s">
        <v>9525</v>
      </c>
      <c r="B4602" t="s">
        <v>2047</v>
      </c>
      <c r="C4602">
        <v>0.5</v>
      </c>
      <c r="D4602" t="s">
        <v>23</v>
      </c>
      <c r="E4602" t="s">
        <v>349</v>
      </c>
    </row>
    <row r="4603" spans="1:9" x14ac:dyDescent="0.3">
      <c r="A4603" t="s">
        <v>9526</v>
      </c>
      <c r="B4603" t="s">
        <v>6392</v>
      </c>
      <c r="C4603">
        <v>2</v>
      </c>
      <c r="D4603" t="s">
        <v>189</v>
      </c>
      <c r="E4603" t="s">
        <v>2214</v>
      </c>
    </row>
    <row r="4604" spans="1:9" x14ac:dyDescent="0.3">
      <c r="A4604" t="s">
        <v>9527</v>
      </c>
      <c r="B4604" t="s">
        <v>2792</v>
      </c>
      <c r="C4604">
        <v>1</v>
      </c>
      <c r="D4604" t="s">
        <v>361</v>
      </c>
      <c r="E4604" t="s">
        <v>2078</v>
      </c>
    </row>
    <row r="4605" spans="1:9" x14ac:dyDescent="0.3">
      <c r="A4605" t="s">
        <v>9011</v>
      </c>
      <c r="B4605" t="s">
        <v>9528</v>
      </c>
      <c r="C4605">
        <v>8</v>
      </c>
      <c r="D4605" t="s">
        <v>23</v>
      </c>
      <c r="E4605" t="s">
        <v>64</v>
      </c>
    </row>
    <row r="4606" spans="1:9" x14ac:dyDescent="0.3">
      <c r="A4606" t="s">
        <v>9529</v>
      </c>
      <c r="B4606" t="s">
        <v>6455</v>
      </c>
      <c r="C4606">
        <v>2</v>
      </c>
      <c r="D4606" t="s">
        <v>227</v>
      </c>
      <c r="E4606" t="s">
        <v>413</v>
      </c>
      <c r="F4606" t="s">
        <v>1571</v>
      </c>
      <c r="I4606" t="s">
        <v>4067</v>
      </c>
    </row>
    <row r="4607" spans="1:9" x14ac:dyDescent="0.3">
      <c r="A4607" t="s">
        <v>9530</v>
      </c>
      <c r="B4607" t="s">
        <v>537</v>
      </c>
      <c r="C4607">
        <v>6</v>
      </c>
      <c r="E4607" t="s">
        <v>538</v>
      </c>
    </row>
    <row r="4608" spans="1:9" x14ac:dyDescent="0.3">
      <c r="A4608" t="s">
        <v>9205</v>
      </c>
      <c r="B4608" t="s">
        <v>9531</v>
      </c>
      <c r="C4608">
        <v>1</v>
      </c>
      <c r="D4608" t="s">
        <v>18</v>
      </c>
      <c r="E4608" t="s">
        <v>2955</v>
      </c>
    </row>
    <row r="4609" spans="1:9" x14ac:dyDescent="0.3">
      <c r="A4609" t="s">
        <v>9532</v>
      </c>
      <c r="B4609" t="s">
        <v>9533</v>
      </c>
      <c r="C4609">
        <v>1</v>
      </c>
      <c r="D4609" t="s">
        <v>23</v>
      </c>
      <c r="E4609" t="s">
        <v>177</v>
      </c>
      <c r="I4609" t="s">
        <v>289</v>
      </c>
    </row>
    <row r="4610" spans="1:9" x14ac:dyDescent="0.3">
      <c r="A4610" t="s">
        <v>2951</v>
      </c>
      <c r="B4610" t="s">
        <v>9534</v>
      </c>
      <c r="C4610">
        <v>1</v>
      </c>
      <c r="D4610" t="s">
        <v>23</v>
      </c>
      <c r="E4610" t="s">
        <v>738</v>
      </c>
      <c r="I4610" t="s">
        <v>289</v>
      </c>
    </row>
    <row r="4611" spans="1:9" x14ac:dyDescent="0.3">
      <c r="A4611" t="s">
        <v>2065</v>
      </c>
      <c r="B4611" t="s">
        <v>9535</v>
      </c>
      <c r="C4611">
        <v>1</v>
      </c>
      <c r="D4611" t="s">
        <v>11</v>
      </c>
      <c r="E4611" t="s">
        <v>8680</v>
      </c>
    </row>
    <row r="4612" spans="1:9" x14ac:dyDescent="0.3">
      <c r="A4612" t="s">
        <v>3808</v>
      </c>
      <c r="B4612" t="s">
        <v>9536</v>
      </c>
      <c r="C4612" t="s">
        <v>8811</v>
      </c>
      <c r="D4612" t="s">
        <v>23</v>
      </c>
      <c r="E4612" t="s">
        <v>3366</v>
      </c>
    </row>
    <row r="4613" spans="1:9" x14ac:dyDescent="0.3">
      <c r="A4613" t="s">
        <v>3376</v>
      </c>
      <c r="B4613" t="s">
        <v>9537</v>
      </c>
      <c r="C4613">
        <v>1</v>
      </c>
      <c r="D4613" t="s">
        <v>23</v>
      </c>
      <c r="E4613" t="s">
        <v>7403</v>
      </c>
    </row>
    <row r="4614" spans="1:9" x14ac:dyDescent="0.3">
      <c r="A4614" t="s">
        <v>9538</v>
      </c>
      <c r="B4614" t="s">
        <v>9539</v>
      </c>
      <c r="C4614">
        <v>0.75</v>
      </c>
      <c r="D4614" t="s">
        <v>23</v>
      </c>
      <c r="E4614" t="s">
        <v>281</v>
      </c>
    </row>
    <row r="4615" spans="1:9" x14ac:dyDescent="0.3">
      <c r="A4615" t="s">
        <v>2883</v>
      </c>
      <c r="B4615" t="s">
        <v>9540</v>
      </c>
      <c r="C4615">
        <v>3</v>
      </c>
      <c r="E4615" t="s">
        <v>5161</v>
      </c>
    </row>
    <row r="4616" spans="1:9" x14ac:dyDescent="0.3">
      <c r="A4616" t="s">
        <v>9541</v>
      </c>
      <c r="B4616" t="s">
        <v>9542</v>
      </c>
      <c r="C4616">
        <v>0.25</v>
      </c>
      <c r="D4616" t="s">
        <v>37</v>
      </c>
      <c r="E4616" t="s">
        <v>494</v>
      </c>
    </row>
    <row r="4617" spans="1:9" x14ac:dyDescent="0.3">
      <c r="A4617" t="s">
        <v>9543</v>
      </c>
      <c r="B4617" t="s">
        <v>3209</v>
      </c>
      <c r="C4617">
        <v>2</v>
      </c>
      <c r="D4617" t="s">
        <v>91</v>
      </c>
      <c r="E4617" t="s">
        <v>2299</v>
      </c>
    </row>
    <row r="4618" spans="1:9" x14ac:dyDescent="0.3">
      <c r="A4618" t="s">
        <v>9544</v>
      </c>
      <c r="B4618" t="s">
        <v>9545</v>
      </c>
      <c r="C4618">
        <v>0.5</v>
      </c>
      <c r="D4618" t="s">
        <v>284</v>
      </c>
      <c r="E4618" t="s">
        <v>516</v>
      </c>
    </row>
    <row r="4619" spans="1:9" x14ac:dyDescent="0.3">
      <c r="A4619" t="s">
        <v>9546</v>
      </c>
      <c r="B4619" t="s">
        <v>9547</v>
      </c>
      <c r="C4619">
        <v>1.5</v>
      </c>
      <c r="D4619" t="s">
        <v>345</v>
      </c>
      <c r="E4619" t="s">
        <v>2385</v>
      </c>
    </row>
    <row r="4620" spans="1:9" x14ac:dyDescent="0.3">
      <c r="A4620" t="s">
        <v>9548</v>
      </c>
      <c r="B4620" t="s">
        <v>9549</v>
      </c>
      <c r="C4620">
        <v>1.3</v>
      </c>
      <c r="D4620" t="s">
        <v>23</v>
      </c>
      <c r="E4620" t="s">
        <v>6797</v>
      </c>
    </row>
    <row r="4621" spans="1:9" x14ac:dyDescent="0.3">
      <c r="A4621" t="s">
        <v>9550</v>
      </c>
      <c r="B4621">
        <v>151</v>
      </c>
      <c r="C4621">
        <v>151</v>
      </c>
    </row>
    <row r="4622" spans="1:9" x14ac:dyDescent="0.3">
      <c r="A4622" t="s">
        <v>9551</v>
      </c>
      <c r="B4622" t="s">
        <v>9552</v>
      </c>
      <c r="E4622" t="s">
        <v>1133</v>
      </c>
      <c r="I4622" t="s">
        <v>164</v>
      </c>
    </row>
    <row r="4623" spans="1:9" x14ac:dyDescent="0.3">
      <c r="A4623" t="s">
        <v>9553</v>
      </c>
      <c r="B4623" t="s">
        <v>6633</v>
      </c>
      <c r="C4623">
        <v>1</v>
      </c>
      <c r="D4623" t="s">
        <v>11</v>
      </c>
      <c r="E4623" t="s">
        <v>1027</v>
      </c>
    </row>
    <row r="4624" spans="1:9" x14ac:dyDescent="0.3">
      <c r="A4624" t="s">
        <v>9554</v>
      </c>
      <c r="B4624" t="s">
        <v>9555</v>
      </c>
      <c r="C4624">
        <v>2</v>
      </c>
      <c r="D4624" t="s">
        <v>23</v>
      </c>
      <c r="E4624" t="s">
        <v>9556</v>
      </c>
    </row>
    <row r="4625" spans="1:9" x14ac:dyDescent="0.3">
      <c r="A4625" t="s">
        <v>9557</v>
      </c>
      <c r="B4625" t="s">
        <v>9558</v>
      </c>
      <c r="C4625">
        <v>0.5</v>
      </c>
      <c r="D4625" t="s">
        <v>23</v>
      </c>
      <c r="E4625" t="s">
        <v>4967</v>
      </c>
    </row>
    <row r="4626" spans="1:9" x14ac:dyDescent="0.3">
      <c r="A4626" t="s">
        <v>9559</v>
      </c>
      <c r="B4626" t="s">
        <v>9560</v>
      </c>
      <c r="C4626">
        <v>4</v>
      </c>
      <c r="D4626" t="s">
        <v>23</v>
      </c>
      <c r="E4626" t="s">
        <v>2014</v>
      </c>
    </row>
    <row r="4627" spans="1:9" x14ac:dyDescent="0.3">
      <c r="A4627" t="s">
        <v>9561</v>
      </c>
      <c r="B4627" t="s">
        <v>9562</v>
      </c>
      <c r="C4627">
        <v>6</v>
      </c>
      <c r="D4627" t="s">
        <v>18</v>
      </c>
      <c r="E4627" t="s">
        <v>1895</v>
      </c>
      <c r="I4627" t="s">
        <v>289</v>
      </c>
    </row>
    <row r="4628" spans="1:9" x14ac:dyDescent="0.3">
      <c r="A4628" t="s">
        <v>9563</v>
      </c>
      <c r="B4628" t="s">
        <v>9564</v>
      </c>
      <c r="C4628">
        <v>2</v>
      </c>
      <c r="D4628" t="s">
        <v>23</v>
      </c>
      <c r="E4628" t="s">
        <v>6157</v>
      </c>
      <c r="I4628" t="s">
        <v>289</v>
      </c>
    </row>
    <row r="4629" spans="1:9" x14ac:dyDescent="0.3">
      <c r="A4629" t="s">
        <v>5197</v>
      </c>
      <c r="B4629" t="s">
        <v>51</v>
      </c>
      <c r="E4629" t="s">
        <v>51</v>
      </c>
    </row>
    <row r="4630" spans="1:9" x14ac:dyDescent="0.3">
      <c r="A4630" t="s">
        <v>9565</v>
      </c>
      <c r="B4630" t="s">
        <v>9566</v>
      </c>
      <c r="C4630">
        <v>0.5</v>
      </c>
      <c r="D4630" t="s">
        <v>23</v>
      </c>
      <c r="E4630" t="s">
        <v>9567</v>
      </c>
    </row>
    <row r="4631" spans="1:9" x14ac:dyDescent="0.3">
      <c r="A4631" t="s">
        <v>9568</v>
      </c>
      <c r="B4631" t="s">
        <v>1593</v>
      </c>
      <c r="C4631">
        <v>0.25</v>
      </c>
      <c r="D4631" t="s">
        <v>227</v>
      </c>
      <c r="E4631" t="s">
        <v>1594</v>
      </c>
    </row>
    <row r="4632" spans="1:9" x14ac:dyDescent="0.3">
      <c r="A4632" t="s">
        <v>9569</v>
      </c>
      <c r="B4632" t="s">
        <v>9570</v>
      </c>
      <c r="C4632">
        <v>1</v>
      </c>
      <c r="E4632" t="s">
        <v>1977</v>
      </c>
      <c r="I4632" t="s">
        <v>1968</v>
      </c>
    </row>
    <row r="4633" spans="1:9" x14ac:dyDescent="0.3">
      <c r="A4633" t="s">
        <v>7535</v>
      </c>
      <c r="B4633" t="s">
        <v>9571</v>
      </c>
      <c r="C4633">
        <v>10</v>
      </c>
      <c r="D4633" t="s">
        <v>29</v>
      </c>
      <c r="E4633" t="s">
        <v>524</v>
      </c>
    </row>
    <row r="4634" spans="1:9" x14ac:dyDescent="0.3">
      <c r="A4634" t="s">
        <v>9572</v>
      </c>
      <c r="B4634" t="s">
        <v>5437</v>
      </c>
      <c r="E4634" t="s">
        <v>262</v>
      </c>
      <c r="I4634" t="s">
        <v>65</v>
      </c>
    </row>
    <row r="4635" spans="1:9" x14ac:dyDescent="0.3">
      <c r="A4635" t="s">
        <v>9573</v>
      </c>
      <c r="B4635" t="s">
        <v>9574</v>
      </c>
      <c r="C4635">
        <v>0.5</v>
      </c>
      <c r="D4635" t="s">
        <v>37</v>
      </c>
      <c r="E4635" t="s">
        <v>2181</v>
      </c>
      <c r="I4635" t="s">
        <v>9575</v>
      </c>
    </row>
    <row r="4636" spans="1:9" x14ac:dyDescent="0.3">
      <c r="A4636" t="s">
        <v>552</v>
      </c>
      <c r="B4636" t="s">
        <v>9576</v>
      </c>
      <c r="E4636" t="s">
        <v>9577</v>
      </c>
      <c r="G4636" t="s">
        <v>68</v>
      </c>
      <c r="I4636" t="s">
        <v>9578</v>
      </c>
    </row>
    <row r="4637" spans="1:9" x14ac:dyDescent="0.3">
      <c r="A4637" t="s">
        <v>9579</v>
      </c>
      <c r="B4637" t="s">
        <v>6030</v>
      </c>
      <c r="C4637">
        <v>1</v>
      </c>
      <c r="D4637" t="s">
        <v>585</v>
      </c>
      <c r="E4637" t="s">
        <v>152</v>
      </c>
      <c r="I4637" t="s">
        <v>248</v>
      </c>
    </row>
    <row r="4638" spans="1:9" x14ac:dyDescent="0.3">
      <c r="A4638" t="s">
        <v>9580</v>
      </c>
      <c r="B4638" t="s">
        <v>9581</v>
      </c>
      <c r="C4638">
        <v>1</v>
      </c>
      <c r="D4638" t="s">
        <v>60</v>
      </c>
      <c r="E4638" t="s">
        <v>199</v>
      </c>
    </row>
    <row r="4639" spans="1:9" x14ac:dyDescent="0.3">
      <c r="A4639" t="s">
        <v>9582</v>
      </c>
      <c r="B4639" t="s">
        <v>4094</v>
      </c>
      <c r="C4639">
        <v>0.5</v>
      </c>
      <c r="D4639" t="s">
        <v>23</v>
      </c>
      <c r="E4639" t="s">
        <v>281</v>
      </c>
    </row>
    <row r="4640" spans="1:9" x14ac:dyDescent="0.3">
      <c r="A4640" t="s">
        <v>9583</v>
      </c>
      <c r="B4640" t="s">
        <v>1940</v>
      </c>
      <c r="C4640">
        <v>0.25</v>
      </c>
      <c r="D4640" t="s">
        <v>23</v>
      </c>
      <c r="E4640" t="s">
        <v>160</v>
      </c>
      <c r="G4640" t="s">
        <v>68</v>
      </c>
    </row>
    <row r="4641" spans="1:9" x14ac:dyDescent="0.3">
      <c r="A4641" t="s">
        <v>7525</v>
      </c>
      <c r="B4641" t="s">
        <v>9584</v>
      </c>
      <c r="C4641">
        <v>1</v>
      </c>
      <c r="D4641" t="s">
        <v>23</v>
      </c>
      <c r="E4641" t="s">
        <v>7925</v>
      </c>
    </row>
    <row r="4642" spans="1:9" x14ac:dyDescent="0.3">
      <c r="A4642" t="s">
        <v>9585</v>
      </c>
      <c r="B4642" t="s">
        <v>9586</v>
      </c>
      <c r="C4642">
        <v>90</v>
      </c>
      <c r="D4642" t="s">
        <v>29</v>
      </c>
      <c r="E4642" t="s">
        <v>160</v>
      </c>
      <c r="G4642" t="s">
        <v>68</v>
      </c>
    </row>
    <row r="4643" spans="1:9" x14ac:dyDescent="0.3">
      <c r="A4643" t="s">
        <v>9587</v>
      </c>
      <c r="B4643" t="s">
        <v>9588</v>
      </c>
      <c r="C4643">
        <v>2</v>
      </c>
      <c r="D4643" t="s">
        <v>227</v>
      </c>
      <c r="E4643" t="s">
        <v>333</v>
      </c>
    </row>
    <row r="4644" spans="1:9" x14ac:dyDescent="0.3">
      <c r="A4644" t="s">
        <v>9589</v>
      </c>
      <c r="B4644" t="s">
        <v>737</v>
      </c>
      <c r="E4644" t="s">
        <v>738</v>
      </c>
      <c r="I4644" t="s">
        <v>65</v>
      </c>
    </row>
    <row r="4645" spans="1:9" x14ac:dyDescent="0.3">
      <c r="A4645" t="s">
        <v>9590</v>
      </c>
      <c r="B4645" t="s">
        <v>201</v>
      </c>
      <c r="C4645">
        <v>50</v>
      </c>
      <c r="D4645" t="s">
        <v>29</v>
      </c>
      <c r="E4645" t="s">
        <v>9334</v>
      </c>
    </row>
    <row r="4646" spans="1:9" x14ac:dyDescent="0.3">
      <c r="A4646" t="s">
        <v>9591</v>
      </c>
      <c r="B4646" t="s">
        <v>9592</v>
      </c>
      <c r="C4646">
        <v>0.75</v>
      </c>
      <c r="D4646" t="s">
        <v>37</v>
      </c>
      <c r="E4646" t="s">
        <v>9593</v>
      </c>
      <c r="I4646" t="s">
        <v>9594</v>
      </c>
    </row>
    <row r="4647" spans="1:9" x14ac:dyDescent="0.3">
      <c r="A4647" t="s">
        <v>9595</v>
      </c>
      <c r="B4647" t="s">
        <v>9596</v>
      </c>
      <c r="C4647">
        <v>4</v>
      </c>
      <c r="E4647" t="s">
        <v>9597</v>
      </c>
      <c r="F4647" t="s">
        <v>9598</v>
      </c>
      <c r="I4647" t="s">
        <v>325</v>
      </c>
    </row>
    <row r="4648" spans="1:9" x14ac:dyDescent="0.3">
      <c r="A4648" t="s">
        <v>9599</v>
      </c>
      <c r="B4648" t="s">
        <v>9600</v>
      </c>
      <c r="C4648">
        <v>0.25</v>
      </c>
      <c r="D4648" t="s">
        <v>23</v>
      </c>
      <c r="E4648" t="s">
        <v>365</v>
      </c>
    </row>
    <row r="4649" spans="1:9" x14ac:dyDescent="0.3">
      <c r="A4649" t="s">
        <v>9601</v>
      </c>
      <c r="B4649" t="s">
        <v>9602</v>
      </c>
      <c r="C4649">
        <v>2</v>
      </c>
      <c r="D4649" t="s">
        <v>23</v>
      </c>
      <c r="E4649" t="s">
        <v>9603</v>
      </c>
      <c r="I4649" t="s">
        <v>289</v>
      </c>
    </row>
    <row r="4650" spans="1:9" x14ac:dyDescent="0.3">
      <c r="A4650" t="s">
        <v>9604</v>
      </c>
      <c r="B4650" t="s">
        <v>3355</v>
      </c>
      <c r="C4650">
        <v>1</v>
      </c>
      <c r="D4650" t="s">
        <v>23</v>
      </c>
      <c r="E4650" t="s">
        <v>1431</v>
      </c>
    </row>
    <row r="4651" spans="1:9" x14ac:dyDescent="0.3">
      <c r="A4651" t="s">
        <v>9605</v>
      </c>
      <c r="B4651" t="s">
        <v>9606</v>
      </c>
      <c r="E4651" t="s">
        <v>9607</v>
      </c>
      <c r="I4651" t="s">
        <v>1124</v>
      </c>
    </row>
    <row r="4652" spans="1:9" x14ac:dyDescent="0.3">
      <c r="A4652" t="s">
        <v>9608</v>
      </c>
      <c r="B4652" t="s">
        <v>9609</v>
      </c>
      <c r="C4652">
        <v>1</v>
      </c>
      <c r="D4652" t="s">
        <v>9610</v>
      </c>
      <c r="E4652" t="s">
        <v>9611</v>
      </c>
      <c r="I4652" t="s">
        <v>1352</v>
      </c>
    </row>
    <row r="4653" spans="1:9" x14ac:dyDescent="0.3">
      <c r="A4653" t="s">
        <v>9612</v>
      </c>
      <c r="B4653" t="s">
        <v>2805</v>
      </c>
      <c r="C4653">
        <v>1</v>
      </c>
      <c r="D4653" t="s">
        <v>23</v>
      </c>
      <c r="E4653" t="s">
        <v>2496</v>
      </c>
    </row>
    <row r="4654" spans="1:9" x14ac:dyDescent="0.3">
      <c r="A4654" t="s">
        <v>9613</v>
      </c>
      <c r="B4654" t="s">
        <v>9614</v>
      </c>
      <c r="C4654">
        <v>1</v>
      </c>
      <c r="D4654" t="s">
        <v>1785</v>
      </c>
      <c r="E4654" t="s">
        <v>98</v>
      </c>
    </row>
    <row r="4655" spans="1:9" x14ac:dyDescent="0.3">
      <c r="A4655" t="s">
        <v>9615</v>
      </c>
      <c r="B4655" t="s">
        <v>9616</v>
      </c>
      <c r="C4655">
        <v>1</v>
      </c>
      <c r="D4655" t="s">
        <v>23</v>
      </c>
      <c r="E4655" t="s">
        <v>9617</v>
      </c>
    </row>
    <row r="4656" spans="1:9" x14ac:dyDescent="0.3">
      <c r="A4656" t="s">
        <v>9618</v>
      </c>
      <c r="B4656" t="s">
        <v>3554</v>
      </c>
      <c r="C4656">
        <v>0.5</v>
      </c>
      <c r="D4656" t="s">
        <v>23</v>
      </c>
      <c r="E4656" t="s">
        <v>160</v>
      </c>
      <c r="G4656" t="s">
        <v>68</v>
      </c>
    </row>
    <row r="4657" spans="1:9" x14ac:dyDescent="0.3">
      <c r="A4657" t="s">
        <v>9619</v>
      </c>
      <c r="B4657" t="s">
        <v>9620</v>
      </c>
      <c r="C4657">
        <v>0.25</v>
      </c>
      <c r="D4657" t="s">
        <v>37</v>
      </c>
      <c r="E4657" t="s">
        <v>9621</v>
      </c>
    </row>
    <row r="4658" spans="1:9" x14ac:dyDescent="0.3">
      <c r="A4658" t="s">
        <v>9622</v>
      </c>
      <c r="B4658" t="s">
        <v>9623</v>
      </c>
      <c r="C4658">
        <v>1</v>
      </c>
      <c r="D4658" t="s">
        <v>37</v>
      </c>
      <c r="E4658" t="s">
        <v>9624</v>
      </c>
      <c r="I4658" t="s">
        <v>9625</v>
      </c>
    </row>
    <row r="4659" spans="1:9" x14ac:dyDescent="0.3">
      <c r="A4659" t="s">
        <v>9626</v>
      </c>
      <c r="B4659" t="s">
        <v>9627</v>
      </c>
      <c r="C4659" t="s">
        <v>9628</v>
      </c>
      <c r="D4659" t="s">
        <v>37</v>
      </c>
      <c r="E4659" t="s">
        <v>9629</v>
      </c>
      <c r="I4659" t="s">
        <v>1177</v>
      </c>
    </row>
    <row r="4660" spans="1:9" x14ac:dyDescent="0.3">
      <c r="A4660" t="s">
        <v>9630</v>
      </c>
      <c r="B4660" t="s">
        <v>5161</v>
      </c>
      <c r="E4660" t="s">
        <v>5161</v>
      </c>
    </row>
    <row r="4661" spans="1:9" x14ac:dyDescent="0.3">
      <c r="A4661" t="s">
        <v>8184</v>
      </c>
      <c r="B4661" t="s">
        <v>5566</v>
      </c>
      <c r="C4661">
        <v>1.5</v>
      </c>
      <c r="D4661" t="s">
        <v>176</v>
      </c>
      <c r="E4661" t="s">
        <v>516</v>
      </c>
    </row>
    <row r="4662" spans="1:9" x14ac:dyDescent="0.3">
      <c r="A4662" t="s">
        <v>9631</v>
      </c>
      <c r="B4662" t="s">
        <v>333</v>
      </c>
      <c r="E4662" t="s">
        <v>333</v>
      </c>
    </row>
    <row r="4663" spans="1:9" x14ac:dyDescent="0.3">
      <c r="A4663" t="s">
        <v>2084</v>
      </c>
      <c r="B4663" t="s">
        <v>9632</v>
      </c>
      <c r="C4663">
        <v>1</v>
      </c>
      <c r="D4663" t="s">
        <v>189</v>
      </c>
      <c r="E4663" t="s">
        <v>3353</v>
      </c>
    </row>
    <row r="4664" spans="1:9" x14ac:dyDescent="0.3">
      <c r="A4664" t="s">
        <v>3683</v>
      </c>
      <c r="B4664" t="s">
        <v>331</v>
      </c>
      <c r="E4664" t="s">
        <v>331</v>
      </c>
    </row>
    <row r="4665" spans="1:9" x14ac:dyDescent="0.3">
      <c r="A4665" t="s">
        <v>9633</v>
      </c>
      <c r="B4665" t="s">
        <v>9634</v>
      </c>
      <c r="C4665">
        <v>0.67</v>
      </c>
      <c r="D4665" t="s">
        <v>23</v>
      </c>
      <c r="E4665" t="s">
        <v>2211</v>
      </c>
    </row>
    <row r="4666" spans="1:9" x14ac:dyDescent="0.3">
      <c r="A4666" t="s">
        <v>5495</v>
      </c>
      <c r="B4666" t="s">
        <v>9635</v>
      </c>
      <c r="C4666">
        <v>2</v>
      </c>
      <c r="E4666" t="s">
        <v>9636</v>
      </c>
    </row>
    <row r="4667" spans="1:9" x14ac:dyDescent="0.3">
      <c r="A4667" t="s">
        <v>918</v>
      </c>
      <c r="B4667" t="s">
        <v>9637</v>
      </c>
      <c r="C4667">
        <v>2</v>
      </c>
      <c r="D4667" t="s">
        <v>189</v>
      </c>
      <c r="E4667" t="s">
        <v>9638</v>
      </c>
    </row>
    <row r="4668" spans="1:9" x14ac:dyDescent="0.3">
      <c r="A4668" t="s">
        <v>9639</v>
      </c>
      <c r="B4668" t="s">
        <v>9640</v>
      </c>
      <c r="C4668">
        <v>1.25</v>
      </c>
      <c r="D4668" t="s">
        <v>23</v>
      </c>
      <c r="E4668" t="s">
        <v>9641</v>
      </c>
      <c r="I4668" t="s">
        <v>289</v>
      </c>
    </row>
    <row r="4669" spans="1:9" x14ac:dyDescent="0.3">
      <c r="A4669" t="s">
        <v>6572</v>
      </c>
      <c r="B4669" t="s">
        <v>9642</v>
      </c>
      <c r="C4669">
        <v>3</v>
      </c>
      <c r="D4669" t="s">
        <v>1983</v>
      </c>
      <c r="E4669" t="s">
        <v>377</v>
      </c>
      <c r="I4669" t="s">
        <v>1214</v>
      </c>
    </row>
    <row r="4670" spans="1:9" x14ac:dyDescent="0.3">
      <c r="A4670" t="s">
        <v>2048</v>
      </c>
      <c r="B4670" t="s">
        <v>9643</v>
      </c>
      <c r="C4670">
        <v>37.5</v>
      </c>
      <c r="D4670" t="s">
        <v>29</v>
      </c>
      <c r="E4670" t="s">
        <v>183</v>
      </c>
    </row>
    <row r="4671" spans="1:9" x14ac:dyDescent="0.3">
      <c r="A4671" t="s">
        <v>9644</v>
      </c>
      <c r="B4671" t="s">
        <v>9645</v>
      </c>
      <c r="C4671">
        <v>0.25</v>
      </c>
      <c r="E4671" t="s">
        <v>1436</v>
      </c>
      <c r="F4671" t="s">
        <v>908</v>
      </c>
    </row>
    <row r="4672" spans="1:9" x14ac:dyDescent="0.3">
      <c r="A4672" t="s">
        <v>9646</v>
      </c>
      <c r="B4672" t="s">
        <v>1244</v>
      </c>
      <c r="C4672">
        <v>2</v>
      </c>
      <c r="D4672" t="s">
        <v>23</v>
      </c>
      <c r="E4672" t="s">
        <v>716</v>
      </c>
    </row>
    <row r="4673" spans="1:9" x14ac:dyDescent="0.3">
      <c r="A4673" t="s">
        <v>4991</v>
      </c>
      <c r="B4673" t="s">
        <v>9647</v>
      </c>
      <c r="C4673">
        <v>1.25</v>
      </c>
      <c r="D4673" t="s">
        <v>9044</v>
      </c>
      <c r="E4673" t="s">
        <v>497</v>
      </c>
    </row>
    <row r="4674" spans="1:9" x14ac:dyDescent="0.3">
      <c r="A4674" t="s">
        <v>9648</v>
      </c>
      <c r="B4674" t="s">
        <v>9649</v>
      </c>
      <c r="C4674">
        <v>0.5</v>
      </c>
      <c r="D4674" t="s">
        <v>37</v>
      </c>
      <c r="E4674" t="s">
        <v>4337</v>
      </c>
    </row>
    <row r="4675" spans="1:9" x14ac:dyDescent="0.3">
      <c r="A4675" t="s">
        <v>9650</v>
      </c>
      <c r="B4675" t="s">
        <v>1820</v>
      </c>
      <c r="C4675">
        <v>0.25</v>
      </c>
      <c r="D4675" t="s">
        <v>23</v>
      </c>
      <c r="E4675" t="s">
        <v>81</v>
      </c>
    </row>
    <row r="4676" spans="1:9" x14ac:dyDescent="0.3">
      <c r="A4676" t="s">
        <v>9651</v>
      </c>
      <c r="B4676" t="s">
        <v>9652</v>
      </c>
      <c r="C4676">
        <v>0.5</v>
      </c>
      <c r="E4676" t="s">
        <v>265</v>
      </c>
    </row>
    <row r="4677" spans="1:9" x14ac:dyDescent="0.3">
      <c r="A4677" t="s">
        <v>9653</v>
      </c>
      <c r="B4677" t="s">
        <v>4220</v>
      </c>
      <c r="C4677">
        <v>2</v>
      </c>
      <c r="D4677" t="s">
        <v>23</v>
      </c>
      <c r="E4677" t="s">
        <v>487</v>
      </c>
    </row>
    <row r="4678" spans="1:9" x14ac:dyDescent="0.3">
      <c r="A4678" t="s">
        <v>9654</v>
      </c>
      <c r="B4678" t="s">
        <v>9655</v>
      </c>
      <c r="E4678" t="s">
        <v>9655</v>
      </c>
    </row>
    <row r="4679" spans="1:9" x14ac:dyDescent="0.3">
      <c r="A4679" t="s">
        <v>3485</v>
      </c>
      <c r="B4679" t="s">
        <v>2929</v>
      </c>
      <c r="C4679">
        <v>1</v>
      </c>
      <c r="D4679" t="s">
        <v>111</v>
      </c>
      <c r="E4679" t="s">
        <v>331</v>
      </c>
    </row>
    <row r="4680" spans="1:9" x14ac:dyDescent="0.3">
      <c r="A4680" t="s">
        <v>9656</v>
      </c>
      <c r="B4680" t="s">
        <v>9657</v>
      </c>
      <c r="C4680">
        <v>3</v>
      </c>
      <c r="D4680" t="s">
        <v>189</v>
      </c>
      <c r="E4680" t="s">
        <v>3353</v>
      </c>
    </row>
    <row r="4681" spans="1:9" x14ac:dyDescent="0.3">
      <c r="A4681" t="s">
        <v>3194</v>
      </c>
      <c r="B4681" t="s">
        <v>9658</v>
      </c>
      <c r="E4681" t="s">
        <v>9659</v>
      </c>
      <c r="I4681" t="s">
        <v>1124</v>
      </c>
    </row>
    <row r="4682" spans="1:9" x14ac:dyDescent="0.3">
      <c r="A4682" t="s">
        <v>9660</v>
      </c>
      <c r="B4682" t="s">
        <v>9661</v>
      </c>
      <c r="C4682">
        <v>2</v>
      </c>
      <c r="D4682" t="s">
        <v>345</v>
      </c>
      <c r="E4682" t="s">
        <v>9662</v>
      </c>
      <c r="I4682" t="s">
        <v>289</v>
      </c>
    </row>
    <row r="4683" spans="1:9" x14ac:dyDescent="0.3">
      <c r="A4683" t="s">
        <v>9663</v>
      </c>
      <c r="B4683" t="s">
        <v>152</v>
      </c>
      <c r="E4683" t="s">
        <v>152</v>
      </c>
    </row>
    <row r="4684" spans="1:9" x14ac:dyDescent="0.3">
      <c r="A4684" t="s">
        <v>9664</v>
      </c>
      <c r="B4684" t="s">
        <v>5192</v>
      </c>
      <c r="C4684">
        <v>2</v>
      </c>
      <c r="D4684" t="s">
        <v>23</v>
      </c>
      <c r="E4684" t="s">
        <v>233</v>
      </c>
    </row>
    <row r="4685" spans="1:9" x14ac:dyDescent="0.3">
      <c r="A4685" t="s">
        <v>8106</v>
      </c>
      <c r="B4685" t="s">
        <v>9665</v>
      </c>
      <c r="C4685">
        <v>1</v>
      </c>
      <c r="D4685" t="s">
        <v>11</v>
      </c>
      <c r="E4685" t="s">
        <v>9666</v>
      </c>
    </row>
    <row r="4686" spans="1:9" x14ac:dyDescent="0.3">
      <c r="A4686" t="s">
        <v>9667</v>
      </c>
      <c r="B4686" t="s">
        <v>9668</v>
      </c>
      <c r="C4686">
        <v>25</v>
      </c>
      <c r="D4686" t="s">
        <v>29</v>
      </c>
      <c r="E4686" t="s">
        <v>9669</v>
      </c>
    </row>
    <row r="4687" spans="1:9" x14ac:dyDescent="0.3">
      <c r="A4687" t="s">
        <v>5545</v>
      </c>
      <c r="B4687" t="s">
        <v>3772</v>
      </c>
      <c r="C4687">
        <v>2</v>
      </c>
      <c r="D4687" t="s">
        <v>91</v>
      </c>
      <c r="E4687" t="s">
        <v>1003</v>
      </c>
    </row>
    <row r="4688" spans="1:9" x14ac:dyDescent="0.3">
      <c r="A4688" t="s">
        <v>9670</v>
      </c>
      <c r="B4688" t="s">
        <v>9671</v>
      </c>
      <c r="C4688">
        <v>1</v>
      </c>
      <c r="D4688" t="s">
        <v>120</v>
      </c>
      <c r="E4688" t="s">
        <v>30</v>
      </c>
    </row>
    <row r="4689" spans="1:9" x14ac:dyDescent="0.3">
      <c r="A4689" t="s">
        <v>9672</v>
      </c>
      <c r="B4689" t="s">
        <v>9673</v>
      </c>
      <c r="C4689">
        <v>6</v>
      </c>
      <c r="E4689" t="s">
        <v>2053</v>
      </c>
      <c r="I4689" t="s">
        <v>1124</v>
      </c>
    </row>
    <row r="4690" spans="1:9" x14ac:dyDescent="0.3">
      <c r="A4690" t="s">
        <v>9674</v>
      </c>
      <c r="B4690" t="s">
        <v>9675</v>
      </c>
      <c r="C4690">
        <v>15</v>
      </c>
      <c r="D4690" t="s">
        <v>29</v>
      </c>
      <c r="E4690" t="s">
        <v>2243</v>
      </c>
    </row>
    <row r="4691" spans="1:9" x14ac:dyDescent="0.3">
      <c r="A4691" t="s">
        <v>6335</v>
      </c>
      <c r="B4691" t="s">
        <v>9676</v>
      </c>
      <c r="C4691">
        <v>0.5</v>
      </c>
      <c r="D4691" t="s">
        <v>37</v>
      </c>
      <c r="E4691" t="s">
        <v>9677</v>
      </c>
      <c r="I4691" t="s">
        <v>9678</v>
      </c>
    </row>
    <row r="4692" spans="1:9" x14ac:dyDescent="0.3">
      <c r="A4692" t="s">
        <v>9679</v>
      </c>
      <c r="B4692" t="s">
        <v>4579</v>
      </c>
      <c r="C4692">
        <v>1</v>
      </c>
      <c r="E4692" t="s">
        <v>4580</v>
      </c>
    </row>
    <row r="4693" spans="1:9" x14ac:dyDescent="0.3">
      <c r="A4693" t="s">
        <v>9680</v>
      </c>
      <c r="B4693" t="s">
        <v>9681</v>
      </c>
      <c r="C4693">
        <v>3</v>
      </c>
      <c r="D4693" t="s">
        <v>23</v>
      </c>
      <c r="E4693" t="s">
        <v>8951</v>
      </c>
    </row>
    <row r="4694" spans="1:9" x14ac:dyDescent="0.3">
      <c r="A4694" t="s">
        <v>9682</v>
      </c>
      <c r="B4694" t="s">
        <v>9683</v>
      </c>
      <c r="C4694">
        <v>50</v>
      </c>
      <c r="D4694" t="s">
        <v>29</v>
      </c>
      <c r="E4694" t="s">
        <v>9684</v>
      </c>
    </row>
    <row r="4695" spans="1:9" x14ac:dyDescent="0.3">
      <c r="A4695" t="s">
        <v>9685</v>
      </c>
      <c r="B4695" t="s">
        <v>9686</v>
      </c>
      <c r="C4695">
        <v>4</v>
      </c>
      <c r="E4695" t="s">
        <v>9687</v>
      </c>
    </row>
    <row r="4696" spans="1:9" x14ac:dyDescent="0.3">
      <c r="A4696" t="s">
        <v>9163</v>
      </c>
      <c r="B4696" t="s">
        <v>9688</v>
      </c>
      <c r="C4696">
        <v>1</v>
      </c>
      <c r="D4696" t="s">
        <v>23</v>
      </c>
      <c r="E4696" t="s">
        <v>638</v>
      </c>
    </row>
    <row r="4697" spans="1:9" x14ac:dyDescent="0.3">
      <c r="A4697" t="s">
        <v>9689</v>
      </c>
      <c r="B4697" t="s">
        <v>9690</v>
      </c>
      <c r="C4697">
        <v>0.5</v>
      </c>
      <c r="D4697" t="s">
        <v>91</v>
      </c>
      <c r="E4697" t="s">
        <v>1674</v>
      </c>
    </row>
    <row r="4698" spans="1:9" x14ac:dyDescent="0.3">
      <c r="A4698" t="s">
        <v>8792</v>
      </c>
      <c r="B4698" t="s">
        <v>4919</v>
      </c>
      <c r="C4698">
        <v>0.5</v>
      </c>
      <c r="D4698" t="s">
        <v>23</v>
      </c>
      <c r="E4698" t="s">
        <v>30</v>
      </c>
    </row>
    <row r="4699" spans="1:9" x14ac:dyDescent="0.3">
      <c r="A4699" t="s">
        <v>8655</v>
      </c>
      <c r="B4699" t="s">
        <v>5290</v>
      </c>
      <c r="C4699">
        <v>0.75</v>
      </c>
      <c r="D4699" t="s">
        <v>37</v>
      </c>
      <c r="E4699" t="s">
        <v>38</v>
      </c>
      <c r="F4699" t="s">
        <v>167</v>
      </c>
      <c r="G4699" t="s">
        <v>168</v>
      </c>
    </row>
    <row r="4700" spans="1:9" x14ac:dyDescent="0.3">
      <c r="A4700" t="s">
        <v>9691</v>
      </c>
      <c r="B4700" t="s">
        <v>9692</v>
      </c>
      <c r="C4700">
        <v>4</v>
      </c>
      <c r="E4700" t="s">
        <v>333</v>
      </c>
      <c r="F4700" t="s">
        <v>1247</v>
      </c>
    </row>
    <row r="4701" spans="1:9" x14ac:dyDescent="0.3">
      <c r="A4701" t="s">
        <v>3356</v>
      </c>
      <c r="B4701" t="s">
        <v>3434</v>
      </c>
      <c r="C4701">
        <v>1.5</v>
      </c>
      <c r="D4701" t="s">
        <v>23</v>
      </c>
      <c r="E4701" t="s">
        <v>281</v>
      </c>
    </row>
    <row r="4702" spans="1:9" x14ac:dyDescent="0.3">
      <c r="A4702" t="s">
        <v>9693</v>
      </c>
      <c r="B4702" t="s">
        <v>738</v>
      </c>
      <c r="E4702" t="s">
        <v>738</v>
      </c>
    </row>
    <row r="4703" spans="1:9" x14ac:dyDescent="0.3">
      <c r="A4703" t="s">
        <v>3834</v>
      </c>
      <c r="B4703" t="s">
        <v>333</v>
      </c>
      <c r="E4703" t="s">
        <v>333</v>
      </c>
    </row>
    <row r="4704" spans="1:9" x14ac:dyDescent="0.3">
      <c r="A4704" t="s">
        <v>9694</v>
      </c>
      <c r="B4704" t="s">
        <v>2702</v>
      </c>
      <c r="C4704">
        <v>1</v>
      </c>
      <c r="D4704" t="s">
        <v>23</v>
      </c>
      <c r="E4704" t="s">
        <v>2703</v>
      </c>
    </row>
    <row r="4705" spans="1:9" x14ac:dyDescent="0.3">
      <c r="A4705" t="s">
        <v>9695</v>
      </c>
      <c r="B4705" t="s">
        <v>9696</v>
      </c>
      <c r="C4705">
        <v>3</v>
      </c>
      <c r="D4705" t="s">
        <v>345</v>
      </c>
      <c r="E4705" t="s">
        <v>9697</v>
      </c>
    </row>
    <row r="4706" spans="1:9" x14ac:dyDescent="0.3">
      <c r="A4706" t="s">
        <v>4307</v>
      </c>
      <c r="B4706" t="s">
        <v>9698</v>
      </c>
      <c r="C4706" t="s">
        <v>665</v>
      </c>
      <c r="D4706" t="s">
        <v>345</v>
      </c>
      <c r="E4706" t="s">
        <v>1644</v>
      </c>
      <c r="I4706" t="s">
        <v>2083</v>
      </c>
    </row>
    <row r="4707" spans="1:9" x14ac:dyDescent="0.3">
      <c r="A4707" t="s">
        <v>9699</v>
      </c>
      <c r="B4707" t="s">
        <v>9700</v>
      </c>
      <c r="C4707">
        <v>1.5</v>
      </c>
      <c r="D4707" t="s">
        <v>23</v>
      </c>
      <c r="E4707" t="s">
        <v>9701</v>
      </c>
    </row>
    <row r="4708" spans="1:9" x14ac:dyDescent="0.3">
      <c r="A4708" t="s">
        <v>9702</v>
      </c>
      <c r="B4708" t="s">
        <v>9703</v>
      </c>
      <c r="C4708">
        <v>1.5</v>
      </c>
      <c r="D4708" t="s">
        <v>23</v>
      </c>
      <c r="E4708" t="s">
        <v>1431</v>
      </c>
    </row>
    <row r="4709" spans="1:9" x14ac:dyDescent="0.3">
      <c r="A4709" t="s">
        <v>9704</v>
      </c>
      <c r="B4709" t="s">
        <v>2063</v>
      </c>
      <c r="C4709">
        <v>10.5</v>
      </c>
      <c r="D4709" t="s">
        <v>91</v>
      </c>
      <c r="E4709" t="s">
        <v>1407</v>
      </c>
    </row>
    <row r="4710" spans="1:9" x14ac:dyDescent="0.3">
      <c r="A4710" t="s">
        <v>9705</v>
      </c>
      <c r="B4710" t="s">
        <v>9706</v>
      </c>
      <c r="C4710">
        <v>50</v>
      </c>
      <c r="D4710" t="s">
        <v>29</v>
      </c>
      <c r="E4710" t="s">
        <v>9707</v>
      </c>
    </row>
    <row r="4711" spans="1:9" x14ac:dyDescent="0.3">
      <c r="A4711" t="s">
        <v>2176</v>
      </c>
      <c r="B4711" t="s">
        <v>9708</v>
      </c>
      <c r="C4711">
        <v>0.25</v>
      </c>
      <c r="D4711" t="s">
        <v>23</v>
      </c>
      <c r="E4711" t="s">
        <v>115</v>
      </c>
    </row>
    <row r="4712" spans="1:9" x14ac:dyDescent="0.3">
      <c r="A4712" t="s">
        <v>8153</v>
      </c>
      <c r="B4712" t="s">
        <v>9709</v>
      </c>
      <c r="C4712">
        <v>2</v>
      </c>
      <c r="D4712" t="s">
        <v>84</v>
      </c>
      <c r="E4712" t="s">
        <v>518</v>
      </c>
      <c r="I4712" t="s">
        <v>248</v>
      </c>
    </row>
    <row r="4713" spans="1:9" x14ac:dyDescent="0.3">
      <c r="A4713" t="s">
        <v>9710</v>
      </c>
      <c r="B4713" t="s">
        <v>9711</v>
      </c>
      <c r="C4713">
        <v>0.5</v>
      </c>
      <c r="D4713" t="s">
        <v>284</v>
      </c>
      <c r="E4713" t="s">
        <v>9712</v>
      </c>
    </row>
    <row r="4714" spans="1:9" x14ac:dyDescent="0.3">
      <c r="A4714" t="s">
        <v>9713</v>
      </c>
      <c r="B4714" t="s">
        <v>9714</v>
      </c>
      <c r="C4714">
        <v>1</v>
      </c>
      <c r="D4714" t="s">
        <v>23</v>
      </c>
      <c r="E4714" t="s">
        <v>9715</v>
      </c>
    </row>
    <row r="4715" spans="1:9" x14ac:dyDescent="0.3">
      <c r="A4715" t="s">
        <v>9716</v>
      </c>
      <c r="B4715" t="s">
        <v>9717</v>
      </c>
      <c r="C4715">
        <v>750</v>
      </c>
      <c r="D4715" t="s">
        <v>29</v>
      </c>
      <c r="E4715" t="s">
        <v>9718</v>
      </c>
    </row>
    <row r="4716" spans="1:9" x14ac:dyDescent="0.3">
      <c r="A4716" t="s">
        <v>3258</v>
      </c>
      <c r="B4716" t="s">
        <v>518</v>
      </c>
      <c r="E4716" t="s">
        <v>518</v>
      </c>
    </row>
    <row r="4717" spans="1:9" x14ac:dyDescent="0.3">
      <c r="A4717" t="s">
        <v>436</v>
      </c>
      <c r="B4717" t="s">
        <v>9719</v>
      </c>
      <c r="C4717">
        <v>1</v>
      </c>
      <c r="D4717" t="s">
        <v>23</v>
      </c>
      <c r="E4717" t="s">
        <v>183</v>
      </c>
      <c r="G4717" t="s">
        <v>814</v>
      </c>
    </row>
    <row r="4718" spans="1:9" x14ac:dyDescent="0.3">
      <c r="A4718" t="s">
        <v>9720</v>
      </c>
      <c r="B4718" t="s">
        <v>9721</v>
      </c>
      <c r="C4718">
        <v>2</v>
      </c>
      <c r="D4718" t="s">
        <v>189</v>
      </c>
      <c r="E4718" t="s">
        <v>5915</v>
      </c>
    </row>
    <row r="4719" spans="1:9" x14ac:dyDescent="0.3">
      <c r="A4719" t="s">
        <v>9722</v>
      </c>
      <c r="B4719" t="s">
        <v>9723</v>
      </c>
      <c r="E4719" t="s">
        <v>9724</v>
      </c>
      <c r="I4719" t="s">
        <v>9725</v>
      </c>
    </row>
    <row r="4720" spans="1:9" x14ac:dyDescent="0.3">
      <c r="A4720" t="s">
        <v>9726</v>
      </c>
      <c r="B4720" t="s">
        <v>9727</v>
      </c>
      <c r="C4720">
        <v>4</v>
      </c>
      <c r="D4720" t="s">
        <v>23</v>
      </c>
      <c r="E4720" t="s">
        <v>108</v>
      </c>
    </row>
    <row r="4721" spans="1:9" x14ac:dyDescent="0.3">
      <c r="A4721" t="s">
        <v>9728</v>
      </c>
      <c r="B4721" t="s">
        <v>9729</v>
      </c>
      <c r="C4721">
        <v>0.5</v>
      </c>
      <c r="D4721" t="s">
        <v>361</v>
      </c>
      <c r="E4721" t="s">
        <v>2178</v>
      </c>
    </row>
    <row r="4722" spans="1:9" x14ac:dyDescent="0.3">
      <c r="A4722" t="s">
        <v>9730</v>
      </c>
      <c r="B4722" t="s">
        <v>9731</v>
      </c>
      <c r="C4722">
        <v>1</v>
      </c>
      <c r="D4722" t="s">
        <v>23</v>
      </c>
      <c r="E4722" t="s">
        <v>4137</v>
      </c>
    </row>
    <row r="4723" spans="1:9" x14ac:dyDescent="0.3">
      <c r="A4723" t="s">
        <v>9732</v>
      </c>
      <c r="B4723" t="s">
        <v>9733</v>
      </c>
      <c r="C4723">
        <v>5</v>
      </c>
      <c r="D4723" t="s">
        <v>29</v>
      </c>
      <c r="E4723" t="s">
        <v>4470</v>
      </c>
    </row>
    <row r="4724" spans="1:9" x14ac:dyDescent="0.3">
      <c r="A4724" t="s">
        <v>9734</v>
      </c>
      <c r="B4724" t="s">
        <v>6283</v>
      </c>
      <c r="C4724">
        <v>1.5</v>
      </c>
      <c r="D4724" t="s">
        <v>23</v>
      </c>
      <c r="E4724" t="s">
        <v>292</v>
      </c>
    </row>
    <row r="4725" spans="1:9" x14ac:dyDescent="0.3">
      <c r="A4725" t="s">
        <v>9735</v>
      </c>
      <c r="B4725" t="s">
        <v>9736</v>
      </c>
      <c r="C4725">
        <v>2</v>
      </c>
      <c r="D4725" t="s">
        <v>120</v>
      </c>
      <c r="E4725" t="s">
        <v>793</v>
      </c>
    </row>
    <row r="4726" spans="1:9" x14ac:dyDescent="0.3">
      <c r="A4726" t="s">
        <v>9737</v>
      </c>
      <c r="B4726" t="s">
        <v>1269</v>
      </c>
      <c r="C4726">
        <v>1</v>
      </c>
      <c r="D4726" t="s">
        <v>23</v>
      </c>
      <c r="E4726" t="s">
        <v>380</v>
      </c>
    </row>
    <row r="4727" spans="1:9" x14ac:dyDescent="0.3">
      <c r="A4727" t="s">
        <v>9738</v>
      </c>
      <c r="B4727" t="s">
        <v>1190</v>
      </c>
      <c r="C4727">
        <v>0.5</v>
      </c>
      <c r="D4727" t="s">
        <v>23</v>
      </c>
      <c r="E4727" t="s">
        <v>199</v>
      </c>
    </row>
    <row r="4728" spans="1:9" x14ac:dyDescent="0.3">
      <c r="A4728" t="s">
        <v>9739</v>
      </c>
      <c r="B4728" t="s">
        <v>163</v>
      </c>
      <c r="E4728" t="s">
        <v>163</v>
      </c>
    </row>
    <row r="4729" spans="1:9" x14ac:dyDescent="0.3">
      <c r="A4729" t="s">
        <v>5933</v>
      </c>
      <c r="B4729" t="s">
        <v>9740</v>
      </c>
      <c r="C4729">
        <v>2</v>
      </c>
      <c r="D4729" t="s">
        <v>176</v>
      </c>
      <c r="E4729" t="s">
        <v>1644</v>
      </c>
    </row>
    <row r="4730" spans="1:9" x14ac:dyDescent="0.3">
      <c r="A4730" t="s">
        <v>9741</v>
      </c>
      <c r="B4730" t="s">
        <v>4442</v>
      </c>
      <c r="C4730">
        <v>1</v>
      </c>
      <c r="D4730" t="s">
        <v>23</v>
      </c>
      <c r="E4730" t="s">
        <v>30</v>
      </c>
    </row>
    <row r="4731" spans="1:9" x14ac:dyDescent="0.3">
      <c r="A4731" t="s">
        <v>3112</v>
      </c>
      <c r="B4731" t="s">
        <v>9742</v>
      </c>
      <c r="C4731">
        <v>2</v>
      </c>
      <c r="D4731" t="s">
        <v>23</v>
      </c>
      <c r="E4731" t="s">
        <v>9743</v>
      </c>
      <c r="I4731" t="s">
        <v>20</v>
      </c>
    </row>
    <row r="4732" spans="1:9" x14ac:dyDescent="0.3">
      <c r="A4732" t="s">
        <v>3490</v>
      </c>
      <c r="B4732" t="s">
        <v>9744</v>
      </c>
      <c r="C4732">
        <v>2</v>
      </c>
      <c r="D4732" t="s">
        <v>345</v>
      </c>
      <c r="E4732" t="s">
        <v>4728</v>
      </c>
      <c r="I4732" t="s">
        <v>9745</v>
      </c>
    </row>
    <row r="4733" spans="1:9" x14ac:dyDescent="0.3">
      <c r="A4733" t="s">
        <v>9746</v>
      </c>
      <c r="B4733" t="s">
        <v>9747</v>
      </c>
      <c r="C4733">
        <v>2</v>
      </c>
      <c r="D4733" t="s">
        <v>23</v>
      </c>
      <c r="E4733" t="s">
        <v>9748</v>
      </c>
    </row>
    <row r="4734" spans="1:9" x14ac:dyDescent="0.3">
      <c r="A4734" t="s">
        <v>8324</v>
      </c>
      <c r="B4734" t="s">
        <v>9749</v>
      </c>
      <c r="C4734">
        <v>0.5</v>
      </c>
      <c r="D4734" t="s">
        <v>23</v>
      </c>
      <c r="E4734" t="s">
        <v>9750</v>
      </c>
    </row>
    <row r="4735" spans="1:9" x14ac:dyDescent="0.3">
      <c r="A4735" t="s">
        <v>9751</v>
      </c>
      <c r="B4735" t="s">
        <v>9752</v>
      </c>
      <c r="C4735">
        <v>35</v>
      </c>
      <c r="D4735" t="s">
        <v>29</v>
      </c>
      <c r="E4735" t="s">
        <v>5085</v>
      </c>
    </row>
    <row r="4736" spans="1:9" x14ac:dyDescent="0.3">
      <c r="A4736" t="s">
        <v>5361</v>
      </c>
      <c r="B4736" t="s">
        <v>298</v>
      </c>
      <c r="C4736">
        <v>1</v>
      </c>
      <c r="D4736" t="s">
        <v>23</v>
      </c>
      <c r="E4736" t="s">
        <v>299</v>
      </c>
    </row>
    <row r="4737" spans="1:9" x14ac:dyDescent="0.3">
      <c r="A4737" t="s">
        <v>8280</v>
      </c>
      <c r="B4737" t="s">
        <v>9753</v>
      </c>
      <c r="C4737">
        <v>2</v>
      </c>
      <c r="D4737" t="s">
        <v>23</v>
      </c>
      <c r="E4737" t="s">
        <v>3742</v>
      </c>
    </row>
    <row r="4738" spans="1:9" x14ac:dyDescent="0.3">
      <c r="A4738" t="s">
        <v>9754</v>
      </c>
      <c r="B4738" t="s">
        <v>591</v>
      </c>
      <c r="E4738" t="s">
        <v>591</v>
      </c>
    </row>
    <row r="4739" spans="1:9" x14ac:dyDescent="0.3">
      <c r="A4739" t="s">
        <v>9755</v>
      </c>
      <c r="B4739" t="s">
        <v>9756</v>
      </c>
      <c r="C4739">
        <v>1.5</v>
      </c>
      <c r="D4739" t="s">
        <v>23</v>
      </c>
      <c r="E4739" t="s">
        <v>9757</v>
      </c>
      <c r="I4739" t="s">
        <v>289</v>
      </c>
    </row>
    <row r="4740" spans="1:9" x14ac:dyDescent="0.3">
      <c r="A4740" t="s">
        <v>9758</v>
      </c>
      <c r="B4740" t="s">
        <v>9759</v>
      </c>
      <c r="C4740" t="s">
        <v>9760</v>
      </c>
      <c r="D4740" t="s">
        <v>23</v>
      </c>
      <c r="E4740" t="s">
        <v>7256</v>
      </c>
    </row>
    <row r="4741" spans="1:9" x14ac:dyDescent="0.3">
      <c r="A4741" t="s">
        <v>9761</v>
      </c>
      <c r="B4741" t="s">
        <v>9762</v>
      </c>
      <c r="C4741">
        <v>1</v>
      </c>
      <c r="D4741" t="s">
        <v>37</v>
      </c>
      <c r="E4741" t="s">
        <v>9763</v>
      </c>
    </row>
    <row r="4742" spans="1:9" x14ac:dyDescent="0.3">
      <c r="A4742" t="s">
        <v>9764</v>
      </c>
      <c r="B4742" t="s">
        <v>9765</v>
      </c>
      <c r="C4742">
        <v>1</v>
      </c>
      <c r="D4742" t="s">
        <v>1281</v>
      </c>
      <c r="E4742" t="s">
        <v>1056</v>
      </c>
      <c r="I4742" t="s">
        <v>9766</v>
      </c>
    </row>
    <row r="4743" spans="1:9" x14ac:dyDescent="0.3">
      <c r="A4743" t="s">
        <v>9767</v>
      </c>
      <c r="B4743" t="s">
        <v>711</v>
      </c>
      <c r="C4743">
        <v>1</v>
      </c>
      <c r="D4743" t="s">
        <v>23</v>
      </c>
      <c r="E4743" t="s">
        <v>712</v>
      </c>
    </row>
    <row r="4744" spans="1:9" x14ac:dyDescent="0.3">
      <c r="A4744" t="s">
        <v>9768</v>
      </c>
      <c r="B4744" t="s">
        <v>9124</v>
      </c>
      <c r="C4744">
        <v>34</v>
      </c>
      <c r="D4744" t="s">
        <v>23</v>
      </c>
      <c r="E4744" t="s">
        <v>160</v>
      </c>
      <c r="G4744" t="s">
        <v>68</v>
      </c>
    </row>
    <row r="4745" spans="1:9" x14ac:dyDescent="0.3">
      <c r="A4745" t="s">
        <v>9769</v>
      </c>
      <c r="B4745" t="s">
        <v>9770</v>
      </c>
      <c r="C4745">
        <v>0.75</v>
      </c>
      <c r="D4745" t="s">
        <v>23</v>
      </c>
      <c r="E4745" t="s">
        <v>3823</v>
      </c>
    </row>
    <row r="4746" spans="1:9" x14ac:dyDescent="0.3">
      <c r="A4746" t="s">
        <v>9771</v>
      </c>
      <c r="B4746" t="s">
        <v>9772</v>
      </c>
      <c r="C4746">
        <v>2</v>
      </c>
      <c r="D4746" t="s">
        <v>345</v>
      </c>
      <c r="E4746" t="s">
        <v>456</v>
      </c>
    </row>
    <row r="4747" spans="1:9" x14ac:dyDescent="0.3">
      <c r="A4747" t="s">
        <v>9773</v>
      </c>
      <c r="B4747" t="s">
        <v>9774</v>
      </c>
      <c r="C4747">
        <v>0.75</v>
      </c>
      <c r="D4747" t="s">
        <v>37</v>
      </c>
      <c r="E4747" t="s">
        <v>9775</v>
      </c>
    </row>
    <row r="4748" spans="1:9" x14ac:dyDescent="0.3">
      <c r="A4748" t="s">
        <v>9776</v>
      </c>
      <c r="B4748" t="s">
        <v>9777</v>
      </c>
      <c r="C4748">
        <v>25</v>
      </c>
      <c r="D4748" t="s">
        <v>29</v>
      </c>
      <c r="E4748" t="s">
        <v>8731</v>
      </c>
    </row>
    <row r="4749" spans="1:9" x14ac:dyDescent="0.3">
      <c r="A4749" t="s">
        <v>9778</v>
      </c>
      <c r="B4749" t="s">
        <v>5777</v>
      </c>
      <c r="C4749">
        <v>0.5</v>
      </c>
      <c r="D4749" t="s">
        <v>23</v>
      </c>
      <c r="E4749" t="s">
        <v>1231</v>
      </c>
    </row>
    <row r="4750" spans="1:9" x14ac:dyDescent="0.3">
      <c r="A4750" t="s">
        <v>3086</v>
      </c>
      <c r="B4750" t="s">
        <v>67</v>
      </c>
      <c r="C4750">
        <v>0.75</v>
      </c>
      <c r="D4750" t="s">
        <v>37</v>
      </c>
      <c r="E4750" t="s">
        <v>38</v>
      </c>
      <c r="G4750" t="s">
        <v>68</v>
      </c>
    </row>
    <row r="4751" spans="1:9" x14ac:dyDescent="0.3">
      <c r="A4751" t="s">
        <v>9779</v>
      </c>
      <c r="B4751" t="s">
        <v>9780</v>
      </c>
      <c r="C4751">
        <v>37.5</v>
      </c>
      <c r="D4751" t="s">
        <v>29</v>
      </c>
      <c r="E4751" t="s">
        <v>338</v>
      </c>
    </row>
    <row r="4752" spans="1:9" x14ac:dyDescent="0.3">
      <c r="A4752" t="s">
        <v>9781</v>
      </c>
      <c r="B4752" t="s">
        <v>9782</v>
      </c>
      <c r="C4752">
        <v>40</v>
      </c>
      <c r="D4752" t="s">
        <v>29</v>
      </c>
      <c r="E4752" t="s">
        <v>9783</v>
      </c>
    </row>
    <row r="4753" spans="1:9" x14ac:dyDescent="0.3">
      <c r="A4753" t="s">
        <v>7968</v>
      </c>
      <c r="B4753" t="s">
        <v>9784</v>
      </c>
      <c r="C4753">
        <v>750</v>
      </c>
      <c r="D4753" t="s">
        <v>4211</v>
      </c>
      <c r="E4753" t="s">
        <v>9785</v>
      </c>
      <c r="I4753" t="s">
        <v>9786</v>
      </c>
    </row>
    <row r="4754" spans="1:9" x14ac:dyDescent="0.3">
      <c r="A4754" t="s">
        <v>5933</v>
      </c>
      <c r="B4754" t="s">
        <v>4442</v>
      </c>
      <c r="C4754">
        <v>1</v>
      </c>
      <c r="D4754" t="s">
        <v>23</v>
      </c>
      <c r="E4754" t="s">
        <v>30</v>
      </c>
    </row>
    <row r="4755" spans="1:9" x14ac:dyDescent="0.3">
      <c r="A4755" t="s">
        <v>9787</v>
      </c>
      <c r="B4755" t="s">
        <v>163</v>
      </c>
      <c r="E4755" t="s">
        <v>163</v>
      </c>
    </row>
    <row r="4756" spans="1:9" x14ac:dyDescent="0.3">
      <c r="A4756" t="s">
        <v>9788</v>
      </c>
      <c r="B4756" t="s">
        <v>9789</v>
      </c>
      <c r="E4756" t="s">
        <v>9790</v>
      </c>
      <c r="F4756" t="s">
        <v>9791</v>
      </c>
      <c r="I4756" t="s">
        <v>9792</v>
      </c>
    </row>
    <row r="4757" spans="1:9" x14ac:dyDescent="0.3">
      <c r="A4757" t="s">
        <v>9793</v>
      </c>
      <c r="B4757" t="s">
        <v>9794</v>
      </c>
      <c r="C4757">
        <v>3</v>
      </c>
      <c r="D4757" t="s">
        <v>23</v>
      </c>
      <c r="E4757" t="s">
        <v>9795</v>
      </c>
    </row>
    <row r="4758" spans="1:9" x14ac:dyDescent="0.3">
      <c r="A4758" t="s">
        <v>4050</v>
      </c>
      <c r="B4758" t="s">
        <v>9796</v>
      </c>
      <c r="D4758" t="s">
        <v>18</v>
      </c>
      <c r="E4758" t="s">
        <v>1204</v>
      </c>
      <c r="I4758" t="s">
        <v>289</v>
      </c>
    </row>
    <row r="4759" spans="1:9" x14ac:dyDescent="0.3">
      <c r="A4759" t="s">
        <v>9797</v>
      </c>
      <c r="B4759" t="s">
        <v>3018</v>
      </c>
      <c r="C4759">
        <v>2</v>
      </c>
      <c r="D4759" t="s">
        <v>189</v>
      </c>
      <c r="E4759" t="s">
        <v>541</v>
      </c>
    </row>
    <row r="4760" spans="1:9" x14ac:dyDescent="0.3">
      <c r="A4760" t="s">
        <v>7316</v>
      </c>
      <c r="B4760" t="s">
        <v>3640</v>
      </c>
      <c r="C4760">
        <v>1.5</v>
      </c>
      <c r="D4760" t="s">
        <v>23</v>
      </c>
      <c r="E4760" t="s">
        <v>320</v>
      </c>
    </row>
    <row r="4761" spans="1:9" x14ac:dyDescent="0.3">
      <c r="A4761" t="s">
        <v>9798</v>
      </c>
      <c r="B4761" t="s">
        <v>9799</v>
      </c>
      <c r="D4761" t="s">
        <v>426</v>
      </c>
      <c r="E4761" t="s">
        <v>1231</v>
      </c>
      <c r="I4761" t="s">
        <v>289</v>
      </c>
    </row>
    <row r="4762" spans="1:9" x14ac:dyDescent="0.3">
      <c r="A4762" t="s">
        <v>9800</v>
      </c>
      <c r="B4762" t="s">
        <v>9801</v>
      </c>
      <c r="C4762">
        <v>4.5</v>
      </c>
      <c r="D4762" t="s">
        <v>23</v>
      </c>
      <c r="E4762" t="s">
        <v>9802</v>
      </c>
    </row>
    <row r="4763" spans="1:9" x14ac:dyDescent="0.3">
      <c r="A4763" t="s">
        <v>9803</v>
      </c>
      <c r="B4763" t="s">
        <v>9804</v>
      </c>
      <c r="C4763">
        <v>8</v>
      </c>
      <c r="D4763" t="s">
        <v>176</v>
      </c>
      <c r="E4763" t="s">
        <v>41</v>
      </c>
    </row>
    <row r="4764" spans="1:9" x14ac:dyDescent="0.3">
      <c r="A4764" t="s">
        <v>1329</v>
      </c>
      <c r="B4764" t="s">
        <v>1683</v>
      </c>
      <c r="C4764">
        <v>1</v>
      </c>
      <c r="E4764" t="s">
        <v>1684</v>
      </c>
    </row>
    <row r="4765" spans="1:9" x14ac:dyDescent="0.3">
      <c r="A4765" t="s">
        <v>1761</v>
      </c>
      <c r="B4765" t="s">
        <v>2011</v>
      </c>
      <c r="C4765">
        <v>2</v>
      </c>
      <c r="D4765" t="s">
        <v>189</v>
      </c>
      <c r="E4765" t="s">
        <v>61</v>
      </c>
    </row>
    <row r="4766" spans="1:9" x14ac:dyDescent="0.3">
      <c r="A4766" t="s">
        <v>1899</v>
      </c>
      <c r="B4766" t="s">
        <v>114</v>
      </c>
      <c r="C4766">
        <v>12.5</v>
      </c>
      <c r="D4766" t="s">
        <v>29</v>
      </c>
      <c r="E4766" t="s">
        <v>115</v>
      </c>
    </row>
    <row r="4767" spans="1:9" x14ac:dyDescent="0.3">
      <c r="A4767" t="s">
        <v>9805</v>
      </c>
      <c r="B4767" t="s">
        <v>9806</v>
      </c>
      <c r="C4767">
        <v>2</v>
      </c>
      <c r="D4767" t="s">
        <v>345</v>
      </c>
      <c r="E4767" t="s">
        <v>3345</v>
      </c>
    </row>
    <row r="4768" spans="1:9" x14ac:dyDescent="0.3">
      <c r="A4768" t="s">
        <v>9807</v>
      </c>
      <c r="B4768" t="s">
        <v>26</v>
      </c>
      <c r="E4768" t="s">
        <v>26</v>
      </c>
    </row>
    <row r="4769" spans="1:9" x14ac:dyDescent="0.3">
      <c r="A4769" t="s">
        <v>9604</v>
      </c>
      <c r="B4769" t="s">
        <v>9808</v>
      </c>
      <c r="C4769">
        <v>2</v>
      </c>
      <c r="D4769" t="s">
        <v>71</v>
      </c>
      <c r="E4769" t="s">
        <v>3269</v>
      </c>
      <c r="I4769" t="e">
        <f>- I used Dolin Rouge</f>
        <v>#NAME?</v>
      </c>
    </row>
    <row r="4770" spans="1:9" x14ac:dyDescent="0.3">
      <c r="A4770" t="s">
        <v>9809</v>
      </c>
      <c r="B4770" t="s">
        <v>9810</v>
      </c>
      <c r="C4770">
        <v>2</v>
      </c>
      <c r="D4770" t="s">
        <v>23</v>
      </c>
      <c r="E4770" t="s">
        <v>847</v>
      </c>
    </row>
    <row r="4771" spans="1:9" x14ac:dyDescent="0.3">
      <c r="A4771" t="s">
        <v>9811</v>
      </c>
      <c r="B4771" t="s">
        <v>9812</v>
      </c>
      <c r="C4771">
        <v>1</v>
      </c>
      <c r="D4771" t="s">
        <v>23</v>
      </c>
      <c r="E4771" t="s">
        <v>9813</v>
      </c>
    </row>
    <row r="4772" spans="1:9" x14ac:dyDescent="0.3">
      <c r="A4772" t="s">
        <v>9814</v>
      </c>
      <c r="B4772" t="s">
        <v>1179</v>
      </c>
      <c r="C4772">
        <v>1</v>
      </c>
      <c r="D4772" t="s">
        <v>23</v>
      </c>
      <c r="E4772" t="s">
        <v>233</v>
      </c>
    </row>
    <row r="4773" spans="1:9" x14ac:dyDescent="0.3">
      <c r="A4773" t="s">
        <v>9815</v>
      </c>
      <c r="B4773" t="s">
        <v>7223</v>
      </c>
      <c r="C4773">
        <v>1</v>
      </c>
      <c r="D4773" t="s">
        <v>23</v>
      </c>
      <c r="E4773" t="s">
        <v>7224</v>
      </c>
    </row>
    <row r="4774" spans="1:9" x14ac:dyDescent="0.3">
      <c r="A4774" t="s">
        <v>9816</v>
      </c>
      <c r="B4774" t="s">
        <v>9817</v>
      </c>
      <c r="C4774">
        <v>1</v>
      </c>
      <c r="D4774" t="s">
        <v>23</v>
      </c>
      <c r="E4774" t="s">
        <v>9818</v>
      </c>
    </row>
    <row r="4775" spans="1:9" x14ac:dyDescent="0.3">
      <c r="A4775" t="s">
        <v>9819</v>
      </c>
      <c r="B4775" t="s">
        <v>9820</v>
      </c>
      <c r="D4775" t="s">
        <v>1212</v>
      </c>
      <c r="E4775" t="s">
        <v>5248</v>
      </c>
      <c r="I4775" t="s">
        <v>9821</v>
      </c>
    </row>
    <row r="4776" spans="1:9" x14ac:dyDescent="0.3">
      <c r="A4776" t="s">
        <v>9822</v>
      </c>
      <c r="B4776" t="s">
        <v>9823</v>
      </c>
      <c r="C4776">
        <v>0.25</v>
      </c>
      <c r="D4776" t="s">
        <v>23</v>
      </c>
      <c r="E4776" t="s">
        <v>5327</v>
      </c>
    </row>
    <row r="4777" spans="1:9" x14ac:dyDescent="0.3">
      <c r="A4777" t="s">
        <v>3507</v>
      </c>
      <c r="B4777" t="s">
        <v>5687</v>
      </c>
      <c r="C4777">
        <v>2</v>
      </c>
      <c r="D4777" t="s">
        <v>91</v>
      </c>
      <c r="E4777" t="s">
        <v>5688</v>
      </c>
    </row>
    <row r="4778" spans="1:9" x14ac:dyDescent="0.3">
      <c r="A4778" t="s">
        <v>9824</v>
      </c>
      <c r="B4778" t="s">
        <v>9825</v>
      </c>
      <c r="C4778">
        <v>1.5</v>
      </c>
      <c r="D4778" t="s">
        <v>23</v>
      </c>
      <c r="E4778" t="s">
        <v>758</v>
      </c>
    </row>
    <row r="4779" spans="1:9" x14ac:dyDescent="0.3">
      <c r="A4779" t="s">
        <v>9826</v>
      </c>
      <c r="B4779" t="s">
        <v>9827</v>
      </c>
      <c r="C4779">
        <v>1</v>
      </c>
      <c r="D4779" t="s">
        <v>206</v>
      </c>
      <c r="E4779" t="s">
        <v>1915</v>
      </c>
    </row>
    <row r="4780" spans="1:9" x14ac:dyDescent="0.3">
      <c r="A4780" t="s">
        <v>2461</v>
      </c>
      <c r="B4780" t="s">
        <v>9828</v>
      </c>
      <c r="C4780">
        <v>2</v>
      </c>
      <c r="D4780" t="s">
        <v>23</v>
      </c>
      <c r="E4780" t="s">
        <v>9829</v>
      </c>
    </row>
    <row r="4781" spans="1:9" x14ac:dyDescent="0.3">
      <c r="A4781" t="s">
        <v>9830</v>
      </c>
      <c r="B4781" t="s">
        <v>9831</v>
      </c>
      <c r="C4781">
        <v>2</v>
      </c>
      <c r="D4781" t="s">
        <v>23</v>
      </c>
      <c r="E4781" t="s">
        <v>6787</v>
      </c>
    </row>
    <row r="4782" spans="1:9" x14ac:dyDescent="0.3">
      <c r="A4782" t="s">
        <v>9832</v>
      </c>
      <c r="B4782" t="s">
        <v>9833</v>
      </c>
      <c r="C4782">
        <v>1</v>
      </c>
      <c r="D4782" t="s">
        <v>23</v>
      </c>
      <c r="E4782" t="s">
        <v>1027</v>
      </c>
    </row>
    <row r="4783" spans="1:9" x14ac:dyDescent="0.3">
      <c r="A4783" t="s">
        <v>1368</v>
      </c>
      <c r="B4783" t="s">
        <v>9834</v>
      </c>
      <c r="C4783">
        <v>0.75</v>
      </c>
      <c r="D4783" t="s">
        <v>37</v>
      </c>
      <c r="E4783" t="s">
        <v>9835</v>
      </c>
    </row>
    <row r="4784" spans="1:9" x14ac:dyDescent="0.3">
      <c r="A4784" t="s">
        <v>9836</v>
      </c>
      <c r="B4784" t="s">
        <v>9837</v>
      </c>
      <c r="C4784">
        <v>0.75</v>
      </c>
      <c r="D4784" t="s">
        <v>37</v>
      </c>
      <c r="E4784" t="s">
        <v>741</v>
      </c>
      <c r="F4784" t="s">
        <v>167</v>
      </c>
      <c r="G4784" t="s">
        <v>168</v>
      </c>
      <c r="I4784" t="s">
        <v>325</v>
      </c>
    </row>
    <row r="4785" spans="1:9" x14ac:dyDescent="0.3">
      <c r="A4785" t="s">
        <v>4535</v>
      </c>
      <c r="B4785" t="s">
        <v>59</v>
      </c>
      <c r="C4785">
        <v>1</v>
      </c>
      <c r="D4785" t="s">
        <v>60</v>
      </c>
      <c r="E4785" t="s">
        <v>61</v>
      </c>
    </row>
    <row r="4786" spans="1:9" x14ac:dyDescent="0.3">
      <c r="A4786" t="s">
        <v>9838</v>
      </c>
      <c r="B4786" t="s">
        <v>9839</v>
      </c>
      <c r="C4786">
        <v>1</v>
      </c>
      <c r="D4786" t="s">
        <v>23</v>
      </c>
      <c r="E4786" t="s">
        <v>563</v>
      </c>
    </row>
    <row r="4787" spans="1:9" x14ac:dyDescent="0.3">
      <c r="A4787" t="s">
        <v>9840</v>
      </c>
      <c r="B4787" t="s">
        <v>9841</v>
      </c>
      <c r="C4787">
        <v>0.25</v>
      </c>
      <c r="D4787" t="s">
        <v>23</v>
      </c>
      <c r="E4787" t="s">
        <v>9842</v>
      </c>
    </row>
    <row r="4788" spans="1:9" x14ac:dyDescent="0.3">
      <c r="A4788" t="s">
        <v>9843</v>
      </c>
      <c r="B4788" t="s">
        <v>9844</v>
      </c>
      <c r="C4788">
        <v>0.25</v>
      </c>
      <c r="D4788" t="s">
        <v>23</v>
      </c>
      <c r="E4788" t="s">
        <v>753</v>
      </c>
    </row>
    <row r="4789" spans="1:9" x14ac:dyDescent="0.3">
      <c r="A4789" t="s">
        <v>3666</v>
      </c>
      <c r="B4789" t="s">
        <v>9845</v>
      </c>
      <c r="C4789">
        <v>750</v>
      </c>
      <c r="D4789" t="s">
        <v>9846</v>
      </c>
      <c r="E4789" t="s">
        <v>41</v>
      </c>
      <c r="I4789" t="s">
        <v>289</v>
      </c>
    </row>
    <row r="4790" spans="1:9" x14ac:dyDescent="0.3">
      <c r="A4790" t="s">
        <v>9847</v>
      </c>
      <c r="B4790" t="s">
        <v>986</v>
      </c>
      <c r="C4790">
        <v>0.5</v>
      </c>
      <c r="D4790" t="s">
        <v>23</v>
      </c>
      <c r="E4790" t="s">
        <v>712</v>
      </c>
    </row>
    <row r="4791" spans="1:9" x14ac:dyDescent="0.3">
      <c r="A4791" t="s">
        <v>9848</v>
      </c>
      <c r="B4791" t="s">
        <v>9849</v>
      </c>
      <c r="D4791" t="s">
        <v>151</v>
      </c>
      <c r="E4791" t="s">
        <v>8086</v>
      </c>
      <c r="I4791" t="s">
        <v>325</v>
      </c>
    </row>
    <row r="4792" spans="1:9" x14ac:dyDescent="0.3">
      <c r="A4792" t="s">
        <v>27</v>
      </c>
      <c r="B4792" t="s">
        <v>9850</v>
      </c>
      <c r="C4792">
        <v>25</v>
      </c>
      <c r="D4792" t="s">
        <v>29</v>
      </c>
      <c r="E4792" t="s">
        <v>278</v>
      </c>
    </row>
    <row r="4793" spans="1:9" x14ac:dyDescent="0.3">
      <c r="A4793" t="s">
        <v>9851</v>
      </c>
      <c r="B4793" t="s">
        <v>743</v>
      </c>
      <c r="E4793" t="s">
        <v>743</v>
      </c>
    </row>
    <row r="4794" spans="1:9" x14ac:dyDescent="0.3">
      <c r="A4794" t="s">
        <v>9852</v>
      </c>
      <c r="B4794" t="s">
        <v>9853</v>
      </c>
      <c r="C4794">
        <v>0.5</v>
      </c>
      <c r="D4794" t="s">
        <v>37</v>
      </c>
      <c r="E4794" t="s">
        <v>9854</v>
      </c>
      <c r="I4794" t="s">
        <v>6578</v>
      </c>
    </row>
    <row r="4795" spans="1:9" x14ac:dyDescent="0.3">
      <c r="A4795" t="s">
        <v>9855</v>
      </c>
      <c r="B4795" t="s">
        <v>9856</v>
      </c>
      <c r="C4795">
        <v>0.5</v>
      </c>
      <c r="D4795" t="s">
        <v>23</v>
      </c>
      <c r="E4795" t="s">
        <v>281</v>
      </c>
    </row>
    <row r="4796" spans="1:9" x14ac:dyDescent="0.3">
      <c r="A4796" t="s">
        <v>9857</v>
      </c>
      <c r="B4796" t="s">
        <v>337</v>
      </c>
      <c r="C4796">
        <v>1</v>
      </c>
      <c r="D4796" t="s">
        <v>23</v>
      </c>
      <c r="E4796" t="s">
        <v>338</v>
      </c>
    </row>
    <row r="4797" spans="1:9" x14ac:dyDescent="0.3">
      <c r="A4797" t="s">
        <v>9858</v>
      </c>
      <c r="B4797" t="s">
        <v>9859</v>
      </c>
      <c r="C4797">
        <v>1</v>
      </c>
      <c r="D4797" t="s">
        <v>23</v>
      </c>
      <c r="E4797" t="s">
        <v>1923</v>
      </c>
    </row>
    <row r="4798" spans="1:9" x14ac:dyDescent="0.3">
      <c r="A4798" t="s">
        <v>9860</v>
      </c>
      <c r="B4798" t="s">
        <v>9861</v>
      </c>
      <c r="C4798">
        <v>1.5</v>
      </c>
      <c r="D4798" t="s">
        <v>23</v>
      </c>
      <c r="E4798" t="s">
        <v>262</v>
      </c>
    </row>
    <row r="4799" spans="1:9" x14ac:dyDescent="0.3">
      <c r="A4799" t="s">
        <v>5181</v>
      </c>
      <c r="B4799" t="s">
        <v>9862</v>
      </c>
      <c r="C4799">
        <v>0.5</v>
      </c>
      <c r="D4799" t="s">
        <v>11</v>
      </c>
      <c r="E4799" t="s">
        <v>5277</v>
      </c>
    </row>
    <row r="4800" spans="1:9" x14ac:dyDescent="0.3">
      <c r="A4800" t="s">
        <v>9863</v>
      </c>
      <c r="B4800" t="s">
        <v>9864</v>
      </c>
      <c r="C4800">
        <v>4</v>
      </c>
      <c r="D4800" t="s">
        <v>23</v>
      </c>
      <c r="E4800" t="s">
        <v>320</v>
      </c>
    </row>
    <row r="4801" spans="1:5" x14ac:dyDescent="0.3">
      <c r="A4801" t="s">
        <v>3074</v>
      </c>
      <c r="B4801" t="s">
        <v>9865</v>
      </c>
      <c r="C4801">
        <v>1</v>
      </c>
      <c r="E4801" t="s">
        <v>9866</v>
      </c>
    </row>
    <row r="4802" spans="1:5" x14ac:dyDescent="0.3">
      <c r="A4802" t="s">
        <v>9867</v>
      </c>
      <c r="B4802" t="s">
        <v>9868</v>
      </c>
      <c r="C4802">
        <v>0.25</v>
      </c>
      <c r="D4802" t="s">
        <v>23</v>
      </c>
      <c r="E4802" t="s">
        <v>4276</v>
      </c>
    </row>
    <row r="4803" spans="1:5" x14ac:dyDescent="0.3">
      <c r="A4803" t="s">
        <v>9054</v>
      </c>
      <c r="B4803" t="s">
        <v>9869</v>
      </c>
      <c r="C4803">
        <v>2</v>
      </c>
      <c r="D4803" t="s">
        <v>460</v>
      </c>
      <c r="E4803" t="s">
        <v>1457</v>
      </c>
    </row>
    <row r="4804" spans="1:5" x14ac:dyDescent="0.3">
      <c r="A4804" t="s">
        <v>9870</v>
      </c>
      <c r="B4804" t="s">
        <v>9871</v>
      </c>
      <c r="C4804">
        <v>2</v>
      </c>
      <c r="D4804" t="s">
        <v>176</v>
      </c>
      <c r="E4804" t="s">
        <v>275</v>
      </c>
    </row>
    <row r="4805" spans="1:5" x14ac:dyDescent="0.3">
      <c r="A4805" t="s">
        <v>9872</v>
      </c>
      <c r="B4805" t="s">
        <v>9873</v>
      </c>
      <c r="C4805">
        <v>2</v>
      </c>
      <c r="D4805" t="s">
        <v>345</v>
      </c>
      <c r="E4805" t="s">
        <v>9874</v>
      </c>
    </row>
    <row r="4806" spans="1:5" x14ac:dyDescent="0.3">
      <c r="A4806" t="s">
        <v>9875</v>
      </c>
      <c r="B4806" t="s">
        <v>9876</v>
      </c>
      <c r="C4806">
        <v>0.25</v>
      </c>
      <c r="E4806" t="s">
        <v>9877</v>
      </c>
    </row>
    <row r="4807" spans="1:5" x14ac:dyDescent="0.3">
      <c r="A4807" t="s">
        <v>9878</v>
      </c>
      <c r="B4807" t="s">
        <v>9879</v>
      </c>
      <c r="C4807">
        <v>1</v>
      </c>
      <c r="D4807" t="s">
        <v>23</v>
      </c>
      <c r="E4807" t="s">
        <v>9880</v>
      </c>
    </row>
    <row r="4808" spans="1:5" x14ac:dyDescent="0.3">
      <c r="A4808" t="s">
        <v>9881</v>
      </c>
      <c r="B4808" t="s">
        <v>9882</v>
      </c>
      <c r="E4808" t="s">
        <v>9882</v>
      </c>
    </row>
    <row r="4809" spans="1:5" x14ac:dyDescent="0.3">
      <c r="A4809" t="s">
        <v>9883</v>
      </c>
      <c r="B4809" t="s">
        <v>9884</v>
      </c>
      <c r="C4809">
        <v>3</v>
      </c>
      <c r="E4809" t="s">
        <v>9885</v>
      </c>
    </row>
    <row r="4810" spans="1:5" x14ac:dyDescent="0.3">
      <c r="A4810" t="s">
        <v>7090</v>
      </c>
      <c r="B4810" t="s">
        <v>9886</v>
      </c>
      <c r="C4810">
        <v>30</v>
      </c>
      <c r="D4810" t="s">
        <v>4211</v>
      </c>
      <c r="E4810" t="s">
        <v>4478</v>
      </c>
    </row>
    <row r="4811" spans="1:5" x14ac:dyDescent="0.3">
      <c r="A4811" t="s">
        <v>4965</v>
      </c>
      <c r="B4811" t="s">
        <v>1720</v>
      </c>
      <c r="C4811">
        <v>1</v>
      </c>
      <c r="D4811" t="s">
        <v>37</v>
      </c>
      <c r="E4811" t="s">
        <v>41</v>
      </c>
    </row>
    <row r="4812" spans="1:5" x14ac:dyDescent="0.3">
      <c r="A4812" t="s">
        <v>9887</v>
      </c>
      <c r="B4812" t="s">
        <v>9888</v>
      </c>
      <c r="C4812">
        <v>1</v>
      </c>
      <c r="D4812" t="s">
        <v>33</v>
      </c>
      <c r="E4812" t="s">
        <v>237</v>
      </c>
    </row>
    <row r="4813" spans="1:5" x14ac:dyDescent="0.3">
      <c r="A4813" t="s">
        <v>9889</v>
      </c>
      <c r="B4813" t="s">
        <v>743</v>
      </c>
      <c r="E4813" t="s">
        <v>743</v>
      </c>
    </row>
    <row r="4814" spans="1:5" x14ac:dyDescent="0.3">
      <c r="A4814" t="s">
        <v>9890</v>
      </c>
      <c r="B4814" t="s">
        <v>9891</v>
      </c>
      <c r="C4814">
        <v>2</v>
      </c>
      <c r="D4814" t="s">
        <v>1785</v>
      </c>
      <c r="E4814" t="s">
        <v>1204</v>
      </c>
    </row>
    <row r="4815" spans="1:5" x14ac:dyDescent="0.3">
      <c r="A4815" t="s">
        <v>6208</v>
      </c>
      <c r="B4815" t="s">
        <v>9892</v>
      </c>
      <c r="C4815">
        <v>0.25</v>
      </c>
      <c r="D4815" t="s">
        <v>23</v>
      </c>
      <c r="E4815" t="s">
        <v>2406</v>
      </c>
    </row>
    <row r="4816" spans="1:5" x14ac:dyDescent="0.3">
      <c r="A4816" t="s">
        <v>2149</v>
      </c>
      <c r="B4816" t="s">
        <v>6392</v>
      </c>
      <c r="C4816">
        <v>2</v>
      </c>
      <c r="D4816" t="s">
        <v>189</v>
      </c>
      <c r="E4816" t="s">
        <v>2214</v>
      </c>
    </row>
    <row r="4817" spans="1:9" x14ac:dyDescent="0.3">
      <c r="A4817" t="s">
        <v>9893</v>
      </c>
      <c r="B4817" t="s">
        <v>9894</v>
      </c>
      <c r="C4817">
        <v>2</v>
      </c>
      <c r="E4817" t="s">
        <v>163</v>
      </c>
    </row>
    <row r="4818" spans="1:9" x14ac:dyDescent="0.3">
      <c r="A4818" t="s">
        <v>9895</v>
      </c>
      <c r="B4818" t="s">
        <v>9896</v>
      </c>
      <c r="C4818">
        <v>10.5</v>
      </c>
      <c r="D4818" t="s">
        <v>11</v>
      </c>
      <c r="E4818" t="s">
        <v>2446</v>
      </c>
    </row>
    <row r="4819" spans="1:9" x14ac:dyDescent="0.3">
      <c r="A4819" t="s">
        <v>9897</v>
      </c>
      <c r="B4819" t="s">
        <v>9898</v>
      </c>
      <c r="E4819" t="s">
        <v>9899</v>
      </c>
      <c r="I4819" t="s">
        <v>1124</v>
      </c>
    </row>
    <row r="4820" spans="1:9" x14ac:dyDescent="0.3">
      <c r="A4820" t="s">
        <v>4719</v>
      </c>
      <c r="B4820" t="s">
        <v>1670</v>
      </c>
      <c r="C4820">
        <v>1</v>
      </c>
      <c r="D4820" t="s">
        <v>1671</v>
      </c>
      <c r="E4820" t="s">
        <v>163</v>
      </c>
      <c r="I4820" t="s">
        <v>248</v>
      </c>
    </row>
    <row r="4821" spans="1:9" x14ac:dyDescent="0.3">
      <c r="A4821" t="s">
        <v>7131</v>
      </c>
      <c r="B4821" t="s">
        <v>9900</v>
      </c>
      <c r="C4821">
        <v>20</v>
      </c>
      <c r="D4821" t="s">
        <v>29</v>
      </c>
      <c r="E4821" t="s">
        <v>1188</v>
      </c>
    </row>
    <row r="4822" spans="1:9" x14ac:dyDescent="0.3">
      <c r="A4822" t="s">
        <v>5861</v>
      </c>
      <c r="B4822" t="s">
        <v>9901</v>
      </c>
      <c r="C4822">
        <v>2</v>
      </c>
      <c r="D4822" t="s">
        <v>23</v>
      </c>
      <c r="E4822" t="s">
        <v>9902</v>
      </c>
    </row>
    <row r="4823" spans="1:9" x14ac:dyDescent="0.3">
      <c r="A4823" t="s">
        <v>3016</v>
      </c>
      <c r="B4823" t="s">
        <v>8636</v>
      </c>
      <c r="C4823">
        <v>6</v>
      </c>
      <c r="D4823" t="s">
        <v>23</v>
      </c>
      <c r="E4823" t="s">
        <v>2138</v>
      </c>
    </row>
    <row r="4824" spans="1:9" x14ac:dyDescent="0.3">
      <c r="A4824" t="s">
        <v>9903</v>
      </c>
      <c r="B4824" t="s">
        <v>9904</v>
      </c>
      <c r="C4824">
        <v>0.5</v>
      </c>
      <c r="D4824" t="s">
        <v>37</v>
      </c>
      <c r="E4824" t="s">
        <v>3269</v>
      </c>
    </row>
    <row r="4825" spans="1:9" x14ac:dyDescent="0.3">
      <c r="A4825" t="s">
        <v>9905</v>
      </c>
      <c r="B4825" t="s">
        <v>9906</v>
      </c>
      <c r="C4825">
        <v>5</v>
      </c>
      <c r="D4825" t="s">
        <v>23</v>
      </c>
      <c r="E4825" t="s">
        <v>3132</v>
      </c>
    </row>
    <row r="4826" spans="1:9" x14ac:dyDescent="0.3">
      <c r="A4826" t="s">
        <v>9907</v>
      </c>
      <c r="B4826" t="s">
        <v>9908</v>
      </c>
      <c r="C4826">
        <v>1.5</v>
      </c>
      <c r="D4826" t="s">
        <v>23</v>
      </c>
      <c r="E4826" t="s">
        <v>9909</v>
      </c>
    </row>
    <row r="4827" spans="1:9" x14ac:dyDescent="0.3">
      <c r="A4827" t="s">
        <v>4726</v>
      </c>
      <c r="B4827" t="s">
        <v>1596</v>
      </c>
      <c r="C4827">
        <v>1</v>
      </c>
      <c r="D4827" t="s">
        <v>18</v>
      </c>
      <c r="E4827" t="s">
        <v>190</v>
      </c>
    </row>
    <row r="4828" spans="1:9" x14ac:dyDescent="0.3">
      <c r="A4828" t="s">
        <v>6039</v>
      </c>
      <c r="B4828" t="s">
        <v>1056</v>
      </c>
      <c r="E4828" t="s">
        <v>1056</v>
      </c>
    </row>
    <row r="4829" spans="1:9" x14ac:dyDescent="0.3">
      <c r="A4829" t="s">
        <v>4320</v>
      </c>
      <c r="B4829" t="s">
        <v>9910</v>
      </c>
      <c r="C4829">
        <v>1</v>
      </c>
      <c r="D4829" t="s">
        <v>361</v>
      </c>
      <c r="E4829" t="s">
        <v>9911</v>
      </c>
    </row>
    <row r="4830" spans="1:9" x14ac:dyDescent="0.3">
      <c r="A4830" t="s">
        <v>6708</v>
      </c>
      <c r="B4830" t="s">
        <v>9912</v>
      </c>
      <c r="C4830">
        <v>1</v>
      </c>
      <c r="D4830" t="s">
        <v>11</v>
      </c>
      <c r="E4830" t="s">
        <v>7925</v>
      </c>
    </row>
    <row r="4831" spans="1:9" x14ac:dyDescent="0.3">
      <c r="A4831" t="s">
        <v>9913</v>
      </c>
      <c r="B4831" t="s">
        <v>1187</v>
      </c>
      <c r="C4831">
        <v>1</v>
      </c>
      <c r="D4831" t="s">
        <v>23</v>
      </c>
      <c r="E4831" t="s">
        <v>1188</v>
      </c>
    </row>
    <row r="4832" spans="1:9" x14ac:dyDescent="0.3">
      <c r="A4832" t="s">
        <v>9914</v>
      </c>
      <c r="B4832" t="s">
        <v>6526</v>
      </c>
      <c r="C4832">
        <v>1</v>
      </c>
      <c r="D4832" t="s">
        <v>11</v>
      </c>
      <c r="E4832" t="s">
        <v>233</v>
      </c>
    </row>
    <row r="4833" spans="1:9" x14ac:dyDescent="0.3">
      <c r="A4833" t="s">
        <v>6463</v>
      </c>
      <c r="B4833" t="s">
        <v>9915</v>
      </c>
      <c r="C4833">
        <v>1</v>
      </c>
      <c r="D4833" t="s">
        <v>612</v>
      </c>
      <c r="E4833" t="s">
        <v>8463</v>
      </c>
      <c r="F4833" t="s">
        <v>1813</v>
      </c>
    </row>
    <row r="4834" spans="1:9" x14ac:dyDescent="0.3">
      <c r="A4834" t="s">
        <v>9916</v>
      </c>
      <c r="B4834" t="s">
        <v>9917</v>
      </c>
      <c r="C4834">
        <v>1</v>
      </c>
      <c r="D4834" t="s">
        <v>23</v>
      </c>
      <c r="E4834" t="s">
        <v>9918</v>
      </c>
    </row>
    <row r="4835" spans="1:9" x14ac:dyDescent="0.3">
      <c r="A4835" t="s">
        <v>9919</v>
      </c>
      <c r="B4835" t="s">
        <v>5860</v>
      </c>
      <c r="C4835">
        <v>3</v>
      </c>
      <c r="D4835" t="s">
        <v>23</v>
      </c>
      <c r="E4835" t="s">
        <v>1463</v>
      </c>
    </row>
    <row r="4836" spans="1:9" x14ac:dyDescent="0.3">
      <c r="A4836" t="s">
        <v>9920</v>
      </c>
      <c r="B4836" t="s">
        <v>9921</v>
      </c>
      <c r="C4836">
        <v>0.25</v>
      </c>
      <c r="D4836" t="s">
        <v>37</v>
      </c>
      <c r="E4836" t="s">
        <v>1718</v>
      </c>
      <c r="I4836" t="s">
        <v>9922</v>
      </c>
    </row>
    <row r="4837" spans="1:9" x14ac:dyDescent="0.3">
      <c r="A4837" t="s">
        <v>9923</v>
      </c>
      <c r="B4837" t="s">
        <v>9924</v>
      </c>
      <c r="C4837">
        <v>1</v>
      </c>
      <c r="D4837" t="s">
        <v>206</v>
      </c>
      <c r="E4837" t="s">
        <v>9925</v>
      </c>
    </row>
    <row r="4838" spans="1:9" x14ac:dyDescent="0.3">
      <c r="A4838" t="s">
        <v>9737</v>
      </c>
      <c r="B4838" t="s">
        <v>3442</v>
      </c>
      <c r="E4838" t="s">
        <v>3442</v>
      </c>
    </row>
    <row r="4839" spans="1:9" x14ac:dyDescent="0.3">
      <c r="A4839" t="s">
        <v>9491</v>
      </c>
      <c r="B4839" t="s">
        <v>1404</v>
      </c>
      <c r="C4839">
        <v>1</v>
      </c>
      <c r="D4839" t="s">
        <v>11</v>
      </c>
      <c r="E4839" t="s">
        <v>183</v>
      </c>
    </row>
    <row r="4840" spans="1:9" x14ac:dyDescent="0.3">
      <c r="A4840" t="s">
        <v>9926</v>
      </c>
      <c r="B4840" t="s">
        <v>9740</v>
      </c>
      <c r="C4840">
        <v>2</v>
      </c>
      <c r="D4840" t="s">
        <v>176</v>
      </c>
      <c r="E4840" t="s">
        <v>1644</v>
      </c>
    </row>
    <row r="4841" spans="1:9" x14ac:dyDescent="0.3">
      <c r="A4841" t="s">
        <v>9927</v>
      </c>
      <c r="B4841" t="s">
        <v>9928</v>
      </c>
      <c r="C4841">
        <v>0.5</v>
      </c>
      <c r="D4841" t="s">
        <v>120</v>
      </c>
      <c r="E4841" t="s">
        <v>9929</v>
      </c>
    </row>
    <row r="4842" spans="1:9" x14ac:dyDescent="0.3">
      <c r="A4842" t="s">
        <v>4274</v>
      </c>
      <c r="B4842" t="s">
        <v>7590</v>
      </c>
      <c r="C4842">
        <v>1</v>
      </c>
      <c r="D4842" t="s">
        <v>23</v>
      </c>
      <c r="E4842" t="s">
        <v>383</v>
      </c>
    </row>
    <row r="4843" spans="1:9" x14ac:dyDescent="0.3">
      <c r="A4843" t="s">
        <v>9930</v>
      </c>
      <c r="B4843" t="s">
        <v>4852</v>
      </c>
      <c r="E4843" t="s">
        <v>1077</v>
      </c>
      <c r="I4843" t="s">
        <v>1146</v>
      </c>
    </row>
    <row r="4844" spans="1:9" x14ac:dyDescent="0.3">
      <c r="A4844" t="s">
        <v>9931</v>
      </c>
      <c r="B4844" t="s">
        <v>9932</v>
      </c>
      <c r="E4844" t="s">
        <v>2607</v>
      </c>
      <c r="G4844" t="s">
        <v>814</v>
      </c>
      <c r="I4844" t="s">
        <v>2932</v>
      </c>
    </row>
    <row r="4845" spans="1:9" x14ac:dyDescent="0.3">
      <c r="A4845" t="s">
        <v>9933</v>
      </c>
      <c r="B4845" t="s">
        <v>607</v>
      </c>
      <c r="C4845">
        <v>0.5</v>
      </c>
      <c r="D4845" t="s">
        <v>23</v>
      </c>
      <c r="E4845" t="s">
        <v>292</v>
      </c>
    </row>
    <row r="4846" spans="1:9" x14ac:dyDescent="0.3">
      <c r="A4846" t="s">
        <v>9934</v>
      </c>
      <c r="B4846" t="s">
        <v>9935</v>
      </c>
      <c r="C4846">
        <v>0.5</v>
      </c>
      <c r="D4846" t="s">
        <v>23</v>
      </c>
      <c r="E4846" t="s">
        <v>1558</v>
      </c>
    </row>
    <row r="4847" spans="1:9" x14ac:dyDescent="0.3">
      <c r="A4847" t="s">
        <v>2660</v>
      </c>
      <c r="B4847" t="s">
        <v>9936</v>
      </c>
      <c r="C4847">
        <v>2</v>
      </c>
      <c r="D4847" t="s">
        <v>23</v>
      </c>
      <c r="E4847" t="s">
        <v>9176</v>
      </c>
    </row>
    <row r="4848" spans="1:9" x14ac:dyDescent="0.3">
      <c r="A4848" t="s">
        <v>9937</v>
      </c>
      <c r="B4848" t="s">
        <v>9938</v>
      </c>
      <c r="C4848">
        <v>1</v>
      </c>
      <c r="D4848" t="s">
        <v>120</v>
      </c>
      <c r="E4848" t="s">
        <v>9939</v>
      </c>
    </row>
    <row r="4849" spans="1:9" x14ac:dyDescent="0.3">
      <c r="A4849" t="s">
        <v>9940</v>
      </c>
      <c r="B4849" t="s">
        <v>9941</v>
      </c>
      <c r="C4849">
        <v>1.5</v>
      </c>
      <c r="D4849" t="s">
        <v>23</v>
      </c>
      <c r="E4849" t="s">
        <v>3353</v>
      </c>
    </row>
    <row r="4850" spans="1:9" x14ac:dyDescent="0.3">
      <c r="A4850" t="s">
        <v>9942</v>
      </c>
      <c r="B4850" t="s">
        <v>2584</v>
      </c>
      <c r="C4850">
        <v>1.5</v>
      </c>
      <c r="D4850" t="s">
        <v>23</v>
      </c>
      <c r="E4850" t="s">
        <v>171</v>
      </c>
    </row>
    <row r="4851" spans="1:9" x14ac:dyDescent="0.3">
      <c r="A4851" t="s">
        <v>9943</v>
      </c>
      <c r="B4851" t="s">
        <v>9944</v>
      </c>
      <c r="C4851">
        <v>1.5</v>
      </c>
      <c r="D4851" t="s">
        <v>284</v>
      </c>
      <c r="E4851" t="s">
        <v>7344</v>
      </c>
      <c r="I4851" t="s">
        <v>289</v>
      </c>
    </row>
    <row r="4852" spans="1:9" x14ac:dyDescent="0.3">
      <c r="A4852" t="s">
        <v>9945</v>
      </c>
      <c r="B4852" t="s">
        <v>9946</v>
      </c>
      <c r="C4852">
        <v>1</v>
      </c>
      <c r="D4852" t="s">
        <v>227</v>
      </c>
      <c r="E4852" t="s">
        <v>333</v>
      </c>
      <c r="F4852" t="s">
        <v>1512</v>
      </c>
    </row>
    <row r="4853" spans="1:9" x14ac:dyDescent="0.3">
      <c r="A4853" t="s">
        <v>9947</v>
      </c>
      <c r="B4853" t="s">
        <v>3995</v>
      </c>
      <c r="C4853">
        <v>20</v>
      </c>
      <c r="D4853" t="s">
        <v>29</v>
      </c>
      <c r="E4853" t="s">
        <v>331</v>
      </c>
    </row>
    <row r="4854" spans="1:9" x14ac:dyDescent="0.3">
      <c r="A4854" t="s">
        <v>9491</v>
      </c>
      <c r="B4854" t="s">
        <v>7010</v>
      </c>
      <c r="C4854">
        <v>1</v>
      </c>
      <c r="D4854" t="s">
        <v>151</v>
      </c>
      <c r="E4854" t="s">
        <v>152</v>
      </c>
      <c r="I4854" t="s">
        <v>248</v>
      </c>
    </row>
    <row r="4855" spans="1:9" x14ac:dyDescent="0.3">
      <c r="A4855" t="s">
        <v>9948</v>
      </c>
      <c r="B4855" t="s">
        <v>711</v>
      </c>
      <c r="C4855">
        <v>1</v>
      </c>
      <c r="D4855" t="s">
        <v>23</v>
      </c>
      <c r="E4855" t="s">
        <v>712</v>
      </c>
    </row>
    <row r="4856" spans="1:9" x14ac:dyDescent="0.3">
      <c r="A4856" t="s">
        <v>9949</v>
      </c>
      <c r="B4856" t="s">
        <v>9950</v>
      </c>
      <c r="C4856">
        <v>0.75</v>
      </c>
      <c r="D4856" t="s">
        <v>11</v>
      </c>
      <c r="E4856" t="s">
        <v>9951</v>
      </c>
      <c r="I4856" t="s">
        <v>893</v>
      </c>
    </row>
    <row r="4857" spans="1:9" x14ac:dyDescent="0.3">
      <c r="A4857" t="s">
        <v>9952</v>
      </c>
      <c r="B4857" t="s">
        <v>8325</v>
      </c>
      <c r="C4857">
        <v>1.5</v>
      </c>
      <c r="D4857" t="s">
        <v>23</v>
      </c>
      <c r="E4857" t="s">
        <v>7624</v>
      </c>
    </row>
    <row r="4858" spans="1:9" x14ac:dyDescent="0.3">
      <c r="A4858" t="s">
        <v>5328</v>
      </c>
      <c r="B4858" t="s">
        <v>9953</v>
      </c>
      <c r="C4858">
        <v>1</v>
      </c>
      <c r="D4858" t="s">
        <v>23</v>
      </c>
      <c r="E4858" t="s">
        <v>9954</v>
      </c>
    </row>
    <row r="4859" spans="1:9" x14ac:dyDescent="0.3">
      <c r="A4859" t="s">
        <v>9955</v>
      </c>
      <c r="B4859" t="s">
        <v>9956</v>
      </c>
      <c r="C4859">
        <v>10.5</v>
      </c>
      <c r="D4859" t="s">
        <v>91</v>
      </c>
      <c r="E4859" t="s">
        <v>1070</v>
      </c>
      <c r="I4859" t="s">
        <v>20</v>
      </c>
    </row>
    <row r="4860" spans="1:9" x14ac:dyDescent="0.3">
      <c r="A4860" t="s">
        <v>7162</v>
      </c>
      <c r="B4860" t="s">
        <v>9957</v>
      </c>
      <c r="C4860">
        <v>4</v>
      </c>
      <c r="D4860" t="s">
        <v>23</v>
      </c>
      <c r="E4860" t="s">
        <v>9958</v>
      </c>
      <c r="I4860" t="s">
        <v>289</v>
      </c>
    </row>
    <row r="4861" spans="1:9" x14ac:dyDescent="0.3">
      <c r="A4861" t="s">
        <v>9959</v>
      </c>
      <c r="B4861" t="s">
        <v>1193</v>
      </c>
      <c r="E4861" t="s">
        <v>1193</v>
      </c>
    </row>
    <row r="4862" spans="1:9" x14ac:dyDescent="0.3">
      <c r="A4862" t="s">
        <v>9960</v>
      </c>
      <c r="B4862" t="s">
        <v>9961</v>
      </c>
      <c r="E4862" t="s">
        <v>9962</v>
      </c>
      <c r="F4862" t="s">
        <v>3326</v>
      </c>
      <c r="I4862" t="s">
        <v>9963</v>
      </c>
    </row>
    <row r="4863" spans="1:9" x14ac:dyDescent="0.3">
      <c r="A4863" t="s">
        <v>9964</v>
      </c>
      <c r="B4863" t="s">
        <v>9965</v>
      </c>
      <c r="C4863">
        <v>2</v>
      </c>
      <c r="D4863" t="s">
        <v>146</v>
      </c>
      <c r="E4863" t="s">
        <v>9966</v>
      </c>
    </row>
    <row r="4864" spans="1:9" x14ac:dyDescent="0.3">
      <c r="A4864" t="s">
        <v>7682</v>
      </c>
      <c r="B4864" t="s">
        <v>9967</v>
      </c>
      <c r="C4864">
        <v>0.75</v>
      </c>
      <c r="D4864" t="s">
        <v>11</v>
      </c>
      <c r="E4864" t="s">
        <v>2636</v>
      </c>
    </row>
    <row r="4865" spans="1:9" x14ac:dyDescent="0.3">
      <c r="A4865" t="s">
        <v>3608</v>
      </c>
      <c r="B4865" t="s">
        <v>9968</v>
      </c>
      <c r="C4865">
        <v>35</v>
      </c>
      <c r="D4865" t="s">
        <v>29</v>
      </c>
      <c r="E4865" t="s">
        <v>9969</v>
      </c>
    </row>
    <row r="4866" spans="1:9" x14ac:dyDescent="0.3">
      <c r="A4866" t="s">
        <v>9970</v>
      </c>
      <c r="B4866" t="s">
        <v>792</v>
      </c>
      <c r="C4866">
        <v>0.5</v>
      </c>
      <c r="D4866" t="s">
        <v>11</v>
      </c>
      <c r="E4866" t="s">
        <v>793</v>
      </c>
    </row>
    <row r="4867" spans="1:9" x14ac:dyDescent="0.3">
      <c r="A4867" t="s">
        <v>9971</v>
      </c>
      <c r="B4867" t="s">
        <v>9972</v>
      </c>
      <c r="C4867">
        <v>1</v>
      </c>
      <c r="D4867" t="s">
        <v>284</v>
      </c>
      <c r="E4867" t="s">
        <v>233</v>
      </c>
    </row>
    <row r="4868" spans="1:9" x14ac:dyDescent="0.3">
      <c r="A4868" t="s">
        <v>9973</v>
      </c>
      <c r="B4868" t="s">
        <v>9974</v>
      </c>
      <c r="C4868">
        <v>0.75</v>
      </c>
      <c r="D4868" t="s">
        <v>23</v>
      </c>
      <c r="E4868" t="s">
        <v>5327</v>
      </c>
    </row>
    <row r="4869" spans="1:9" x14ac:dyDescent="0.3">
      <c r="A4869" t="s">
        <v>9975</v>
      </c>
      <c r="B4869" t="s">
        <v>953</v>
      </c>
      <c r="C4869">
        <v>2</v>
      </c>
      <c r="D4869" t="s">
        <v>23</v>
      </c>
      <c r="E4869" t="s">
        <v>738</v>
      </c>
    </row>
    <row r="4870" spans="1:9" x14ac:dyDescent="0.3">
      <c r="A4870" t="s">
        <v>9976</v>
      </c>
      <c r="B4870" t="s">
        <v>1037</v>
      </c>
      <c r="C4870">
        <v>1</v>
      </c>
      <c r="D4870" t="s">
        <v>460</v>
      </c>
      <c r="E4870" t="s">
        <v>30</v>
      </c>
    </row>
    <row r="4871" spans="1:9" x14ac:dyDescent="0.3">
      <c r="A4871" t="s">
        <v>6044</v>
      </c>
      <c r="B4871" t="s">
        <v>9977</v>
      </c>
      <c r="C4871">
        <v>6</v>
      </c>
      <c r="E4871" t="s">
        <v>413</v>
      </c>
      <c r="F4871" t="s">
        <v>1571</v>
      </c>
      <c r="I4871" t="s">
        <v>9978</v>
      </c>
    </row>
    <row r="4872" spans="1:9" x14ac:dyDescent="0.3">
      <c r="A4872" t="s">
        <v>174</v>
      </c>
      <c r="B4872" t="s">
        <v>7127</v>
      </c>
      <c r="C4872">
        <v>2</v>
      </c>
      <c r="D4872" t="s">
        <v>345</v>
      </c>
      <c r="E4872" t="s">
        <v>1915</v>
      </c>
    </row>
    <row r="4873" spans="1:9" x14ac:dyDescent="0.3">
      <c r="A4873" t="s">
        <v>9979</v>
      </c>
      <c r="B4873" t="s">
        <v>8025</v>
      </c>
      <c r="C4873">
        <v>6</v>
      </c>
      <c r="E4873" t="s">
        <v>8026</v>
      </c>
    </row>
    <row r="4874" spans="1:9" x14ac:dyDescent="0.3">
      <c r="A4874" t="s">
        <v>9980</v>
      </c>
      <c r="B4874" t="s">
        <v>9981</v>
      </c>
      <c r="C4874">
        <v>1</v>
      </c>
      <c r="D4874" t="s">
        <v>460</v>
      </c>
      <c r="E4874" t="s">
        <v>423</v>
      </c>
    </row>
    <row r="4875" spans="1:9" x14ac:dyDescent="0.3">
      <c r="A4875" t="s">
        <v>3931</v>
      </c>
      <c r="B4875" t="s">
        <v>1286</v>
      </c>
      <c r="C4875">
        <v>2</v>
      </c>
      <c r="D4875" t="s">
        <v>91</v>
      </c>
      <c r="E4875" t="s">
        <v>281</v>
      </c>
    </row>
    <row r="4876" spans="1:9" x14ac:dyDescent="0.3">
      <c r="A4876" t="s">
        <v>9982</v>
      </c>
      <c r="B4876" t="s">
        <v>3018</v>
      </c>
      <c r="C4876">
        <v>2</v>
      </c>
      <c r="D4876" t="s">
        <v>189</v>
      </c>
      <c r="E4876" t="s">
        <v>541</v>
      </c>
    </row>
    <row r="4877" spans="1:9" x14ac:dyDescent="0.3">
      <c r="A4877" t="s">
        <v>9983</v>
      </c>
      <c r="B4877" t="s">
        <v>1193</v>
      </c>
      <c r="E4877" t="s">
        <v>1193</v>
      </c>
    </row>
    <row r="4878" spans="1:9" x14ac:dyDescent="0.3">
      <c r="A4878" t="s">
        <v>9261</v>
      </c>
      <c r="B4878" t="s">
        <v>9984</v>
      </c>
      <c r="C4878">
        <v>1</v>
      </c>
      <c r="D4878" t="s">
        <v>23</v>
      </c>
      <c r="E4878" t="s">
        <v>1488</v>
      </c>
    </row>
    <row r="4879" spans="1:9" x14ac:dyDescent="0.3">
      <c r="A4879" t="s">
        <v>9985</v>
      </c>
      <c r="B4879" t="s">
        <v>9986</v>
      </c>
      <c r="C4879">
        <v>1</v>
      </c>
      <c r="D4879" t="s">
        <v>23</v>
      </c>
      <c r="E4879" t="s">
        <v>2096</v>
      </c>
    </row>
    <row r="4880" spans="1:9" x14ac:dyDescent="0.3">
      <c r="A4880" t="s">
        <v>9987</v>
      </c>
      <c r="B4880" t="s">
        <v>9988</v>
      </c>
      <c r="C4880">
        <v>0.5</v>
      </c>
      <c r="D4880" t="s">
        <v>23</v>
      </c>
      <c r="E4880" t="s">
        <v>3269</v>
      </c>
      <c r="I4880" t="s">
        <v>289</v>
      </c>
    </row>
    <row r="4881" spans="1:9" x14ac:dyDescent="0.3">
      <c r="A4881" t="s">
        <v>9989</v>
      </c>
      <c r="B4881" t="s">
        <v>9990</v>
      </c>
      <c r="C4881">
        <v>1.5</v>
      </c>
      <c r="D4881" t="s">
        <v>23</v>
      </c>
      <c r="E4881" t="s">
        <v>9991</v>
      </c>
    </row>
    <row r="4882" spans="1:9" x14ac:dyDescent="0.3">
      <c r="A4882" t="s">
        <v>9992</v>
      </c>
      <c r="B4882" t="s">
        <v>9993</v>
      </c>
      <c r="C4882">
        <v>1</v>
      </c>
      <c r="D4882" t="s">
        <v>23</v>
      </c>
      <c r="E4882" t="s">
        <v>1332</v>
      </c>
      <c r="I4882" t="s">
        <v>289</v>
      </c>
    </row>
    <row r="4883" spans="1:9" x14ac:dyDescent="0.3">
      <c r="A4883" t="s">
        <v>8086</v>
      </c>
      <c r="B4883" t="s">
        <v>1584</v>
      </c>
      <c r="C4883">
        <v>35</v>
      </c>
      <c r="D4883" t="s">
        <v>29</v>
      </c>
      <c r="E4883" t="s">
        <v>311</v>
      </c>
    </row>
    <row r="4884" spans="1:9" x14ac:dyDescent="0.3">
      <c r="A4884" t="s">
        <v>9994</v>
      </c>
      <c r="B4884" t="s">
        <v>9995</v>
      </c>
      <c r="C4884">
        <v>2</v>
      </c>
      <c r="D4884" t="s">
        <v>23</v>
      </c>
      <c r="E4884" t="s">
        <v>9996</v>
      </c>
      <c r="I4884" t="s">
        <v>289</v>
      </c>
    </row>
    <row r="4885" spans="1:9" x14ac:dyDescent="0.3">
      <c r="A4885" t="s">
        <v>3418</v>
      </c>
      <c r="B4885" t="s">
        <v>317</v>
      </c>
      <c r="E4885" t="s">
        <v>317</v>
      </c>
    </row>
    <row r="4886" spans="1:9" x14ac:dyDescent="0.3">
      <c r="A4886" t="s">
        <v>9997</v>
      </c>
      <c r="B4886" t="s">
        <v>9998</v>
      </c>
      <c r="C4886">
        <v>1.25</v>
      </c>
      <c r="D4886" t="s">
        <v>345</v>
      </c>
      <c r="E4886" t="s">
        <v>9874</v>
      </c>
      <c r="I4886" t="s">
        <v>9999</v>
      </c>
    </row>
    <row r="4887" spans="1:9" x14ac:dyDescent="0.3">
      <c r="A4887" t="s">
        <v>3172</v>
      </c>
      <c r="B4887" t="s">
        <v>10000</v>
      </c>
      <c r="C4887">
        <v>3</v>
      </c>
      <c r="D4887" t="s">
        <v>146</v>
      </c>
      <c r="E4887" t="s">
        <v>233</v>
      </c>
    </row>
    <row r="4888" spans="1:9" x14ac:dyDescent="0.3">
      <c r="A4888" t="s">
        <v>10001</v>
      </c>
      <c r="B4888" t="s">
        <v>3216</v>
      </c>
      <c r="C4888">
        <v>0.75</v>
      </c>
      <c r="D4888" t="s">
        <v>23</v>
      </c>
      <c r="E4888" t="s">
        <v>38</v>
      </c>
      <c r="G4888" t="s">
        <v>68</v>
      </c>
    </row>
    <row r="4889" spans="1:9" x14ac:dyDescent="0.3">
      <c r="A4889" t="s">
        <v>10002</v>
      </c>
      <c r="B4889" t="s">
        <v>9584</v>
      </c>
      <c r="C4889">
        <v>1</v>
      </c>
      <c r="D4889" t="s">
        <v>23</v>
      </c>
      <c r="E4889" t="s">
        <v>7925</v>
      </c>
    </row>
    <row r="4890" spans="1:9" x14ac:dyDescent="0.3">
      <c r="A4890" t="s">
        <v>7304</v>
      </c>
      <c r="B4890" t="s">
        <v>10003</v>
      </c>
      <c r="C4890">
        <v>0.25</v>
      </c>
      <c r="D4890" t="s">
        <v>50</v>
      </c>
      <c r="E4890" t="s">
        <v>738</v>
      </c>
    </row>
    <row r="4891" spans="1:9" x14ac:dyDescent="0.3">
      <c r="A4891" t="s">
        <v>10004</v>
      </c>
      <c r="B4891" t="s">
        <v>10005</v>
      </c>
      <c r="C4891">
        <v>0.5</v>
      </c>
      <c r="D4891" t="s">
        <v>23</v>
      </c>
      <c r="E4891" t="s">
        <v>10006</v>
      </c>
    </row>
    <row r="4892" spans="1:9" x14ac:dyDescent="0.3">
      <c r="A4892" t="s">
        <v>10007</v>
      </c>
      <c r="B4892" t="s">
        <v>10008</v>
      </c>
      <c r="C4892">
        <v>50</v>
      </c>
      <c r="D4892" t="s">
        <v>29</v>
      </c>
      <c r="E4892" t="s">
        <v>10009</v>
      </c>
    </row>
    <row r="4893" spans="1:9" x14ac:dyDescent="0.3">
      <c r="A4893" t="s">
        <v>10010</v>
      </c>
      <c r="B4893" t="s">
        <v>10011</v>
      </c>
      <c r="C4893">
        <v>4.5</v>
      </c>
      <c r="D4893" t="s">
        <v>23</v>
      </c>
      <c r="E4893" t="s">
        <v>328</v>
      </c>
    </row>
    <row r="4894" spans="1:9" x14ac:dyDescent="0.3">
      <c r="A4894" t="s">
        <v>10012</v>
      </c>
      <c r="B4894" t="s">
        <v>518</v>
      </c>
      <c r="E4894" t="s">
        <v>518</v>
      </c>
    </row>
    <row r="4895" spans="1:9" x14ac:dyDescent="0.3">
      <c r="A4895" t="s">
        <v>10013</v>
      </c>
      <c r="B4895" t="s">
        <v>8596</v>
      </c>
      <c r="E4895" t="s">
        <v>547</v>
      </c>
      <c r="I4895" t="s">
        <v>1146</v>
      </c>
    </row>
    <row r="4896" spans="1:9" x14ac:dyDescent="0.3">
      <c r="A4896" t="s">
        <v>10014</v>
      </c>
      <c r="B4896" t="s">
        <v>10015</v>
      </c>
      <c r="C4896">
        <v>1.5</v>
      </c>
      <c r="D4896" t="s">
        <v>345</v>
      </c>
      <c r="E4896" t="s">
        <v>10016</v>
      </c>
      <c r="I4896" t="s">
        <v>10017</v>
      </c>
    </row>
    <row r="4897" spans="1:9" x14ac:dyDescent="0.3">
      <c r="A4897" t="s">
        <v>8661</v>
      </c>
      <c r="B4897" t="s">
        <v>10018</v>
      </c>
      <c r="C4897">
        <v>2</v>
      </c>
      <c r="D4897" t="s">
        <v>345</v>
      </c>
      <c r="E4897" t="s">
        <v>1231</v>
      </c>
    </row>
    <row r="4898" spans="1:9" x14ac:dyDescent="0.3">
      <c r="A4898" t="s">
        <v>7914</v>
      </c>
      <c r="B4898" t="s">
        <v>10019</v>
      </c>
      <c r="C4898">
        <v>1</v>
      </c>
      <c r="D4898" t="s">
        <v>11</v>
      </c>
      <c r="E4898" t="s">
        <v>317</v>
      </c>
    </row>
    <row r="4899" spans="1:9" x14ac:dyDescent="0.3">
      <c r="A4899" t="s">
        <v>6656</v>
      </c>
      <c r="B4899" t="s">
        <v>10020</v>
      </c>
      <c r="C4899">
        <v>2</v>
      </c>
      <c r="D4899" t="s">
        <v>189</v>
      </c>
      <c r="E4899" t="s">
        <v>190</v>
      </c>
    </row>
    <row r="4900" spans="1:9" x14ac:dyDescent="0.3">
      <c r="A4900" t="s">
        <v>10021</v>
      </c>
      <c r="B4900" t="s">
        <v>10022</v>
      </c>
      <c r="C4900">
        <v>0.75</v>
      </c>
      <c r="D4900" t="s">
        <v>227</v>
      </c>
      <c r="E4900" t="s">
        <v>10023</v>
      </c>
    </row>
    <row r="4901" spans="1:9" x14ac:dyDescent="0.3">
      <c r="A4901" t="s">
        <v>10024</v>
      </c>
      <c r="B4901" t="s">
        <v>10025</v>
      </c>
      <c r="C4901">
        <v>1</v>
      </c>
      <c r="E4901" t="s">
        <v>186</v>
      </c>
      <c r="G4901" t="s">
        <v>68</v>
      </c>
      <c r="I4901" t="s">
        <v>164</v>
      </c>
    </row>
    <row r="4902" spans="1:9" x14ac:dyDescent="0.3">
      <c r="A4902" t="s">
        <v>10026</v>
      </c>
      <c r="B4902" t="s">
        <v>10027</v>
      </c>
      <c r="C4902">
        <v>0.5</v>
      </c>
      <c r="D4902" t="s">
        <v>23</v>
      </c>
      <c r="E4902" t="s">
        <v>299</v>
      </c>
    </row>
    <row r="4903" spans="1:9" x14ac:dyDescent="0.3">
      <c r="A4903" t="s">
        <v>10028</v>
      </c>
      <c r="B4903" t="s">
        <v>10029</v>
      </c>
      <c r="C4903">
        <v>1</v>
      </c>
      <c r="D4903" t="s">
        <v>1785</v>
      </c>
      <c r="E4903" t="s">
        <v>3429</v>
      </c>
    </row>
    <row r="4904" spans="1:9" x14ac:dyDescent="0.3">
      <c r="A4904" t="s">
        <v>10030</v>
      </c>
      <c r="B4904" t="s">
        <v>10031</v>
      </c>
      <c r="C4904">
        <v>1</v>
      </c>
      <c r="D4904" t="s">
        <v>11</v>
      </c>
      <c r="E4904" t="s">
        <v>10032</v>
      </c>
    </row>
    <row r="4905" spans="1:9" x14ac:dyDescent="0.3">
      <c r="A4905" t="s">
        <v>10033</v>
      </c>
      <c r="B4905" t="s">
        <v>10034</v>
      </c>
      <c r="C4905">
        <v>2</v>
      </c>
      <c r="D4905" t="s">
        <v>91</v>
      </c>
      <c r="E4905" t="s">
        <v>1407</v>
      </c>
    </row>
    <row r="4906" spans="1:9" x14ac:dyDescent="0.3">
      <c r="A4906" t="s">
        <v>10035</v>
      </c>
      <c r="B4906" t="s">
        <v>10036</v>
      </c>
      <c r="C4906">
        <v>0.5</v>
      </c>
      <c r="D4906" t="s">
        <v>23</v>
      </c>
      <c r="E4906" t="s">
        <v>2368</v>
      </c>
    </row>
    <row r="4907" spans="1:9" x14ac:dyDescent="0.3">
      <c r="A4907" t="s">
        <v>10037</v>
      </c>
      <c r="B4907" t="s">
        <v>10038</v>
      </c>
      <c r="C4907">
        <v>60</v>
      </c>
      <c r="D4907" t="s">
        <v>29</v>
      </c>
      <c r="E4907" t="s">
        <v>10039</v>
      </c>
    </row>
    <row r="4908" spans="1:9" x14ac:dyDescent="0.3">
      <c r="A4908" t="s">
        <v>10040</v>
      </c>
      <c r="B4908" t="s">
        <v>540</v>
      </c>
      <c r="C4908">
        <v>1</v>
      </c>
      <c r="D4908" t="s">
        <v>18</v>
      </c>
      <c r="E4908" t="s">
        <v>541</v>
      </c>
    </row>
    <row r="4909" spans="1:9" x14ac:dyDescent="0.3">
      <c r="A4909" t="s">
        <v>10041</v>
      </c>
      <c r="B4909" t="s">
        <v>10042</v>
      </c>
      <c r="C4909">
        <v>25</v>
      </c>
      <c r="D4909" t="s">
        <v>29</v>
      </c>
      <c r="E4909" t="s">
        <v>587</v>
      </c>
    </row>
    <row r="4910" spans="1:9" x14ac:dyDescent="0.3">
      <c r="A4910" t="s">
        <v>10043</v>
      </c>
      <c r="B4910" t="s">
        <v>10044</v>
      </c>
      <c r="D4910" t="s">
        <v>1671</v>
      </c>
      <c r="E4910" t="s">
        <v>10045</v>
      </c>
      <c r="I4910" t="s">
        <v>3515</v>
      </c>
    </row>
    <row r="4911" spans="1:9" x14ac:dyDescent="0.3">
      <c r="A4911" t="s">
        <v>10046</v>
      </c>
      <c r="B4911" t="s">
        <v>10047</v>
      </c>
      <c r="C4911">
        <v>0.5</v>
      </c>
      <c r="D4911" t="s">
        <v>23</v>
      </c>
      <c r="E4911" t="s">
        <v>10048</v>
      </c>
    </row>
    <row r="4912" spans="1:9" x14ac:dyDescent="0.3">
      <c r="A4912" t="s">
        <v>5904</v>
      </c>
      <c r="B4912" t="s">
        <v>10049</v>
      </c>
      <c r="C4912">
        <v>0.75</v>
      </c>
      <c r="D4912" t="s">
        <v>23</v>
      </c>
      <c r="E4912" t="s">
        <v>487</v>
      </c>
    </row>
    <row r="4913" spans="1:9" x14ac:dyDescent="0.3">
      <c r="A4913" t="s">
        <v>10050</v>
      </c>
      <c r="B4913" t="s">
        <v>10051</v>
      </c>
      <c r="C4913">
        <v>1</v>
      </c>
      <c r="D4913" t="s">
        <v>585</v>
      </c>
      <c r="E4913" t="s">
        <v>152</v>
      </c>
    </row>
    <row r="4914" spans="1:9" x14ac:dyDescent="0.3">
      <c r="A4914" t="s">
        <v>10052</v>
      </c>
      <c r="B4914" t="s">
        <v>10053</v>
      </c>
      <c r="C4914">
        <v>0.75</v>
      </c>
      <c r="D4914" t="s">
        <v>37</v>
      </c>
      <c r="E4914" t="s">
        <v>10054</v>
      </c>
    </row>
    <row r="4915" spans="1:9" x14ac:dyDescent="0.3">
      <c r="A4915" t="s">
        <v>10055</v>
      </c>
      <c r="B4915" t="s">
        <v>10056</v>
      </c>
      <c r="C4915">
        <v>2</v>
      </c>
      <c r="D4915" t="s">
        <v>227</v>
      </c>
      <c r="E4915" t="s">
        <v>741</v>
      </c>
      <c r="H4915" t="s">
        <v>1078</v>
      </c>
    </row>
    <row r="4916" spans="1:9" x14ac:dyDescent="0.3">
      <c r="A4916" t="s">
        <v>10057</v>
      </c>
      <c r="B4916" t="s">
        <v>3724</v>
      </c>
      <c r="E4916" t="s">
        <v>3724</v>
      </c>
    </row>
    <row r="4917" spans="1:9" x14ac:dyDescent="0.3">
      <c r="A4917" t="s">
        <v>5737</v>
      </c>
      <c r="B4917" t="s">
        <v>10058</v>
      </c>
      <c r="C4917">
        <v>0.25</v>
      </c>
      <c r="D4917" t="s">
        <v>460</v>
      </c>
      <c r="E4917" t="s">
        <v>10059</v>
      </c>
    </row>
    <row r="4918" spans="1:9" x14ac:dyDescent="0.3">
      <c r="A4918" t="s">
        <v>10060</v>
      </c>
      <c r="B4918" t="s">
        <v>10061</v>
      </c>
      <c r="C4918">
        <v>1</v>
      </c>
      <c r="D4918" t="s">
        <v>11</v>
      </c>
      <c r="E4918" t="s">
        <v>10062</v>
      </c>
    </row>
    <row r="4919" spans="1:9" x14ac:dyDescent="0.3">
      <c r="A4919" t="s">
        <v>4042</v>
      </c>
      <c r="B4919" t="s">
        <v>4184</v>
      </c>
      <c r="C4919">
        <v>0.75</v>
      </c>
      <c r="D4919" t="s">
        <v>37</v>
      </c>
      <c r="E4919" t="s">
        <v>38</v>
      </c>
      <c r="F4919" t="s">
        <v>167</v>
      </c>
      <c r="G4919" t="s">
        <v>168</v>
      </c>
      <c r="I4919" t="s">
        <v>325</v>
      </c>
    </row>
    <row r="4920" spans="1:9" x14ac:dyDescent="0.3">
      <c r="A4920" t="s">
        <v>7142</v>
      </c>
      <c r="B4920" t="s">
        <v>10063</v>
      </c>
      <c r="C4920">
        <v>4</v>
      </c>
      <c r="D4920" t="s">
        <v>23</v>
      </c>
      <c r="E4920" t="s">
        <v>10064</v>
      </c>
      <c r="I4920" t="s">
        <v>289</v>
      </c>
    </row>
    <row r="4921" spans="1:9" x14ac:dyDescent="0.3">
      <c r="A4921" t="s">
        <v>1066</v>
      </c>
      <c r="B4921" t="s">
        <v>1055</v>
      </c>
      <c r="C4921">
        <v>1</v>
      </c>
      <c r="D4921" t="s">
        <v>585</v>
      </c>
      <c r="E4921" t="s">
        <v>1056</v>
      </c>
      <c r="I4921" t="s">
        <v>248</v>
      </c>
    </row>
    <row r="4922" spans="1:9" x14ac:dyDescent="0.3">
      <c r="A4922" t="s">
        <v>10065</v>
      </c>
      <c r="B4922" t="s">
        <v>10066</v>
      </c>
      <c r="C4922">
        <v>0.75</v>
      </c>
      <c r="D4922" t="s">
        <v>904</v>
      </c>
      <c r="E4922" t="s">
        <v>281</v>
      </c>
    </row>
    <row r="4923" spans="1:9" x14ac:dyDescent="0.3">
      <c r="A4923" t="s">
        <v>10067</v>
      </c>
      <c r="B4923" t="s">
        <v>10068</v>
      </c>
      <c r="C4923">
        <v>0.5</v>
      </c>
      <c r="D4923" t="s">
        <v>37</v>
      </c>
      <c r="E4923" t="s">
        <v>10069</v>
      </c>
    </row>
    <row r="4924" spans="1:9" x14ac:dyDescent="0.3">
      <c r="A4924" t="s">
        <v>10070</v>
      </c>
      <c r="B4924" t="s">
        <v>10071</v>
      </c>
      <c r="C4924">
        <v>1.5</v>
      </c>
      <c r="D4924" t="s">
        <v>23</v>
      </c>
      <c r="E4924" t="s">
        <v>7063</v>
      </c>
    </row>
    <row r="4925" spans="1:9" x14ac:dyDescent="0.3">
      <c r="A4925" t="s">
        <v>10072</v>
      </c>
      <c r="B4925" t="s">
        <v>10073</v>
      </c>
      <c r="C4925">
        <v>1.33</v>
      </c>
      <c r="D4925" t="s">
        <v>23</v>
      </c>
      <c r="E4925" t="s">
        <v>1558</v>
      </c>
    </row>
    <row r="4926" spans="1:9" x14ac:dyDescent="0.3">
      <c r="A4926" t="s">
        <v>10074</v>
      </c>
      <c r="B4926" t="s">
        <v>10075</v>
      </c>
      <c r="C4926">
        <v>2</v>
      </c>
      <c r="D4926" t="s">
        <v>23</v>
      </c>
      <c r="E4926" t="s">
        <v>10076</v>
      </c>
    </row>
    <row r="4927" spans="1:9" x14ac:dyDescent="0.3">
      <c r="A4927" t="s">
        <v>2628</v>
      </c>
      <c r="B4927" t="s">
        <v>80</v>
      </c>
      <c r="C4927">
        <v>0.5</v>
      </c>
      <c r="D4927" t="s">
        <v>37</v>
      </c>
      <c r="E4927" t="s">
        <v>81</v>
      </c>
    </row>
    <row r="4928" spans="1:9" x14ac:dyDescent="0.3">
      <c r="A4928" t="s">
        <v>6671</v>
      </c>
      <c r="B4928" t="s">
        <v>10077</v>
      </c>
      <c r="C4928">
        <v>3</v>
      </c>
      <c r="D4928" t="s">
        <v>345</v>
      </c>
      <c r="E4928" t="s">
        <v>10078</v>
      </c>
    </row>
    <row r="4929" spans="1:9" x14ac:dyDescent="0.3">
      <c r="A4929" t="s">
        <v>10079</v>
      </c>
      <c r="B4929" t="s">
        <v>10080</v>
      </c>
      <c r="C4929">
        <v>0.25</v>
      </c>
      <c r="D4929" t="s">
        <v>23</v>
      </c>
      <c r="E4929" t="s">
        <v>10081</v>
      </c>
    </row>
    <row r="4930" spans="1:9" x14ac:dyDescent="0.3">
      <c r="A4930" t="s">
        <v>10082</v>
      </c>
      <c r="B4930" t="s">
        <v>10083</v>
      </c>
      <c r="C4930">
        <v>1</v>
      </c>
      <c r="E4930" t="s">
        <v>1436</v>
      </c>
      <c r="F4930" t="s">
        <v>908</v>
      </c>
    </row>
    <row r="4931" spans="1:9" x14ac:dyDescent="0.3">
      <c r="A4931" t="s">
        <v>10084</v>
      </c>
      <c r="B4931" t="s">
        <v>10085</v>
      </c>
      <c r="C4931">
        <v>4</v>
      </c>
      <c r="D4931" t="s">
        <v>23</v>
      </c>
      <c r="E4931" t="s">
        <v>2289</v>
      </c>
    </row>
    <row r="4932" spans="1:9" x14ac:dyDescent="0.3">
      <c r="A4932" t="s">
        <v>10086</v>
      </c>
      <c r="B4932" t="s">
        <v>2225</v>
      </c>
      <c r="C4932">
        <v>1</v>
      </c>
      <c r="D4932" t="s">
        <v>23</v>
      </c>
      <c r="E4932" t="s">
        <v>183</v>
      </c>
    </row>
    <row r="4933" spans="1:9" x14ac:dyDescent="0.3">
      <c r="A4933" t="s">
        <v>10087</v>
      </c>
      <c r="B4933" t="s">
        <v>10088</v>
      </c>
      <c r="C4933">
        <v>0.25</v>
      </c>
      <c r="D4933" t="s">
        <v>284</v>
      </c>
      <c r="E4933" t="s">
        <v>10089</v>
      </c>
    </row>
    <row r="4934" spans="1:9" x14ac:dyDescent="0.3">
      <c r="A4934" t="s">
        <v>10090</v>
      </c>
      <c r="B4934" t="s">
        <v>8891</v>
      </c>
      <c r="C4934">
        <v>15</v>
      </c>
      <c r="D4934" t="s">
        <v>29</v>
      </c>
      <c r="E4934" t="s">
        <v>115</v>
      </c>
    </row>
    <row r="4935" spans="1:9" x14ac:dyDescent="0.3">
      <c r="A4935" t="s">
        <v>10091</v>
      </c>
      <c r="B4935" t="s">
        <v>159</v>
      </c>
      <c r="C4935">
        <v>0.75</v>
      </c>
      <c r="D4935" t="s">
        <v>23</v>
      </c>
      <c r="E4935" t="s">
        <v>160</v>
      </c>
      <c r="G4935" t="s">
        <v>68</v>
      </c>
    </row>
    <row r="4936" spans="1:9" x14ac:dyDescent="0.3">
      <c r="A4936" t="s">
        <v>1746</v>
      </c>
      <c r="B4936" t="s">
        <v>10092</v>
      </c>
      <c r="C4936">
        <v>0.5</v>
      </c>
      <c r="D4936" t="s">
        <v>23</v>
      </c>
      <c r="E4936" t="s">
        <v>7700</v>
      </c>
    </row>
    <row r="4937" spans="1:9" x14ac:dyDescent="0.3">
      <c r="A4937" t="s">
        <v>10093</v>
      </c>
      <c r="B4937" t="s">
        <v>3079</v>
      </c>
      <c r="C4937">
        <v>1</v>
      </c>
      <c r="D4937" t="s">
        <v>460</v>
      </c>
      <c r="E4937" t="s">
        <v>51</v>
      </c>
    </row>
    <row r="4938" spans="1:9" x14ac:dyDescent="0.3">
      <c r="A4938" t="s">
        <v>10094</v>
      </c>
      <c r="B4938" t="s">
        <v>3136</v>
      </c>
      <c r="C4938">
        <v>2</v>
      </c>
      <c r="E4938" t="s">
        <v>1056</v>
      </c>
    </row>
    <row r="4939" spans="1:9" x14ac:dyDescent="0.3">
      <c r="A4939" t="s">
        <v>10095</v>
      </c>
      <c r="B4939" t="s">
        <v>5398</v>
      </c>
      <c r="C4939">
        <v>1</v>
      </c>
      <c r="D4939" t="s">
        <v>33</v>
      </c>
      <c r="E4939" t="s">
        <v>1056</v>
      </c>
    </row>
    <row r="4940" spans="1:9" x14ac:dyDescent="0.3">
      <c r="A4940" t="s">
        <v>10096</v>
      </c>
      <c r="B4940" t="s">
        <v>10097</v>
      </c>
      <c r="C4940">
        <v>1</v>
      </c>
      <c r="D4940" t="s">
        <v>18</v>
      </c>
      <c r="E4940" t="s">
        <v>672</v>
      </c>
    </row>
    <row r="4941" spans="1:9" x14ac:dyDescent="0.3">
      <c r="A4941" t="s">
        <v>1956</v>
      </c>
      <c r="B4941" t="s">
        <v>10098</v>
      </c>
      <c r="C4941">
        <v>2</v>
      </c>
      <c r="D4941" t="s">
        <v>686</v>
      </c>
      <c r="E4941" t="s">
        <v>2406</v>
      </c>
      <c r="I4941" t="s">
        <v>10099</v>
      </c>
    </row>
    <row r="4942" spans="1:9" x14ac:dyDescent="0.3">
      <c r="A4942" t="s">
        <v>10100</v>
      </c>
      <c r="B4942" t="s">
        <v>10101</v>
      </c>
      <c r="C4942">
        <v>2</v>
      </c>
      <c r="D4942" t="s">
        <v>345</v>
      </c>
      <c r="E4942" t="s">
        <v>10102</v>
      </c>
    </row>
    <row r="4943" spans="1:9" x14ac:dyDescent="0.3">
      <c r="A4943" t="s">
        <v>10103</v>
      </c>
      <c r="B4943" t="s">
        <v>10104</v>
      </c>
      <c r="C4943">
        <v>0.75</v>
      </c>
      <c r="D4943" t="s">
        <v>37</v>
      </c>
      <c r="E4943" t="s">
        <v>220</v>
      </c>
      <c r="I4943" t="s">
        <v>10105</v>
      </c>
    </row>
    <row r="4944" spans="1:9" x14ac:dyDescent="0.3">
      <c r="A4944" t="s">
        <v>7931</v>
      </c>
      <c r="B4944" t="s">
        <v>10106</v>
      </c>
      <c r="C4944">
        <v>1</v>
      </c>
      <c r="D4944" t="s">
        <v>23</v>
      </c>
      <c r="E4944" t="s">
        <v>649</v>
      </c>
    </row>
    <row r="4945" spans="1:9" x14ac:dyDescent="0.3">
      <c r="A4945" t="s">
        <v>10107</v>
      </c>
      <c r="B4945" t="s">
        <v>10108</v>
      </c>
      <c r="E4945" t="s">
        <v>10108</v>
      </c>
    </row>
    <row r="4946" spans="1:9" x14ac:dyDescent="0.3">
      <c r="A4946" t="s">
        <v>10109</v>
      </c>
      <c r="B4946" t="s">
        <v>10110</v>
      </c>
      <c r="C4946">
        <v>2</v>
      </c>
      <c r="D4946" t="s">
        <v>1338</v>
      </c>
      <c r="E4946" t="s">
        <v>3353</v>
      </c>
      <c r="I4946" t="s">
        <v>289</v>
      </c>
    </row>
    <row r="4947" spans="1:9" x14ac:dyDescent="0.3">
      <c r="A4947" t="s">
        <v>10111</v>
      </c>
      <c r="B4947" t="s">
        <v>8539</v>
      </c>
      <c r="C4947">
        <v>1</v>
      </c>
      <c r="D4947" t="s">
        <v>37</v>
      </c>
      <c r="E4947" t="s">
        <v>5105</v>
      </c>
    </row>
    <row r="4948" spans="1:9" x14ac:dyDescent="0.3">
      <c r="A4948" t="s">
        <v>10112</v>
      </c>
      <c r="B4948" t="s">
        <v>10113</v>
      </c>
      <c r="C4948">
        <v>1.25</v>
      </c>
      <c r="D4948" t="s">
        <v>23</v>
      </c>
      <c r="E4948" t="s">
        <v>10114</v>
      </c>
    </row>
    <row r="4949" spans="1:9" x14ac:dyDescent="0.3">
      <c r="A4949" t="s">
        <v>10115</v>
      </c>
      <c r="B4949" t="s">
        <v>2112</v>
      </c>
      <c r="C4949">
        <v>6</v>
      </c>
      <c r="D4949" t="s">
        <v>227</v>
      </c>
      <c r="E4949" t="s">
        <v>413</v>
      </c>
    </row>
    <row r="4950" spans="1:9" x14ac:dyDescent="0.3">
      <c r="A4950" t="s">
        <v>122</v>
      </c>
      <c r="B4950" t="s">
        <v>10116</v>
      </c>
      <c r="E4950" t="s">
        <v>10116</v>
      </c>
    </row>
    <row r="4951" spans="1:9" x14ac:dyDescent="0.3">
      <c r="A4951" t="s">
        <v>10117</v>
      </c>
      <c r="B4951" t="s">
        <v>2773</v>
      </c>
      <c r="C4951">
        <v>0.5</v>
      </c>
      <c r="D4951" t="s">
        <v>37</v>
      </c>
      <c r="E4951" t="s">
        <v>160</v>
      </c>
      <c r="F4951" t="s">
        <v>167</v>
      </c>
      <c r="G4951" t="s">
        <v>168</v>
      </c>
      <c r="I4951" t="s">
        <v>325</v>
      </c>
    </row>
    <row r="4952" spans="1:9" x14ac:dyDescent="0.3">
      <c r="A4952" t="s">
        <v>10118</v>
      </c>
      <c r="B4952" t="s">
        <v>10119</v>
      </c>
      <c r="C4952">
        <v>0.75</v>
      </c>
      <c r="D4952" t="s">
        <v>71</v>
      </c>
      <c r="E4952" t="s">
        <v>5464</v>
      </c>
    </row>
    <row r="4953" spans="1:9" x14ac:dyDescent="0.3">
      <c r="A4953" t="s">
        <v>10120</v>
      </c>
      <c r="B4953" t="s">
        <v>10121</v>
      </c>
      <c r="C4953">
        <v>0.5</v>
      </c>
      <c r="D4953" t="s">
        <v>23</v>
      </c>
      <c r="E4953" t="s">
        <v>741</v>
      </c>
    </row>
    <row r="4954" spans="1:9" x14ac:dyDescent="0.3">
      <c r="A4954" t="s">
        <v>10122</v>
      </c>
      <c r="B4954" t="s">
        <v>10123</v>
      </c>
      <c r="C4954">
        <v>1</v>
      </c>
      <c r="D4954" t="s">
        <v>23</v>
      </c>
      <c r="E4954" t="s">
        <v>2742</v>
      </c>
    </row>
    <row r="4955" spans="1:9" x14ac:dyDescent="0.3">
      <c r="A4955" t="s">
        <v>4015</v>
      </c>
      <c r="B4955" t="s">
        <v>2615</v>
      </c>
      <c r="C4955">
        <v>20</v>
      </c>
      <c r="D4955" t="s">
        <v>29</v>
      </c>
      <c r="E4955" t="s">
        <v>38</v>
      </c>
      <c r="G4955" t="s">
        <v>814</v>
      </c>
    </row>
    <row r="4956" spans="1:9" x14ac:dyDescent="0.3">
      <c r="A4956" t="s">
        <v>9178</v>
      </c>
      <c r="B4956" t="s">
        <v>1286</v>
      </c>
      <c r="C4956">
        <v>2</v>
      </c>
      <c r="D4956" t="s">
        <v>91</v>
      </c>
      <c r="E4956" t="s">
        <v>281</v>
      </c>
    </row>
    <row r="4957" spans="1:9" x14ac:dyDescent="0.3">
      <c r="A4957" t="s">
        <v>10124</v>
      </c>
      <c r="B4957" t="s">
        <v>10125</v>
      </c>
      <c r="C4957">
        <v>1.75</v>
      </c>
      <c r="D4957" t="s">
        <v>345</v>
      </c>
      <c r="E4957" t="s">
        <v>3071</v>
      </c>
    </row>
    <row r="4958" spans="1:9" x14ac:dyDescent="0.3">
      <c r="A4958" t="s">
        <v>4739</v>
      </c>
      <c r="B4958" t="s">
        <v>10126</v>
      </c>
      <c r="C4958">
        <v>1.25</v>
      </c>
      <c r="D4958" t="s">
        <v>23</v>
      </c>
      <c r="E4958" t="s">
        <v>602</v>
      </c>
    </row>
    <row r="4959" spans="1:9" x14ac:dyDescent="0.3">
      <c r="A4959" t="s">
        <v>10127</v>
      </c>
      <c r="B4959" t="s">
        <v>725</v>
      </c>
      <c r="C4959">
        <v>1</v>
      </c>
      <c r="D4959" t="s">
        <v>585</v>
      </c>
      <c r="E4959" t="s">
        <v>163</v>
      </c>
      <c r="I4959" t="s">
        <v>248</v>
      </c>
    </row>
    <row r="4960" spans="1:9" x14ac:dyDescent="0.3">
      <c r="A4960" t="s">
        <v>8355</v>
      </c>
      <c r="B4960" t="s">
        <v>8856</v>
      </c>
      <c r="C4960">
        <v>0.5</v>
      </c>
      <c r="D4960" t="s">
        <v>361</v>
      </c>
      <c r="E4960" t="s">
        <v>7819</v>
      </c>
      <c r="F4960" t="s">
        <v>3326</v>
      </c>
    </row>
    <row r="4961" spans="1:9" x14ac:dyDescent="0.3">
      <c r="A4961" t="s">
        <v>6287</v>
      </c>
      <c r="B4961" t="s">
        <v>10128</v>
      </c>
      <c r="C4961">
        <v>0.75</v>
      </c>
      <c r="D4961" t="s">
        <v>11</v>
      </c>
      <c r="E4961" t="s">
        <v>8241</v>
      </c>
    </row>
    <row r="4962" spans="1:9" x14ac:dyDescent="0.3">
      <c r="A4962" t="s">
        <v>10129</v>
      </c>
      <c r="B4962" t="s">
        <v>1055</v>
      </c>
      <c r="C4962">
        <v>1</v>
      </c>
      <c r="D4962" t="s">
        <v>585</v>
      </c>
      <c r="E4962" t="s">
        <v>1056</v>
      </c>
      <c r="I4962" t="s">
        <v>248</v>
      </c>
    </row>
    <row r="4963" spans="1:9" x14ac:dyDescent="0.3">
      <c r="A4963" t="s">
        <v>9907</v>
      </c>
      <c r="B4963" t="s">
        <v>3434</v>
      </c>
      <c r="C4963">
        <v>1.5</v>
      </c>
      <c r="D4963" t="s">
        <v>23</v>
      </c>
      <c r="E4963" t="s">
        <v>281</v>
      </c>
    </row>
    <row r="4964" spans="1:9" x14ac:dyDescent="0.3">
      <c r="A4964" t="s">
        <v>10130</v>
      </c>
      <c r="B4964" t="s">
        <v>10131</v>
      </c>
      <c r="C4964">
        <v>20</v>
      </c>
      <c r="D4964" t="s">
        <v>23</v>
      </c>
      <c r="E4964" t="s">
        <v>5706</v>
      </c>
      <c r="F4964" t="s">
        <v>10132</v>
      </c>
      <c r="I4964" t="s">
        <v>10133</v>
      </c>
    </row>
    <row r="4965" spans="1:9" x14ac:dyDescent="0.3">
      <c r="A4965" t="s">
        <v>10134</v>
      </c>
      <c r="B4965" t="s">
        <v>518</v>
      </c>
      <c r="E4965" t="s">
        <v>518</v>
      </c>
    </row>
    <row r="4966" spans="1:9" x14ac:dyDescent="0.3">
      <c r="A4966" t="s">
        <v>10135</v>
      </c>
      <c r="B4966" t="s">
        <v>10136</v>
      </c>
      <c r="C4966">
        <v>0.5</v>
      </c>
      <c r="D4966" t="s">
        <v>37</v>
      </c>
      <c r="E4966" t="s">
        <v>4728</v>
      </c>
      <c r="I4966" t="s">
        <v>2028</v>
      </c>
    </row>
    <row r="4967" spans="1:9" x14ac:dyDescent="0.3">
      <c r="A4967" t="s">
        <v>10137</v>
      </c>
      <c r="B4967" t="s">
        <v>10138</v>
      </c>
      <c r="C4967">
        <v>1</v>
      </c>
      <c r="D4967" t="s">
        <v>11</v>
      </c>
      <c r="E4967" t="s">
        <v>2271</v>
      </c>
      <c r="I4967" t="s">
        <v>20</v>
      </c>
    </row>
    <row r="4968" spans="1:9" x14ac:dyDescent="0.3">
      <c r="A4968" t="s">
        <v>10139</v>
      </c>
      <c r="B4968" t="s">
        <v>10140</v>
      </c>
      <c r="C4968">
        <v>2</v>
      </c>
      <c r="D4968" t="s">
        <v>189</v>
      </c>
      <c r="E4968" t="s">
        <v>10141</v>
      </c>
      <c r="I4968" t="s">
        <v>893</v>
      </c>
    </row>
    <row r="4969" spans="1:9" x14ac:dyDescent="0.3">
      <c r="A4969" t="s">
        <v>10142</v>
      </c>
      <c r="B4969" t="s">
        <v>9337</v>
      </c>
      <c r="C4969">
        <v>1</v>
      </c>
      <c r="D4969" t="s">
        <v>23</v>
      </c>
      <c r="E4969" t="s">
        <v>281</v>
      </c>
    </row>
    <row r="4970" spans="1:9" x14ac:dyDescent="0.3">
      <c r="A4970" t="s">
        <v>10143</v>
      </c>
      <c r="B4970" t="s">
        <v>10144</v>
      </c>
      <c r="C4970">
        <v>3</v>
      </c>
      <c r="D4970" t="s">
        <v>23</v>
      </c>
      <c r="E4970" t="s">
        <v>10145</v>
      </c>
    </row>
    <row r="4971" spans="1:9" x14ac:dyDescent="0.3">
      <c r="A4971" t="s">
        <v>3084</v>
      </c>
      <c r="B4971" t="s">
        <v>10146</v>
      </c>
      <c r="C4971">
        <v>0.75</v>
      </c>
      <c r="D4971" t="s">
        <v>23</v>
      </c>
      <c r="E4971" t="s">
        <v>3679</v>
      </c>
    </row>
    <row r="4972" spans="1:9" x14ac:dyDescent="0.3">
      <c r="A4972" t="s">
        <v>10147</v>
      </c>
      <c r="B4972" t="s">
        <v>10148</v>
      </c>
      <c r="C4972">
        <v>2</v>
      </c>
      <c r="D4972" t="s">
        <v>23</v>
      </c>
      <c r="E4972" t="s">
        <v>374</v>
      </c>
    </row>
    <row r="4973" spans="1:9" x14ac:dyDescent="0.3">
      <c r="A4973" t="s">
        <v>5819</v>
      </c>
      <c r="B4973" t="s">
        <v>10149</v>
      </c>
      <c r="C4973">
        <v>4</v>
      </c>
      <c r="D4973" t="s">
        <v>345</v>
      </c>
      <c r="E4973" t="s">
        <v>160</v>
      </c>
    </row>
    <row r="4974" spans="1:9" x14ac:dyDescent="0.3">
      <c r="A4974" t="s">
        <v>10150</v>
      </c>
      <c r="B4974" t="s">
        <v>10151</v>
      </c>
      <c r="C4974">
        <v>10.5</v>
      </c>
      <c r="D4974" t="s">
        <v>91</v>
      </c>
      <c r="E4974" t="s">
        <v>1032</v>
      </c>
    </row>
    <row r="4975" spans="1:9" x14ac:dyDescent="0.3">
      <c r="A4975" t="s">
        <v>1738</v>
      </c>
      <c r="B4975" t="s">
        <v>154</v>
      </c>
      <c r="E4975" t="s">
        <v>154</v>
      </c>
    </row>
    <row r="4976" spans="1:9" x14ac:dyDescent="0.3">
      <c r="A4976" t="s">
        <v>10152</v>
      </c>
      <c r="B4976" t="s">
        <v>10153</v>
      </c>
      <c r="C4976">
        <v>1.5</v>
      </c>
      <c r="D4976" t="s">
        <v>23</v>
      </c>
      <c r="E4976" t="s">
        <v>10154</v>
      </c>
    </row>
    <row r="4977" spans="1:9" x14ac:dyDescent="0.3">
      <c r="A4977" t="s">
        <v>10155</v>
      </c>
      <c r="B4977" t="s">
        <v>10156</v>
      </c>
      <c r="C4977">
        <v>2</v>
      </c>
      <c r="D4977" t="s">
        <v>345</v>
      </c>
      <c r="E4977" t="s">
        <v>741</v>
      </c>
      <c r="G4977" t="s">
        <v>68</v>
      </c>
      <c r="H4977" t="s">
        <v>1078</v>
      </c>
      <c r="I4977" t="s">
        <v>325</v>
      </c>
    </row>
    <row r="4978" spans="1:9" x14ac:dyDescent="0.3">
      <c r="A4978" t="s">
        <v>10157</v>
      </c>
      <c r="B4978" t="s">
        <v>10158</v>
      </c>
      <c r="C4978">
        <v>2</v>
      </c>
      <c r="D4978" t="s">
        <v>91</v>
      </c>
      <c r="E4978" t="s">
        <v>64</v>
      </c>
    </row>
    <row r="4979" spans="1:9" x14ac:dyDescent="0.3">
      <c r="A4979" t="s">
        <v>10159</v>
      </c>
      <c r="B4979" t="s">
        <v>10160</v>
      </c>
      <c r="C4979">
        <v>0.75</v>
      </c>
      <c r="D4979" t="s">
        <v>11</v>
      </c>
      <c r="E4979" t="s">
        <v>10161</v>
      </c>
    </row>
    <row r="4980" spans="1:9" x14ac:dyDescent="0.3">
      <c r="A4980" t="s">
        <v>4225</v>
      </c>
      <c r="B4980" t="s">
        <v>10162</v>
      </c>
      <c r="C4980">
        <v>2</v>
      </c>
      <c r="D4980" t="s">
        <v>71</v>
      </c>
      <c r="E4980" t="s">
        <v>4212</v>
      </c>
    </row>
    <row r="4981" spans="1:9" x14ac:dyDescent="0.3">
      <c r="A4981" t="s">
        <v>10163</v>
      </c>
      <c r="B4981" t="s">
        <v>5752</v>
      </c>
      <c r="C4981">
        <v>0.5</v>
      </c>
      <c r="D4981" t="s">
        <v>23</v>
      </c>
      <c r="E4981" t="s">
        <v>1619</v>
      </c>
    </row>
    <row r="4982" spans="1:9" x14ac:dyDescent="0.3">
      <c r="A4982" t="s">
        <v>10164</v>
      </c>
      <c r="B4982" t="s">
        <v>4287</v>
      </c>
      <c r="C4982">
        <v>50</v>
      </c>
      <c r="D4982" t="s">
        <v>29</v>
      </c>
      <c r="E4982" t="s">
        <v>10165</v>
      </c>
    </row>
    <row r="4983" spans="1:9" x14ac:dyDescent="0.3">
      <c r="A4983" t="s">
        <v>10166</v>
      </c>
      <c r="B4983" t="s">
        <v>10167</v>
      </c>
      <c r="D4983" t="s">
        <v>1983</v>
      </c>
      <c r="E4983" t="s">
        <v>1056</v>
      </c>
    </row>
    <row r="4984" spans="1:9" x14ac:dyDescent="0.3">
      <c r="A4984" t="s">
        <v>10168</v>
      </c>
      <c r="B4984" t="s">
        <v>5838</v>
      </c>
      <c r="C4984">
        <v>5</v>
      </c>
      <c r="D4984" t="s">
        <v>29</v>
      </c>
      <c r="E4984" t="s">
        <v>1506</v>
      </c>
    </row>
    <row r="4985" spans="1:9" x14ac:dyDescent="0.3">
      <c r="A4985" t="s">
        <v>7454</v>
      </c>
      <c r="B4985" t="s">
        <v>10169</v>
      </c>
      <c r="C4985">
        <v>151</v>
      </c>
      <c r="E4985" t="s">
        <v>10170</v>
      </c>
    </row>
    <row r="4986" spans="1:9" x14ac:dyDescent="0.3">
      <c r="A4986" t="s">
        <v>10171</v>
      </c>
      <c r="B4986" t="s">
        <v>5714</v>
      </c>
      <c r="C4986">
        <v>0.5</v>
      </c>
      <c r="D4986" t="s">
        <v>37</v>
      </c>
      <c r="E4986" t="s">
        <v>3870</v>
      </c>
    </row>
    <row r="4987" spans="1:9" x14ac:dyDescent="0.3">
      <c r="A4987" t="s">
        <v>10172</v>
      </c>
      <c r="B4987" t="s">
        <v>10173</v>
      </c>
      <c r="C4987">
        <v>750</v>
      </c>
      <c r="D4987" t="s">
        <v>29</v>
      </c>
      <c r="E4987" t="s">
        <v>1509</v>
      </c>
    </row>
    <row r="4988" spans="1:9" x14ac:dyDescent="0.3">
      <c r="A4988" t="s">
        <v>10174</v>
      </c>
      <c r="B4988" t="s">
        <v>4579</v>
      </c>
      <c r="C4988">
        <v>1</v>
      </c>
      <c r="E4988" t="s">
        <v>4580</v>
      </c>
    </row>
    <row r="4989" spans="1:9" x14ac:dyDescent="0.3">
      <c r="A4989" t="s">
        <v>10175</v>
      </c>
      <c r="B4989" t="s">
        <v>10176</v>
      </c>
      <c r="C4989">
        <v>1</v>
      </c>
      <c r="D4989" t="s">
        <v>11</v>
      </c>
      <c r="E4989" t="s">
        <v>7925</v>
      </c>
    </row>
    <row r="4990" spans="1:9" x14ac:dyDescent="0.3">
      <c r="A4990" t="s">
        <v>2060</v>
      </c>
      <c r="B4990" t="s">
        <v>10177</v>
      </c>
      <c r="C4990">
        <v>0.25</v>
      </c>
      <c r="D4990" t="s">
        <v>460</v>
      </c>
      <c r="E4990" t="s">
        <v>857</v>
      </c>
    </row>
    <row r="4991" spans="1:9" x14ac:dyDescent="0.3">
      <c r="A4991" t="s">
        <v>10178</v>
      </c>
      <c r="B4991" t="s">
        <v>3407</v>
      </c>
      <c r="C4991">
        <v>1</v>
      </c>
      <c r="D4991" t="s">
        <v>426</v>
      </c>
      <c r="E4991" t="s">
        <v>423</v>
      </c>
    </row>
    <row r="4992" spans="1:9" x14ac:dyDescent="0.3">
      <c r="A4992" t="s">
        <v>10179</v>
      </c>
      <c r="B4992" t="s">
        <v>10180</v>
      </c>
      <c r="C4992">
        <v>0.5</v>
      </c>
      <c r="D4992" t="s">
        <v>11</v>
      </c>
      <c r="E4992" t="s">
        <v>10181</v>
      </c>
    </row>
    <row r="4993" spans="1:10" x14ac:dyDescent="0.3">
      <c r="A4993" t="s">
        <v>9705</v>
      </c>
      <c r="B4993" t="s">
        <v>10182</v>
      </c>
      <c r="C4993">
        <v>1</v>
      </c>
      <c r="E4993" t="s">
        <v>10183</v>
      </c>
      <c r="I4993" t="s">
        <v>1352</v>
      </c>
    </row>
    <row r="4994" spans="1:10" x14ac:dyDescent="0.3">
      <c r="A4994" t="s">
        <v>165</v>
      </c>
      <c r="B4994" t="s">
        <v>1156</v>
      </c>
      <c r="C4994">
        <v>4</v>
      </c>
      <c r="D4994" t="s">
        <v>189</v>
      </c>
      <c r="E4994" t="s">
        <v>190</v>
      </c>
    </row>
    <row r="4995" spans="1:10" x14ac:dyDescent="0.3">
      <c r="A4995" t="s">
        <v>6174</v>
      </c>
      <c r="B4995" t="s">
        <v>10184</v>
      </c>
      <c r="C4995">
        <v>20.5</v>
      </c>
      <c r="D4995" t="s">
        <v>91</v>
      </c>
      <c r="E4995" t="s">
        <v>233</v>
      </c>
    </row>
    <row r="4996" spans="1:10" x14ac:dyDescent="0.3">
      <c r="A4996" t="s">
        <v>10185</v>
      </c>
      <c r="B4996" t="s">
        <v>10186</v>
      </c>
      <c r="C4996">
        <v>0.75</v>
      </c>
      <c r="D4996" t="s">
        <v>71</v>
      </c>
      <c r="E4996" t="s">
        <v>4996</v>
      </c>
      <c r="I4996" t="s">
        <v>10187</v>
      </c>
    </row>
    <row r="4997" spans="1:10" x14ac:dyDescent="0.3">
      <c r="A4997" t="s">
        <v>10188</v>
      </c>
      <c r="B4997" t="s">
        <v>711</v>
      </c>
      <c r="C4997">
        <v>1</v>
      </c>
      <c r="D4997" t="s">
        <v>23</v>
      </c>
      <c r="E4997" t="s">
        <v>712</v>
      </c>
    </row>
    <row r="4998" spans="1:10" x14ac:dyDescent="0.3">
      <c r="A4998" t="s">
        <v>10189</v>
      </c>
      <c r="B4998" t="s">
        <v>10190</v>
      </c>
      <c r="C4998">
        <v>2</v>
      </c>
      <c r="D4998" t="s">
        <v>189</v>
      </c>
      <c r="E4998" t="s">
        <v>3144</v>
      </c>
    </row>
    <row r="4999" spans="1:10" x14ac:dyDescent="0.3">
      <c r="A4999" t="s">
        <v>10191</v>
      </c>
      <c r="B4999" t="s">
        <v>10192</v>
      </c>
      <c r="C4999">
        <v>0.12</v>
      </c>
      <c r="D4999" t="s">
        <v>227</v>
      </c>
      <c r="E4999" t="s">
        <v>741</v>
      </c>
    </row>
    <row r="5000" spans="1:10" x14ac:dyDescent="0.3">
      <c r="A5000" t="s">
        <v>1808</v>
      </c>
      <c r="B5000" t="s">
        <v>10193</v>
      </c>
      <c r="C5000">
        <v>25</v>
      </c>
      <c r="D5000" t="s">
        <v>29</v>
      </c>
      <c r="E5000" t="s">
        <v>299</v>
      </c>
      <c r="I5000" t="s">
        <v>248</v>
      </c>
    </row>
    <row r="5001" spans="1:10" x14ac:dyDescent="0.3">
      <c r="A5001" t="s">
        <v>10194</v>
      </c>
      <c r="B5001" t="s">
        <v>10195</v>
      </c>
      <c r="C5001">
        <v>1</v>
      </c>
      <c r="D5001" t="s">
        <v>206</v>
      </c>
      <c r="E5001" t="s">
        <v>38</v>
      </c>
      <c r="G5001" t="s">
        <v>68</v>
      </c>
    </row>
    <row r="5002" spans="1:10" x14ac:dyDescent="0.3">
      <c r="A5002" t="s">
        <v>10196</v>
      </c>
      <c r="B5002" t="s">
        <v>6080</v>
      </c>
      <c r="D5002">
        <v>25</v>
      </c>
      <c r="E5002" t="s">
        <v>10197</v>
      </c>
      <c r="F5002" t="s">
        <v>98</v>
      </c>
    </row>
    <row r="5003" spans="1:10" x14ac:dyDescent="0.3">
      <c r="A5003" t="s">
        <v>10198</v>
      </c>
      <c r="B5003" t="s">
        <v>10027</v>
      </c>
      <c r="D5003">
        <v>0.5</v>
      </c>
      <c r="E5003" t="s">
        <v>10199</v>
      </c>
      <c r="F5003" t="s">
        <v>299</v>
      </c>
    </row>
    <row r="5004" spans="1:10" x14ac:dyDescent="0.3">
      <c r="A5004" t="s">
        <v>7829</v>
      </c>
      <c r="B5004" t="s">
        <v>10200</v>
      </c>
      <c r="D5004">
        <v>1</v>
      </c>
      <c r="E5004" t="s">
        <v>23</v>
      </c>
      <c r="F5004" t="s">
        <v>10201</v>
      </c>
    </row>
    <row r="5005" spans="1:10" x14ac:dyDescent="0.3">
      <c r="A5005" t="s">
        <v>10202</v>
      </c>
      <c r="B5005" t="s">
        <v>10203</v>
      </c>
      <c r="D5005" t="s">
        <v>665</v>
      </c>
      <c r="E5005" t="s">
        <v>10204</v>
      </c>
      <c r="F5005" t="s">
        <v>3353</v>
      </c>
    </row>
    <row r="5006" spans="1:10" x14ac:dyDescent="0.3">
      <c r="A5006" t="s">
        <v>10205</v>
      </c>
      <c r="B5006" t="s">
        <v>7395</v>
      </c>
      <c r="D5006">
        <v>0.25</v>
      </c>
      <c r="E5006" t="s">
        <v>23</v>
      </c>
      <c r="F5006" t="s">
        <v>10206</v>
      </c>
    </row>
    <row r="5007" spans="1:10" x14ac:dyDescent="0.3">
      <c r="A5007" t="s">
        <v>10207</v>
      </c>
      <c r="B5007" t="s">
        <v>10208</v>
      </c>
      <c r="F5007" t="s">
        <v>10209</v>
      </c>
      <c r="J5007" t="s">
        <v>1399</v>
      </c>
    </row>
    <row r="5008" spans="1:10" x14ac:dyDescent="0.3">
      <c r="A5008" t="s">
        <v>10210</v>
      </c>
      <c r="B5008" t="s">
        <v>1545</v>
      </c>
      <c r="F5008" t="s">
        <v>10211</v>
      </c>
      <c r="G5008" t="s">
        <v>1247</v>
      </c>
    </row>
    <row r="5009" spans="1:10" x14ac:dyDescent="0.3">
      <c r="A5009" t="s">
        <v>10212</v>
      </c>
      <c r="B5009" t="s">
        <v>10213</v>
      </c>
      <c r="D5009">
        <v>2</v>
      </c>
      <c r="E5009" t="s">
        <v>10214</v>
      </c>
      <c r="F5009" t="s">
        <v>1021</v>
      </c>
      <c r="J5009" t="s">
        <v>289</v>
      </c>
    </row>
    <row r="5010" spans="1:10" x14ac:dyDescent="0.3">
      <c r="A5010" t="s">
        <v>10215</v>
      </c>
      <c r="B5010" t="s">
        <v>10216</v>
      </c>
      <c r="D5010">
        <v>0.5</v>
      </c>
      <c r="E5010" t="s">
        <v>23</v>
      </c>
      <c r="F5010" t="s">
        <v>423</v>
      </c>
    </row>
    <row r="5011" spans="1:10" x14ac:dyDescent="0.3">
      <c r="A5011" t="s">
        <v>10217</v>
      </c>
      <c r="B5011" t="s">
        <v>10218</v>
      </c>
      <c r="D5011">
        <v>2</v>
      </c>
      <c r="F5011" t="s">
        <v>10219</v>
      </c>
    </row>
    <row r="5012" spans="1:10" x14ac:dyDescent="0.3">
      <c r="A5012" t="s">
        <v>4047</v>
      </c>
      <c r="B5012" t="s">
        <v>10220</v>
      </c>
      <c r="D5012">
        <v>2</v>
      </c>
      <c r="E5012" t="s">
        <v>1281</v>
      </c>
      <c r="F5012" t="s">
        <v>1056</v>
      </c>
      <c r="J5012" t="s">
        <v>248</v>
      </c>
    </row>
    <row r="5013" spans="1:10" x14ac:dyDescent="0.3">
      <c r="A5013" t="s">
        <v>10221</v>
      </c>
      <c r="B5013" t="s">
        <v>388</v>
      </c>
      <c r="D5013">
        <v>0.5</v>
      </c>
      <c r="E5013" t="s">
        <v>23</v>
      </c>
      <c r="F5013" t="s">
        <v>331</v>
      </c>
    </row>
    <row r="5014" spans="1:10" x14ac:dyDescent="0.3">
      <c r="A5014" t="s">
        <v>10222</v>
      </c>
      <c r="B5014" t="s">
        <v>486</v>
      </c>
      <c r="D5014">
        <v>1</v>
      </c>
      <c r="E5014" t="s">
        <v>23</v>
      </c>
      <c r="F5014" t="s">
        <v>487</v>
      </c>
    </row>
    <row r="5015" spans="1:10" x14ac:dyDescent="0.3">
      <c r="A5015" t="s">
        <v>10223</v>
      </c>
      <c r="B5015" t="s">
        <v>3134</v>
      </c>
      <c r="D5015">
        <v>2</v>
      </c>
      <c r="E5015" t="s">
        <v>23</v>
      </c>
      <c r="F5015" t="s">
        <v>1209</v>
      </c>
    </row>
    <row r="5016" spans="1:10" x14ac:dyDescent="0.3">
      <c r="A5016" t="s">
        <v>10224</v>
      </c>
      <c r="B5016" t="s">
        <v>10225</v>
      </c>
      <c r="D5016">
        <v>1</v>
      </c>
      <c r="E5016" t="s">
        <v>7879</v>
      </c>
      <c r="F5016" t="s">
        <v>10226</v>
      </c>
      <c r="J5016" t="s">
        <v>929</v>
      </c>
    </row>
    <row r="5017" spans="1:10" x14ac:dyDescent="0.3">
      <c r="A5017" t="s">
        <v>10227</v>
      </c>
      <c r="B5017" t="s">
        <v>10228</v>
      </c>
      <c r="D5017">
        <v>2.5</v>
      </c>
      <c r="E5017" t="s">
        <v>23</v>
      </c>
      <c r="F5017" t="s">
        <v>516</v>
      </c>
    </row>
    <row r="5018" spans="1:10" x14ac:dyDescent="0.3">
      <c r="A5018" t="s">
        <v>10229</v>
      </c>
      <c r="B5018" t="s">
        <v>3925</v>
      </c>
      <c r="D5018">
        <v>0.5</v>
      </c>
      <c r="E5018" t="s">
        <v>23</v>
      </c>
      <c r="F5018" t="s">
        <v>793</v>
      </c>
    </row>
    <row r="5019" spans="1:10" x14ac:dyDescent="0.3">
      <c r="A5019" t="s">
        <v>4735</v>
      </c>
      <c r="B5019" t="s">
        <v>10230</v>
      </c>
      <c r="D5019">
        <v>6</v>
      </c>
      <c r="F5019" t="s">
        <v>10231</v>
      </c>
    </row>
    <row r="5020" spans="1:10" x14ac:dyDescent="0.3">
      <c r="A5020" t="s">
        <v>10232</v>
      </c>
      <c r="B5020" t="s">
        <v>10233</v>
      </c>
      <c r="D5020">
        <v>0.25</v>
      </c>
      <c r="E5020" t="s">
        <v>23</v>
      </c>
      <c r="F5020" t="s">
        <v>2050</v>
      </c>
    </row>
    <row r="5021" spans="1:10" x14ac:dyDescent="0.3">
      <c r="A5021" t="s">
        <v>336</v>
      </c>
      <c r="B5021" t="s">
        <v>8905</v>
      </c>
      <c r="D5021">
        <v>1</v>
      </c>
      <c r="E5021" t="s">
        <v>23</v>
      </c>
      <c r="F5021" t="s">
        <v>1003</v>
      </c>
    </row>
    <row r="5022" spans="1:10" x14ac:dyDescent="0.3">
      <c r="A5022" t="s">
        <v>7937</v>
      </c>
      <c r="B5022" t="s">
        <v>10234</v>
      </c>
      <c r="D5022">
        <v>12</v>
      </c>
      <c r="E5022" t="s">
        <v>1983</v>
      </c>
      <c r="F5022" t="s">
        <v>1169</v>
      </c>
      <c r="H5022" t="s">
        <v>68</v>
      </c>
    </row>
    <row r="5023" spans="1:10" x14ac:dyDescent="0.3">
      <c r="A5023" t="s">
        <v>10235</v>
      </c>
      <c r="B5023" t="s">
        <v>10236</v>
      </c>
      <c r="D5023">
        <v>50</v>
      </c>
      <c r="E5023" t="s">
        <v>29</v>
      </c>
      <c r="F5023" t="s">
        <v>10237</v>
      </c>
    </row>
    <row r="5024" spans="1:10" x14ac:dyDescent="0.3">
      <c r="A5024" t="s">
        <v>10112</v>
      </c>
      <c r="B5024" t="s">
        <v>10238</v>
      </c>
      <c r="D5024">
        <v>1</v>
      </c>
      <c r="E5024" t="s">
        <v>236</v>
      </c>
      <c r="F5024" t="s">
        <v>237</v>
      </c>
      <c r="H5024" t="s">
        <v>238</v>
      </c>
      <c r="J5024" t="s">
        <v>10239</v>
      </c>
    </row>
    <row r="5025" spans="1:10" x14ac:dyDescent="0.3">
      <c r="A5025" t="s">
        <v>8409</v>
      </c>
      <c r="B5025" t="s">
        <v>10240</v>
      </c>
      <c r="D5025">
        <v>1</v>
      </c>
      <c r="E5025" t="s">
        <v>23</v>
      </c>
      <c r="F5025" t="s">
        <v>10241</v>
      </c>
      <c r="J5025" t="s">
        <v>289</v>
      </c>
    </row>
    <row r="5026" spans="1:10" x14ac:dyDescent="0.3">
      <c r="A5026" t="s">
        <v>10242</v>
      </c>
      <c r="B5026" t="s">
        <v>9015</v>
      </c>
      <c r="D5026">
        <v>1.5</v>
      </c>
      <c r="E5026" t="s">
        <v>23</v>
      </c>
      <c r="F5026" t="s">
        <v>2602</v>
      </c>
    </row>
    <row r="5027" spans="1:10" x14ac:dyDescent="0.3">
      <c r="A5027" t="s">
        <v>7597</v>
      </c>
      <c r="B5027" t="s">
        <v>10243</v>
      </c>
      <c r="D5027">
        <v>0.25</v>
      </c>
      <c r="E5027" t="s">
        <v>23</v>
      </c>
      <c r="F5027" t="s">
        <v>380</v>
      </c>
    </row>
    <row r="5028" spans="1:10" x14ac:dyDescent="0.3">
      <c r="A5028" t="s">
        <v>10244</v>
      </c>
      <c r="B5028" t="s">
        <v>2805</v>
      </c>
      <c r="D5028">
        <v>1</v>
      </c>
      <c r="E5028" t="s">
        <v>23</v>
      </c>
      <c r="F5028" t="s">
        <v>2496</v>
      </c>
    </row>
    <row r="5029" spans="1:10" x14ac:dyDescent="0.3">
      <c r="A5029" t="s">
        <v>6265</v>
      </c>
      <c r="B5029" t="s">
        <v>10245</v>
      </c>
      <c r="D5029">
        <v>1</v>
      </c>
      <c r="E5029" t="s">
        <v>2646</v>
      </c>
      <c r="F5029" t="s">
        <v>10246</v>
      </c>
    </row>
    <row r="5030" spans="1:10" x14ac:dyDescent="0.3">
      <c r="A5030" t="s">
        <v>10247</v>
      </c>
      <c r="B5030" t="s">
        <v>10248</v>
      </c>
      <c r="D5030">
        <v>3</v>
      </c>
      <c r="E5030" t="s">
        <v>835</v>
      </c>
      <c r="F5030" t="s">
        <v>10249</v>
      </c>
    </row>
    <row r="5031" spans="1:10" x14ac:dyDescent="0.3">
      <c r="A5031" t="s">
        <v>10250</v>
      </c>
      <c r="B5031" t="s">
        <v>298</v>
      </c>
      <c r="D5031">
        <v>1</v>
      </c>
      <c r="E5031" t="s">
        <v>23</v>
      </c>
      <c r="F5031" t="s">
        <v>299</v>
      </c>
    </row>
    <row r="5032" spans="1:10" x14ac:dyDescent="0.3">
      <c r="A5032" t="s">
        <v>10251</v>
      </c>
      <c r="B5032" t="s">
        <v>10252</v>
      </c>
      <c r="D5032">
        <v>1</v>
      </c>
      <c r="E5032" t="s">
        <v>2646</v>
      </c>
      <c r="F5032" t="s">
        <v>7063</v>
      </c>
    </row>
    <row r="5033" spans="1:10" x14ac:dyDescent="0.3">
      <c r="A5033" t="s">
        <v>10253</v>
      </c>
      <c r="B5033" t="s">
        <v>1737</v>
      </c>
      <c r="D5033">
        <v>2</v>
      </c>
      <c r="E5033" t="s">
        <v>23</v>
      </c>
      <c r="F5033" t="s">
        <v>320</v>
      </c>
    </row>
    <row r="5034" spans="1:10" x14ac:dyDescent="0.3">
      <c r="A5034" t="s">
        <v>10254</v>
      </c>
      <c r="B5034" t="s">
        <v>10255</v>
      </c>
      <c r="D5034">
        <v>1</v>
      </c>
      <c r="E5034" t="s">
        <v>23</v>
      </c>
      <c r="F5034" t="s">
        <v>2014</v>
      </c>
    </row>
    <row r="5035" spans="1:10" x14ac:dyDescent="0.3">
      <c r="A5035" t="s">
        <v>10256</v>
      </c>
      <c r="B5035" t="s">
        <v>10257</v>
      </c>
      <c r="D5035">
        <v>1</v>
      </c>
      <c r="E5035" t="s">
        <v>23</v>
      </c>
      <c r="F5035" t="s">
        <v>10258</v>
      </c>
      <c r="J5035" t="s">
        <v>289</v>
      </c>
    </row>
    <row r="5036" spans="1:10" x14ac:dyDescent="0.3">
      <c r="A5036" t="s">
        <v>1803</v>
      </c>
      <c r="B5036" t="s">
        <v>10259</v>
      </c>
      <c r="F5036" t="s">
        <v>10259</v>
      </c>
    </row>
    <row r="5037" spans="1:10" x14ac:dyDescent="0.3">
      <c r="A5037" t="s">
        <v>4410</v>
      </c>
      <c r="B5037" t="s">
        <v>6571</v>
      </c>
      <c r="D5037">
        <v>1</v>
      </c>
      <c r="E5037" t="s">
        <v>284</v>
      </c>
      <c r="F5037" t="s">
        <v>2178</v>
      </c>
    </row>
    <row r="5038" spans="1:10" x14ac:dyDescent="0.3">
      <c r="A5038" t="s">
        <v>3388</v>
      </c>
      <c r="B5038" t="s">
        <v>10260</v>
      </c>
      <c r="D5038">
        <v>5</v>
      </c>
      <c r="E5038" t="s">
        <v>29</v>
      </c>
      <c r="F5038" t="s">
        <v>10261</v>
      </c>
    </row>
    <row r="5039" spans="1:10" x14ac:dyDescent="0.3">
      <c r="A5039" t="s">
        <v>10262</v>
      </c>
      <c r="B5039" t="s">
        <v>10263</v>
      </c>
      <c r="D5039">
        <v>1</v>
      </c>
      <c r="E5039" t="s">
        <v>284</v>
      </c>
      <c r="F5039" t="s">
        <v>581</v>
      </c>
      <c r="I5039" t="s">
        <v>3214</v>
      </c>
      <c r="J5039" t="s">
        <v>10264</v>
      </c>
    </row>
    <row r="5040" spans="1:10" x14ac:dyDescent="0.3">
      <c r="A5040" t="s">
        <v>10265</v>
      </c>
      <c r="B5040" t="s">
        <v>10266</v>
      </c>
      <c r="D5040">
        <v>1</v>
      </c>
      <c r="F5040" t="s">
        <v>10267</v>
      </c>
      <c r="J5040" t="s">
        <v>248</v>
      </c>
    </row>
    <row r="5041" spans="1:10" x14ac:dyDescent="0.3">
      <c r="A5041" t="s">
        <v>10268</v>
      </c>
      <c r="B5041" t="s">
        <v>10269</v>
      </c>
      <c r="D5041">
        <v>0.5</v>
      </c>
      <c r="E5041" t="s">
        <v>37</v>
      </c>
      <c r="F5041" t="s">
        <v>2292</v>
      </c>
    </row>
    <row r="5042" spans="1:10" x14ac:dyDescent="0.3">
      <c r="A5042" t="s">
        <v>9544</v>
      </c>
      <c r="B5042" t="s">
        <v>10270</v>
      </c>
      <c r="D5042">
        <v>2</v>
      </c>
      <c r="E5042" t="s">
        <v>345</v>
      </c>
      <c r="F5042" t="s">
        <v>4724</v>
      </c>
    </row>
    <row r="5043" spans="1:10" x14ac:dyDescent="0.3">
      <c r="A5043" t="s">
        <v>10271</v>
      </c>
      <c r="B5043" t="s">
        <v>9290</v>
      </c>
      <c r="D5043">
        <v>1</v>
      </c>
      <c r="E5043" t="s">
        <v>23</v>
      </c>
      <c r="F5043" t="s">
        <v>64</v>
      </c>
    </row>
    <row r="5044" spans="1:10" x14ac:dyDescent="0.3">
      <c r="A5044" t="s">
        <v>2791</v>
      </c>
      <c r="B5044" t="s">
        <v>5477</v>
      </c>
      <c r="F5044" t="s">
        <v>5478</v>
      </c>
      <c r="J5044" t="s">
        <v>1124</v>
      </c>
    </row>
    <row r="5045" spans="1:10" x14ac:dyDescent="0.3">
      <c r="A5045" t="s">
        <v>2959</v>
      </c>
      <c r="B5045" t="s">
        <v>10272</v>
      </c>
      <c r="D5045">
        <v>7</v>
      </c>
      <c r="E5045" t="s">
        <v>23</v>
      </c>
      <c r="F5045" t="s">
        <v>10273</v>
      </c>
      <c r="J5045" t="s">
        <v>20</v>
      </c>
    </row>
    <row r="5046" spans="1:10" x14ac:dyDescent="0.3">
      <c r="A5046" t="s">
        <v>10274</v>
      </c>
      <c r="B5046" t="s">
        <v>10275</v>
      </c>
      <c r="D5046">
        <v>1.5</v>
      </c>
      <c r="E5046" t="s">
        <v>23</v>
      </c>
      <c r="F5046" t="s">
        <v>2703</v>
      </c>
    </row>
    <row r="5047" spans="1:10" x14ac:dyDescent="0.3">
      <c r="A5047" t="s">
        <v>5608</v>
      </c>
      <c r="B5047" t="s">
        <v>2220</v>
      </c>
      <c r="D5047">
        <v>1</v>
      </c>
      <c r="E5047" t="s">
        <v>1671</v>
      </c>
      <c r="F5047" t="s">
        <v>163</v>
      </c>
    </row>
    <row r="5048" spans="1:10" x14ac:dyDescent="0.3">
      <c r="A5048" t="s">
        <v>10276</v>
      </c>
      <c r="B5048" t="s">
        <v>10277</v>
      </c>
      <c r="D5048">
        <v>50</v>
      </c>
      <c r="E5048" t="s">
        <v>29</v>
      </c>
      <c r="F5048" t="s">
        <v>10278</v>
      </c>
    </row>
    <row r="5049" spans="1:10" x14ac:dyDescent="0.3">
      <c r="A5049" t="s">
        <v>10279</v>
      </c>
      <c r="B5049" t="s">
        <v>10280</v>
      </c>
      <c r="D5049">
        <v>3</v>
      </c>
      <c r="E5049" t="s">
        <v>23</v>
      </c>
      <c r="F5049" t="s">
        <v>10281</v>
      </c>
      <c r="J5049" t="s">
        <v>10282</v>
      </c>
    </row>
    <row r="5050" spans="1:10" x14ac:dyDescent="0.3">
      <c r="A5050" t="s">
        <v>10283</v>
      </c>
      <c r="B5050" t="s">
        <v>3925</v>
      </c>
      <c r="D5050">
        <v>0.5</v>
      </c>
      <c r="E5050" t="s">
        <v>23</v>
      </c>
      <c r="F5050" t="s">
        <v>793</v>
      </c>
    </row>
    <row r="5051" spans="1:10" x14ac:dyDescent="0.3">
      <c r="A5051" t="s">
        <v>10284</v>
      </c>
      <c r="B5051" t="s">
        <v>10285</v>
      </c>
      <c r="D5051">
        <v>4</v>
      </c>
      <c r="E5051" t="s">
        <v>23</v>
      </c>
      <c r="F5051" t="s">
        <v>365</v>
      </c>
    </row>
    <row r="5052" spans="1:10" x14ac:dyDescent="0.3">
      <c r="A5052" t="s">
        <v>10286</v>
      </c>
      <c r="B5052" t="s">
        <v>10287</v>
      </c>
      <c r="D5052">
        <v>4</v>
      </c>
      <c r="E5052" t="s">
        <v>23</v>
      </c>
      <c r="F5052" t="s">
        <v>645</v>
      </c>
      <c r="J5052" t="s">
        <v>289</v>
      </c>
    </row>
    <row r="5053" spans="1:10" x14ac:dyDescent="0.3">
      <c r="A5053" t="s">
        <v>10288</v>
      </c>
      <c r="B5053" t="s">
        <v>10289</v>
      </c>
      <c r="D5053">
        <v>10</v>
      </c>
      <c r="E5053" t="s">
        <v>29</v>
      </c>
      <c r="F5053" t="s">
        <v>1431</v>
      </c>
    </row>
    <row r="5054" spans="1:10" x14ac:dyDescent="0.3">
      <c r="A5054" t="s">
        <v>10290</v>
      </c>
      <c r="B5054" t="s">
        <v>10291</v>
      </c>
      <c r="D5054">
        <v>1</v>
      </c>
      <c r="F5054" t="s">
        <v>10292</v>
      </c>
      <c r="G5054" t="s">
        <v>3102</v>
      </c>
      <c r="J5054" t="s">
        <v>20</v>
      </c>
    </row>
    <row r="5055" spans="1:10" x14ac:dyDescent="0.3">
      <c r="A5055" t="s">
        <v>10293</v>
      </c>
      <c r="B5055" t="s">
        <v>10294</v>
      </c>
      <c r="F5055" t="s">
        <v>10294</v>
      </c>
    </row>
    <row r="5056" spans="1:10" x14ac:dyDescent="0.3">
      <c r="A5056" t="s">
        <v>2363</v>
      </c>
      <c r="B5056" t="s">
        <v>6191</v>
      </c>
      <c r="F5056" t="s">
        <v>413</v>
      </c>
      <c r="J5056" t="s">
        <v>10295</v>
      </c>
    </row>
    <row r="5057" spans="1:10" x14ac:dyDescent="0.3">
      <c r="A5057" t="s">
        <v>10296</v>
      </c>
      <c r="B5057" t="s">
        <v>1148</v>
      </c>
      <c r="D5057">
        <v>50</v>
      </c>
      <c r="E5057" t="s">
        <v>29</v>
      </c>
      <c r="F5057" t="s">
        <v>233</v>
      </c>
    </row>
    <row r="5058" spans="1:10" x14ac:dyDescent="0.3">
      <c r="A5058" t="s">
        <v>10297</v>
      </c>
      <c r="B5058" t="s">
        <v>3355</v>
      </c>
      <c r="D5058">
        <v>1</v>
      </c>
      <c r="E5058" t="s">
        <v>23</v>
      </c>
      <c r="F5058" t="s">
        <v>1431</v>
      </c>
    </row>
    <row r="5059" spans="1:10" x14ac:dyDescent="0.3">
      <c r="A5059" t="s">
        <v>3228</v>
      </c>
      <c r="B5059" t="s">
        <v>10298</v>
      </c>
      <c r="D5059">
        <v>50</v>
      </c>
      <c r="E5059" t="s">
        <v>29</v>
      </c>
      <c r="F5059" t="s">
        <v>4306</v>
      </c>
    </row>
    <row r="5060" spans="1:10" x14ac:dyDescent="0.3">
      <c r="A5060" t="s">
        <v>10299</v>
      </c>
      <c r="B5060" t="s">
        <v>10300</v>
      </c>
      <c r="D5060">
        <v>75</v>
      </c>
      <c r="E5060" t="s">
        <v>29</v>
      </c>
      <c r="F5060" t="s">
        <v>262</v>
      </c>
    </row>
    <row r="5061" spans="1:10" x14ac:dyDescent="0.3">
      <c r="A5061" t="s">
        <v>8175</v>
      </c>
      <c r="B5061" t="s">
        <v>10301</v>
      </c>
      <c r="D5061">
        <v>0.75</v>
      </c>
      <c r="E5061" t="s">
        <v>23</v>
      </c>
      <c r="F5061" t="s">
        <v>7714</v>
      </c>
    </row>
    <row r="5062" spans="1:10" x14ac:dyDescent="0.3">
      <c r="A5062" t="s">
        <v>10302</v>
      </c>
      <c r="B5062" t="s">
        <v>10303</v>
      </c>
      <c r="D5062">
        <v>15</v>
      </c>
      <c r="E5062" t="s">
        <v>29</v>
      </c>
      <c r="F5062" t="s">
        <v>183</v>
      </c>
    </row>
    <row r="5063" spans="1:10" x14ac:dyDescent="0.3">
      <c r="A5063" t="s">
        <v>10304</v>
      </c>
      <c r="B5063" t="s">
        <v>10305</v>
      </c>
      <c r="D5063">
        <v>2</v>
      </c>
      <c r="E5063" t="s">
        <v>23</v>
      </c>
      <c r="F5063" t="s">
        <v>2211</v>
      </c>
    </row>
    <row r="5064" spans="1:10" x14ac:dyDescent="0.3">
      <c r="A5064" t="s">
        <v>5301</v>
      </c>
      <c r="B5064" t="s">
        <v>1545</v>
      </c>
      <c r="F5064" t="s">
        <v>10211</v>
      </c>
      <c r="G5064" t="s">
        <v>1247</v>
      </c>
    </row>
    <row r="5065" spans="1:10" x14ac:dyDescent="0.3">
      <c r="A5065" t="s">
        <v>10306</v>
      </c>
      <c r="B5065" t="s">
        <v>620</v>
      </c>
      <c r="D5065">
        <v>751</v>
      </c>
      <c r="E5065" t="s">
        <v>10197</v>
      </c>
      <c r="F5065" t="s">
        <v>10307</v>
      </c>
      <c r="J5065" t="s">
        <v>10308</v>
      </c>
    </row>
    <row r="5066" spans="1:10" x14ac:dyDescent="0.3">
      <c r="A5066" t="s">
        <v>4325</v>
      </c>
      <c r="B5066" t="s">
        <v>3780</v>
      </c>
      <c r="D5066">
        <v>0.5</v>
      </c>
      <c r="F5066" t="s">
        <v>10309</v>
      </c>
      <c r="J5066" t="s">
        <v>10310</v>
      </c>
    </row>
    <row r="5067" spans="1:10" x14ac:dyDescent="0.3">
      <c r="A5067" t="s">
        <v>1453</v>
      </c>
      <c r="B5067" t="s">
        <v>10311</v>
      </c>
      <c r="D5067">
        <v>0.5</v>
      </c>
      <c r="E5067" t="s">
        <v>227</v>
      </c>
      <c r="F5067" t="s">
        <v>4705</v>
      </c>
    </row>
    <row r="5068" spans="1:10" x14ac:dyDescent="0.3">
      <c r="A5068" t="s">
        <v>10312</v>
      </c>
      <c r="B5068" t="s">
        <v>10313</v>
      </c>
      <c r="D5068">
        <v>1</v>
      </c>
      <c r="E5068" t="s">
        <v>1785</v>
      </c>
      <c r="F5068" t="s">
        <v>102</v>
      </c>
    </row>
    <row r="5069" spans="1:10" x14ac:dyDescent="0.3">
      <c r="A5069" t="s">
        <v>10314</v>
      </c>
      <c r="B5069" t="s">
        <v>4460</v>
      </c>
      <c r="D5069">
        <v>8</v>
      </c>
      <c r="E5069" t="s">
        <v>23</v>
      </c>
      <c r="F5069" t="s">
        <v>2138</v>
      </c>
    </row>
    <row r="5070" spans="1:10" x14ac:dyDescent="0.3">
      <c r="A5070" t="s">
        <v>10315</v>
      </c>
      <c r="B5070" t="s">
        <v>10316</v>
      </c>
      <c r="D5070">
        <v>0.75</v>
      </c>
      <c r="E5070" t="s">
        <v>23</v>
      </c>
      <c r="F5070" t="s">
        <v>5257</v>
      </c>
    </row>
    <row r="5071" spans="1:10" x14ac:dyDescent="0.3">
      <c r="A5071" t="s">
        <v>10317</v>
      </c>
      <c r="B5071" t="s">
        <v>1596</v>
      </c>
      <c r="D5071">
        <v>1</v>
      </c>
      <c r="E5071" t="s">
        <v>18</v>
      </c>
      <c r="F5071" t="s">
        <v>190</v>
      </c>
    </row>
    <row r="5072" spans="1:10" x14ac:dyDescent="0.3">
      <c r="A5072" t="s">
        <v>10318</v>
      </c>
      <c r="B5072" t="s">
        <v>2194</v>
      </c>
      <c r="D5072">
        <v>0.5</v>
      </c>
      <c r="E5072" t="s">
        <v>23</v>
      </c>
      <c r="F5072" t="s">
        <v>1238</v>
      </c>
    </row>
    <row r="5073" spans="1:10" x14ac:dyDescent="0.3">
      <c r="A5073" t="s">
        <v>10319</v>
      </c>
      <c r="B5073" t="s">
        <v>5161</v>
      </c>
      <c r="F5073" t="s">
        <v>5161</v>
      </c>
    </row>
    <row r="5074" spans="1:10" x14ac:dyDescent="0.3">
      <c r="A5074" t="s">
        <v>10320</v>
      </c>
      <c r="B5074" t="s">
        <v>10321</v>
      </c>
      <c r="D5074">
        <v>20</v>
      </c>
      <c r="E5074" t="s">
        <v>29</v>
      </c>
      <c r="F5074" t="s">
        <v>199</v>
      </c>
    </row>
    <row r="5075" spans="1:10" x14ac:dyDescent="0.3">
      <c r="A5075" t="s">
        <v>10322</v>
      </c>
      <c r="B5075" t="s">
        <v>10323</v>
      </c>
      <c r="D5075">
        <v>30</v>
      </c>
      <c r="E5075" t="s">
        <v>29</v>
      </c>
      <c r="F5075" t="s">
        <v>10324</v>
      </c>
    </row>
    <row r="5076" spans="1:10" x14ac:dyDescent="0.3">
      <c r="A5076" t="s">
        <v>6638</v>
      </c>
      <c r="B5076" t="s">
        <v>379</v>
      </c>
      <c r="D5076">
        <v>2</v>
      </c>
      <c r="E5076" t="s">
        <v>23</v>
      </c>
      <c r="F5076" t="s">
        <v>380</v>
      </c>
    </row>
    <row r="5077" spans="1:10" x14ac:dyDescent="0.3">
      <c r="A5077" t="s">
        <v>10325</v>
      </c>
      <c r="B5077" t="s">
        <v>10326</v>
      </c>
      <c r="E5077" t="s">
        <v>23</v>
      </c>
      <c r="F5077" t="s">
        <v>10327</v>
      </c>
    </row>
    <row r="5078" spans="1:10" x14ac:dyDescent="0.3">
      <c r="A5078" t="s">
        <v>10328</v>
      </c>
      <c r="B5078" t="s">
        <v>188</v>
      </c>
      <c r="D5078">
        <v>2</v>
      </c>
      <c r="E5078" t="s">
        <v>189</v>
      </c>
      <c r="F5078" t="s">
        <v>190</v>
      </c>
    </row>
    <row r="5079" spans="1:10" x14ac:dyDescent="0.3">
      <c r="A5079" t="s">
        <v>10329</v>
      </c>
      <c r="B5079" t="s">
        <v>1193</v>
      </c>
      <c r="F5079" t="s">
        <v>1193</v>
      </c>
    </row>
    <row r="5080" spans="1:10" x14ac:dyDescent="0.3">
      <c r="A5080" t="s">
        <v>10330</v>
      </c>
      <c r="B5080" t="s">
        <v>10331</v>
      </c>
      <c r="D5080">
        <v>1</v>
      </c>
      <c r="E5080" t="s">
        <v>23</v>
      </c>
      <c r="F5080" t="s">
        <v>1053</v>
      </c>
    </row>
    <row r="5081" spans="1:10" x14ac:dyDescent="0.3">
      <c r="A5081" t="s">
        <v>2911</v>
      </c>
      <c r="B5081" t="s">
        <v>10332</v>
      </c>
      <c r="D5081">
        <v>0.25</v>
      </c>
      <c r="E5081" t="s">
        <v>23</v>
      </c>
      <c r="F5081" t="s">
        <v>10333</v>
      </c>
    </row>
    <row r="5082" spans="1:10" x14ac:dyDescent="0.3">
      <c r="A5082" t="s">
        <v>10334</v>
      </c>
      <c r="B5082" t="s">
        <v>7562</v>
      </c>
      <c r="D5082">
        <v>1</v>
      </c>
      <c r="E5082" t="s">
        <v>2210</v>
      </c>
      <c r="F5082" t="s">
        <v>1332</v>
      </c>
      <c r="J5082" t="s">
        <v>289</v>
      </c>
    </row>
    <row r="5083" spans="1:10" x14ac:dyDescent="0.3">
      <c r="A5083" t="s">
        <v>10335</v>
      </c>
      <c r="B5083" t="s">
        <v>10336</v>
      </c>
      <c r="D5083">
        <v>0.75</v>
      </c>
      <c r="E5083" t="s">
        <v>23</v>
      </c>
      <c r="F5083" t="s">
        <v>199</v>
      </c>
    </row>
    <row r="5084" spans="1:10" x14ac:dyDescent="0.3">
      <c r="A5084" t="s">
        <v>6036</v>
      </c>
      <c r="B5084" t="s">
        <v>10337</v>
      </c>
      <c r="D5084">
        <v>1</v>
      </c>
      <c r="E5084" t="s">
        <v>284</v>
      </c>
      <c r="F5084" t="s">
        <v>6614</v>
      </c>
    </row>
    <row r="5085" spans="1:10" x14ac:dyDescent="0.3">
      <c r="A5085" t="s">
        <v>1353</v>
      </c>
      <c r="B5085" t="s">
        <v>5496</v>
      </c>
      <c r="D5085">
        <v>0.25</v>
      </c>
      <c r="E5085" t="s">
        <v>23</v>
      </c>
      <c r="F5085" t="s">
        <v>38</v>
      </c>
      <c r="H5085" t="s">
        <v>68</v>
      </c>
    </row>
    <row r="5086" spans="1:10" x14ac:dyDescent="0.3">
      <c r="A5086" t="s">
        <v>10338</v>
      </c>
      <c r="B5086" t="s">
        <v>7922</v>
      </c>
      <c r="D5086">
        <v>2</v>
      </c>
      <c r="E5086" t="s">
        <v>23</v>
      </c>
      <c r="F5086" t="s">
        <v>3269</v>
      </c>
    </row>
    <row r="5087" spans="1:10" x14ac:dyDescent="0.3">
      <c r="A5087" t="s">
        <v>10339</v>
      </c>
      <c r="B5087" t="s">
        <v>1097</v>
      </c>
      <c r="F5087" t="s">
        <v>1097</v>
      </c>
    </row>
    <row r="5088" spans="1:10" x14ac:dyDescent="0.3">
      <c r="A5088" t="s">
        <v>6448</v>
      </c>
      <c r="B5088" t="s">
        <v>10340</v>
      </c>
      <c r="D5088">
        <v>10.5</v>
      </c>
      <c r="E5088" t="s">
        <v>91</v>
      </c>
      <c r="F5088" t="s">
        <v>2972</v>
      </c>
    </row>
    <row r="5089" spans="1:10" x14ac:dyDescent="0.3">
      <c r="A5089" t="s">
        <v>10341</v>
      </c>
      <c r="B5089" t="s">
        <v>10342</v>
      </c>
      <c r="D5089">
        <v>1</v>
      </c>
      <c r="F5089" t="s">
        <v>1056</v>
      </c>
      <c r="G5089" t="s">
        <v>1983</v>
      </c>
      <c r="J5089" t="s">
        <v>10343</v>
      </c>
    </row>
    <row r="5090" spans="1:10" x14ac:dyDescent="0.3">
      <c r="A5090" t="s">
        <v>7857</v>
      </c>
      <c r="B5090" t="s">
        <v>10344</v>
      </c>
      <c r="D5090">
        <v>4</v>
      </c>
      <c r="E5090" t="s">
        <v>23</v>
      </c>
      <c r="F5090" t="s">
        <v>10345</v>
      </c>
      <c r="I5090" t="s">
        <v>3058</v>
      </c>
    </row>
    <row r="5091" spans="1:10" x14ac:dyDescent="0.3">
      <c r="A5091" t="s">
        <v>10346</v>
      </c>
      <c r="B5091" t="s">
        <v>1976</v>
      </c>
      <c r="D5091">
        <v>1</v>
      </c>
      <c r="F5091" t="s">
        <v>1977</v>
      </c>
    </row>
    <row r="5092" spans="1:10" x14ac:dyDescent="0.3">
      <c r="A5092" t="s">
        <v>10347</v>
      </c>
      <c r="B5092" t="s">
        <v>1726</v>
      </c>
      <c r="D5092">
        <v>0.5</v>
      </c>
      <c r="E5092" t="s">
        <v>23</v>
      </c>
      <c r="F5092" t="s">
        <v>95</v>
      </c>
    </row>
    <row r="5093" spans="1:10" x14ac:dyDescent="0.3">
      <c r="A5093" t="s">
        <v>4365</v>
      </c>
      <c r="B5093" t="s">
        <v>10348</v>
      </c>
      <c r="D5093">
        <v>20</v>
      </c>
      <c r="E5093" t="s">
        <v>29</v>
      </c>
      <c r="F5093" t="s">
        <v>10349</v>
      </c>
    </row>
    <row r="5094" spans="1:10" x14ac:dyDescent="0.3">
      <c r="A5094" t="s">
        <v>10350</v>
      </c>
      <c r="B5094" t="s">
        <v>7992</v>
      </c>
      <c r="D5094">
        <v>1</v>
      </c>
      <c r="E5094" t="s">
        <v>426</v>
      </c>
      <c r="F5094" t="s">
        <v>1238</v>
      </c>
    </row>
    <row r="5095" spans="1:10" x14ac:dyDescent="0.3">
      <c r="A5095" t="s">
        <v>3563</v>
      </c>
      <c r="B5095" t="s">
        <v>10351</v>
      </c>
      <c r="D5095">
        <v>1</v>
      </c>
      <c r="E5095" t="s">
        <v>2782</v>
      </c>
      <c r="F5095" t="s">
        <v>3745</v>
      </c>
      <c r="J5095" t="s">
        <v>10352</v>
      </c>
    </row>
    <row r="5096" spans="1:10" x14ac:dyDescent="0.3">
      <c r="A5096" t="s">
        <v>10353</v>
      </c>
      <c r="B5096" t="s">
        <v>388</v>
      </c>
      <c r="D5096">
        <v>0.5</v>
      </c>
      <c r="E5096" t="s">
        <v>23</v>
      </c>
      <c r="F5096" t="s">
        <v>331</v>
      </c>
    </row>
    <row r="5097" spans="1:10" x14ac:dyDescent="0.3">
      <c r="A5097" t="s">
        <v>10354</v>
      </c>
      <c r="B5097" t="s">
        <v>10355</v>
      </c>
      <c r="D5097">
        <v>2</v>
      </c>
      <c r="E5097" t="s">
        <v>91</v>
      </c>
      <c r="F5097" t="s">
        <v>10356</v>
      </c>
      <c r="I5097" t="s">
        <v>10357</v>
      </c>
      <c r="J5097" t="s">
        <v>20</v>
      </c>
    </row>
    <row r="5098" spans="1:10" x14ac:dyDescent="0.3">
      <c r="A5098" t="s">
        <v>10358</v>
      </c>
      <c r="B5098" t="s">
        <v>10359</v>
      </c>
      <c r="D5098">
        <v>0.5</v>
      </c>
      <c r="E5098" t="s">
        <v>23</v>
      </c>
      <c r="F5098" t="s">
        <v>10360</v>
      </c>
    </row>
    <row r="5099" spans="1:10" x14ac:dyDescent="0.3">
      <c r="A5099" t="s">
        <v>10361</v>
      </c>
      <c r="B5099" t="s">
        <v>1317</v>
      </c>
      <c r="D5099">
        <v>1</v>
      </c>
      <c r="E5099" t="s">
        <v>11</v>
      </c>
      <c r="F5099" t="s">
        <v>524</v>
      </c>
    </row>
    <row r="5100" spans="1:10" x14ac:dyDescent="0.3">
      <c r="A5100" t="s">
        <v>1901</v>
      </c>
      <c r="B5100" t="s">
        <v>10362</v>
      </c>
      <c r="D5100">
        <v>40</v>
      </c>
      <c r="E5100" t="s">
        <v>29</v>
      </c>
      <c r="F5100" t="s">
        <v>10363</v>
      </c>
    </row>
    <row r="5101" spans="1:10" x14ac:dyDescent="0.3">
      <c r="A5101" t="s">
        <v>10364</v>
      </c>
      <c r="B5101" t="s">
        <v>10365</v>
      </c>
      <c r="D5101">
        <v>0.75</v>
      </c>
      <c r="E5101" t="s">
        <v>23</v>
      </c>
      <c r="F5101" t="s">
        <v>1506</v>
      </c>
    </row>
    <row r="5102" spans="1:10" x14ac:dyDescent="0.3">
      <c r="A5102" t="s">
        <v>10366</v>
      </c>
      <c r="B5102" t="s">
        <v>10367</v>
      </c>
      <c r="D5102">
        <v>1</v>
      </c>
      <c r="E5102" t="s">
        <v>11</v>
      </c>
      <c r="F5102" t="s">
        <v>8993</v>
      </c>
    </row>
    <row r="5103" spans="1:10" x14ac:dyDescent="0.3">
      <c r="A5103" t="s">
        <v>2767</v>
      </c>
      <c r="B5103" t="s">
        <v>2013</v>
      </c>
      <c r="D5103">
        <v>0.5</v>
      </c>
      <c r="E5103" t="s">
        <v>23</v>
      </c>
      <c r="F5103" t="s">
        <v>2014</v>
      </c>
    </row>
    <row r="5104" spans="1:10" x14ac:dyDescent="0.3">
      <c r="A5104" t="s">
        <v>10368</v>
      </c>
      <c r="B5104" t="s">
        <v>10369</v>
      </c>
      <c r="D5104" t="s">
        <v>10370</v>
      </c>
      <c r="F5104" t="s">
        <v>160</v>
      </c>
      <c r="J5104" t="s">
        <v>10371</v>
      </c>
    </row>
    <row r="5105" spans="1:10" x14ac:dyDescent="0.3">
      <c r="A5105" t="s">
        <v>10372</v>
      </c>
      <c r="B5105" t="s">
        <v>10373</v>
      </c>
      <c r="D5105">
        <v>0.25</v>
      </c>
      <c r="E5105" t="s">
        <v>23</v>
      </c>
      <c r="F5105" t="s">
        <v>10374</v>
      </c>
    </row>
    <row r="5106" spans="1:10" x14ac:dyDescent="0.3">
      <c r="A5106" t="s">
        <v>10375</v>
      </c>
      <c r="B5106" t="s">
        <v>1286</v>
      </c>
      <c r="D5106">
        <v>2</v>
      </c>
      <c r="E5106" t="s">
        <v>91</v>
      </c>
      <c r="F5106" t="s">
        <v>281</v>
      </c>
    </row>
    <row r="5107" spans="1:10" x14ac:dyDescent="0.3">
      <c r="A5107" t="s">
        <v>5673</v>
      </c>
      <c r="B5107" t="s">
        <v>10376</v>
      </c>
      <c r="F5107" t="s">
        <v>10377</v>
      </c>
      <c r="J5107" t="s">
        <v>3921</v>
      </c>
    </row>
    <row r="5108" spans="1:10" x14ac:dyDescent="0.3">
      <c r="A5108" t="s">
        <v>3656</v>
      </c>
      <c r="B5108" t="s">
        <v>310</v>
      </c>
      <c r="D5108">
        <v>45</v>
      </c>
      <c r="E5108" t="s">
        <v>29</v>
      </c>
      <c r="F5108" t="s">
        <v>311</v>
      </c>
    </row>
    <row r="5109" spans="1:10" x14ac:dyDescent="0.3">
      <c r="A5109" t="s">
        <v>4795</v>
      </c>
      <c r="B5109" t="s">
        <v>10378</v>
      </c>
      <c r="D5109">
        <v>1.5</v>
      </c>
      <c r="E5109" t="s">
        <v>23</v>
      </c>
      <c r="F5109" t="s">
        <v>524</v>
      </c>
    </row>
    <row r="5110" spans="1:10" x14ac:dyDescent="0.3">
      <c r="A5110" t="s">
        <v>10379</v>
      </c>
      <c r="B5110" t="s">
        <v>59</v>
      </c>
      <c r="D5110">
        <v>1</v>
      </c>
      <c r="E5110" t="s">
        <v>60</v>
      </c>
      <c r="F5110" t="s">
        <v>61</v>
      </c>
    </row>
    <row r="5111" spans="1:10" x14ac:dyDescent="0.3">
      <c r="A5111" t="s">
        <v>5446</v>
      </c>
      <c r="B5111" t="s">
        <v>5043</v>
      </c>
      <c r="D5111">
        <v>1.5</v>
      </c>
      <c r="E5111" t="s">
        <v>23</v>
      </c>
      <c r="F5111" t="s">
        <v>233</v>
      </c>
      <c r="J5111" t="s">
        <v>289</v>
      </c>
    </row>
    <row r="5112" spans="1:10" x14ac:dyDescent="0.3">
      <c r="A5112" t="s">
        <v>10380</v>
      </c>
      <c r="B5112" t="s">
        <v>10381</v>
      </c>
      <c r="D5112">
        <v>50</v>
      </c>
      <c r="E5112" t="s">
        <v>29</v>
      </c>
      <c r="F5112" t="s">
        <v>10382</v>
      </c>
    </row>
    <row r="5113" spans="1:10" x14ac:dyDescent="0.3">
      <c r="A5113" t="s">
        <v>10383</v>
      </c>
      <c r="B5113" t="s">
        <v>10384</v>
      </c>
      <c r="D5113">
        <v>1</v>
      </c>
      <c r="E5113" t="s">
        <v>11</v>
      </c>
      <c r="F5113" t="s">
        <v>563</v>
      </c>
    </row>
    <row r="5114" spans="1:10" x14ac:dyDescent="0.3">
      <c r="A5114" t="s">
        <v>9548</v>
      </c>
      <c r="B5114" t="s">
        <v>10385</v>
      </c>
      <c r="D5114">
        <v>0.3</v>
      </c>
      <c r="E5114" t="s">
        <v>23</v>
      </c>
      <c r="F5114" t="s">
        <v>10386</v>
      </c>
    </row>
    <row r="5115" spans="1:10" x14ac:dyDescent="0.3">
      <c r="A5115" t="s">
        <v>10387</v>
      </c>
      <c r="B5115" t="s">
        <v>3655</v>
      </c>
      <c r="D5115">
        <v>1.5</v>
      </c>
      <c r="E5115" t="s">
        <v>23</v>
      </c>
      <c r="F5115" t="s">
        <v>299</v>
      </c>
    </row>
    <row r="5116" spans="1:10" x14ac:dyDescent="0.3">
      <c r="A5116" t="s">
        <v>9883</v>
      </c>
      <c r="B5116" t="s">
        <v>10388</v>
      </c>
      <c r="D5116">
        <v>2</v>
      </c>
      <c r="E5116" t="s">
        <v>2549</v>
      </c>
      <c r="F5116" t="s">
        <v>10389</v>
      </c>
      <c r="J5116" t="s">
        <v>289</v>
      </c>
    </row>
    <row r="5117" spans="1:10" x14ac:dyDescent="0.3">
      <c r="A5117" t="s">
        <v>3771</v>
      </c>
      <c r="B5117" t="s">
        <v>10390</v>
      </c>
      <c r="D5117">
        <v>0.5</v>
      </c>
      <c r="E5117" t="s">
        <v>284</v>
      </c>
      <c r="F5117" t="s">
        <v>10391</v>
      </c>
      <c r="G5117" t="s">
        <v>1571</v>
      </c>
      <c r="J5117" t="s">
        <v>2028</v>
      </c>
    </row>
    <row r="5118" spans="1:10" x14ac:dyDescent="0.3">
      <c r="A5118" t="s">
        <v>10392</v>
      </c>
      <c r="B5118" t="s">
        <v>10393</v>
      </c>
      <c r="D5118">
        <v>1</v>
      </c>
      <c r="E5118" t="s">
        <v>120</v>
      </c>
      <c r="F5118" t="s">
        <v>160</v>
      </c>
      <c r="H5118" t="s">
        <v>814</v>
      </c>
    </row>
    <row r="5119" spans="1:10" x14ac:dyDescent="0.3">
      <c r="A5119" t="s">
        <v>389</v>
      </c>
      <c r="B5119" t="s">
        <v>10394</v>
      </c>
      <c r="D5119">
        <v>2</v>
      </c>
      <c r="E5119" t="s">
        <v>23</v>
      </c>
      <c r="F5119" t="s">
        <v>4212</v>
      </c>
    </row>
    <row r="5120" spans="1:10" x14ac:dyDescent="0.3">
      <c r="A5120" t="s">
        <v>10395</v>
      </c>
      <c r="B5120" t="s">
        <v>10396</v>
      </c>
      <c r="D5120">
        <v>0.75</v>
      </c>
      <c r="E5120" t="s">
        <v>23</v>
      </c>
      <c r="F5120" t="s">
        <v>4270</v>
      </c>
    </row>
    <row r="5121" spans="1:10" x14ac:dyDescent="0.3">
      <c r="A5121" t="s">
        <v>10397</v>
      </c>
      <c r="B5121" t="s">
        <v>10027</v>
      </c>
      <c r="D5121">
        <v>0.5</v>
      </c>
      <c r="E5121" t="s">
        <v>23</v>
      </c>
      <c r="F5121" t="s">
        <v>299</v>
      </c>
    </row>
    <row r="5122" spans="1:10" x14ac:dyDescent="0.3">
      <c r="A5122" t="s">
        <v>4739</v>
      </c>
      <c r="B5122" t="s">
        <v>10398</v>
      </c>
      <c r="D5122">
        <v>3</v>
      </c>
      <c r="E5122" t="s">
        <v>23</v>
      </c>
      <c r="F5122" t="s">
        <v>10399</v>
      </c>
      <c r="J5122" t="s">
        <v>10400</v>
      </c>
    </row>
    <row r="5123" spans="1:10" x14ac:dyDescent="0.3">
      <c r="A5123" t="s">
        <v>10401</v>
      </c>
      <c r="B5123" t="s">
        <v>10402</v>
      </c>
      <c r="D5123">
        <v>0.5</v>
      </c>
      <c r="E5123" t="s">
        <v>11</v>
      </c>
      <c r="F5123" t="s">
        <v>30</v>
      </c>
    </row>
    <row r="5124" spans="1:10" x14ac:dyDescent="0.3">
      <c r="A5124" t="s">
        <v>10403</v>
      </c>
      <c r="B5124" t="s">
        <v>10404</v>
      </c>
      <c r="D5124">
        <v>0.5</v>
      </c>
      <c r="E5124" t="s">
        <v>23</v>
      </c>
      <c r="F5124" t="s">
        <v>4337</v>
      </c>
    </row>
    <row r="5125" spans="1:10" x14ac:dyDescent="0.3">
      <c r="A5125" t="s">
        <v>10405</v>
      </c>
      <c r="B5125" t="s">
        <v>1179</v>
      </c>
      <c r="D5125">
        <v>1</v>
      </c>
      <c r="E5125" t="s">
        <v>23</v>
      </c>
      <c r="F5125" t="s">
        <v>233</v>
      </c>
    </row>
    <row r="5126" spans="1:10" x14ac:dyDescent="0.3">
      <c r="A5126" t="s">
        <v>10406</v>
      </c>
      <c r="B5126" t="s">
        <v>10407</v>
      </c>
      <c r="D5126">
        <v>2</v>
      </c>
      <c r="E5126" t="s">
        <v>227</v>
      </c>
      <c r="F5126" t="s">
        <v>2763</v>
      </c>
    </row>
    <row r="5127" spans="1:10" x14ac:dyDescent="0.3">
      <c r="A5127" t="s">
        <v>10408</v>
      </c>
      <c r="B5127" t="s">
        <v>10409</v>
      </c>
      <c r="D5127">
        <v>1</v>
      </c>
      <c r="E5127" t="s">
        <v>71</v>
      </c>
      <c r="F5127" t="s">
        <v>160</v>
      </c>
      <c r="H5127" t="s">
        <v>68</v>
      </c>
    </row>
    <row r="5128" spans="1:10" x14ac:dyDescent="0.3">
      <c r="A5128" t="s">
        <v>10410</v>
      </c>
      <c r="B5128" t="s">
        <v>98</v>
      </c>
      <c r="F5128" t="s">
        <v>98</v>
      </c>
    </row>
    <row r="5129" spans="1:10" x14ac:dyDescent="0.3">
      <c r="A5129" t="s">
        <v>6111</v>
      </c>
      <c r="B5129" t="s">
        <v>10097</v>
      </c>
      <c r="D5129">
        <v>1</v>
      </c>
      <c r="E5129" t="s">
        <v>18</v>
      </c>
      <c r="F5129" t="s">
        <v>672</v>
      </c>
    </row>
    <row r="5130" spans="1:10" x14ac:dyDescent="0.3">
      <c r="A5130" t="s">
        <v>10411</v>
      </c>
      <c r="B5130" t="s">
        <v>10412</v>
      </c>
      <c r="D5130">
        <v>250</v>
      </c>
      <c r="E5130" t="s">
        <v>29</v>
      </c>
      <c r="F5130" t="s">
        <v>3962</v>
      </c>
    </row>
    <row r="5131" spans="1:10" x14ac:dyDescent="0.3">
      <c r="A5131" t="s">
        <v>5440</v>
      </c>
      <c r="B5131" t="s">
        <v>10413</v>
      </c>
      <c r="D5131">
        <v>0.5</v>
      </c>
      <c r="E5131" t="s">
        <v>29</v>
      </c>
      <c r="F5131" t="s">
        <v>10414</v>
      </c>
    </row>
    <row r="5132" spans="1:10" x14ac:dyDescent="0.3">
      <c r="A5132" t="s">
        <v>10415</v>
      </c>
      <c r="B5132" t="s">
        <v>10416</v>
      </c>
      <c r="D5132">
        <v>4</v>
      </c>
      <c r="E5132" t="s">
        <v>686</v>
      </c>
      <c r="F5132" t="s">
        <v>2178</v>
      </c>
    </row>
    <row r="5133" spans="1:10" x14ac:dyDescent="0.3">
      <c r="A5133" t="s">
        <v>3295</v>
      </c>
      <c r="B5133" t="s">
        <v>5429</v>
      </c>
      <c r="D5133">
        <v>1</v>
      </c>
      <c r="E5133" t="s">
        <v>11</v>
      </c>
      <c r="F5133" t="s">
        <v>5430</v>
      </c>
    </row>
    <row r="5134" spans="1:10" x14ac:dyDescent="0.3">
      <c r="A5134" t="s">
        <v>10417</v>
      </c>
      <c r="B5134" t="s">
        <v>3085</v>
      </c>
      <c r="D5134">
        <v>1</v>
      </c>
      <c r="E5134" t="s">
        <v>23</v>
      </c>
      <c r="F5134" t="s">
        <v>1059</v>
      </c>
    </row>
    <row r="5135" spans="1:10" x14ac:dyDescent="0.3">
      <c r="A5135" t="s">
        <v>10418</v>
      </c>
      <c r="B5135" t="s">
        <v>333</v>
      </c>
      <c r="F5135" t="s">
        <v>333</v>
      </c>
    </row>
    <row r="5136" spans="1:10" x14ac:dyDescent="0.3">
      <c r="A5136" t="s">
        <v>3827</v>
      </c>
      <c r="B5136" t="s">
        <v>6594</v>
      </c>
      <c r="D5136">
        <v>1</v>
      </c>
      <c r="F5136" t="s">
        <v>605</v>
      </c>
      <c r="G5136" t="s">
        <v>908</v>
      </c>
      <c r="J5136" t="s">
        <v>20</v>
      </c>
    </row>
    <row r="5137" spans="1:10" x14ac:dyDescent="0.3">
      <c r="A5137" t="s">
        <v>10419</v>
      </c>
      <c r="B5137" t="s">
        <v>841</v>
      </c>
      <c r="D5137">
        <v>1</v>
      </c>
      <c r="E5137" t="s">
        <v>23</v>
      </c>
      <c r="F5137" t="s">
        <v>10420</v>
      </c>
    </row>
    <row r="5138" spans="1:10" x14ac:dyDescent="0.3">
      <c r="A5138" t="s">
        <v>10421</v>
      </c>
      <c r="B5138" t="s">
        <v>3615</v>
      </c>
      <c r="D5138">
        <v>1</v>
      </c>
      <c r="E5138" t="s">
        <v>23</v>
      </c>
      <c r="F5138" t="s">
        <v>3177</v>
      </c>
    </row>
    <row r="5139" spans="1:10" x14ac:dyDescent="0.3">
      <c r="A5139" t="s">
        <v>10422</v>
      </c>
      <c r="B5139" t="s">
        <v>10423</v>
      </c>
      <c r="D5139">
        <v>3</v>
      </c>
      <c r="E5139" t="s">
        <v>84</v>
      </c>
      <c r="F5139" t="s">
        <v>1568</v>
      </c>
    </row>
    <row r="5140" spans="1:10" x14ac:dyDescent="0.3">
      <c r="A5140" t="s">
        <v>3972</v>
      </c>
      <c r="B5140" t="s">
        <v>10424</v>
      </c>
      <c r="D5140">
        <v>0.5</v>
      </c>
      <c r="E5140" t="s">
        <v>23</v>
      </c>
      <c r="F5140" t="s">
        <v>901</v>
      </c>
      <c r="J5140" t="s">
        <v>20</v>
      </c>
    </row>
    <row r="5141" spans="1:10" x14ac:dyDescent="0.3">
      <c r="A5141" t="s">
        <v>10425</v>
      </c>
      <c r="B5141" t="s">
        <v>3057</v>
      </c>
      <c r="D5141">
        <v>8</v>
      </c>
      <c r="E5141" t="s">
        <v>23</v>
      </c>
      <c r="F5141" t="s">
        <v>10426</v>
      </c>
      <c r="I5141" t="s">
        <v>10427</v>
      </c>
    </row>
    <row r="5142" spans="1:10" x14ac:dyDescent="0.3">
      <c r="A5142" t="s">
        <v>10428</v>
      </c>
      <c r="B5142" t="s">
        <v>10429</v>
      </c>
      <c r="D5142">
        <v>1</v>
      </c>
      <c r="E5142" t="s">
        <v>23</v>
      </c>
      <c r="F5142" t="s">
        <v>108</v>
      </c>
    </row>
    <row r="5143" spans="1:10" x14ac:dyDescent="0.3">
      <c r="A5143" t="s">
        <v>10430</v>
      </c>
      <c r="B5143" t="s">
        <v>3019</v>
      </c>
      <c r="D5143">
        <v>1.5</v>
      </c>
      <c r="E5143" t="s">
        <v>23</v>
      </c>
      <c r="F5143" t="s">
        <v>1209</v>
      </c>
    </row>
    <row r="5144" spans="1:10" x14ac:dyDescent="0.3">
      <c r="A5144" t="s">
        <v>9157</v>
      </c>
      <c r="B5144" t="s">
        <v>10431</v>
      </c>
      <c r="D5144">
        <v>3.5</v>
      </c>
      <c r="E5144" t="s">
        <v>345</v>
      </c>
      <c r="F5144" t="s">
        <v>10432</v>
      </c>
    </row>
    <row r="5145" spans="1:10" x14ac:dyDescent="0.3">
      <c r="A5145" t="s">
        <v>10433</v>
      </c>
      <c r="B5145" t="s">
        <v>2697</v>
      </c>
      <c r="D5145">
        <v>1</v>
      </c>
      <c r="E5145" t="s">
        <v>60</v>
      </c>
      <c r="F5145" t="s">
        <v>331</v>
      </c>
    </row>
    <row r="5146" spans="1:10" x14ac:dyDescent="0.3">
      <c r="A5146" t="s">
        <v>10434</v>
      </c>
      <c r="B5146" t="s">
        <v>10435</v>
      </c>
      <c r="D5146">
        <v>40</v>
      </c>
      <c r="E5146" t="s">
        <v>29</v>
      </c>
      <c r="F5146" t="s">
        <v>738</v>
      </c>
    </row>
    <row r="5147" spans="1:10" x14ac:dyDescent="0.3">
      <c r="A5147" t="s">
        <v>10436</v>
      </c>
      <c r="B5147" t="s">
        <v>10437</v>
      </c>
      <c r="D5147">
        <v>1</v>
      </c>
      <c r="E5147" t="s">
        <v>23</v>
      </c>
      <c r="F5147" t="s">
        <v>10438</v>
      </c>
    </row>
    <row r="5148" spans="1:10" x14ac:dyDescent="0.3">
      <c r="A5148" t="s">
        <v>1870</v>
      </c>
      <c r="B5148" t="s">
        <v>10439</v>
      </c>
      <c r="D5148">
        <v>0.5</v>
      </c>
      <c r="E5148" t="s">
        <v>206</v>
      </c>
      <c r="F5148" t="s">
        <v>38</v>
      </c>
    </row>
    <row r="5149" spans="1:10" x14ac:dyDescent="0.3">
      <c r="A5149" t="s">
        <v>1461</v>
      </c>
      <c r="B5149" t="s">
        <v>10440</v>
      </c>
      <c r="D5149">
        <v>4</v>
      </c>
      <c r="E5149" t="s">
        <v>71</v>
      </c>
      <c r="F5149" t="s">
        <v>1328</v>
      </c>
    </row>
    <row r="5150" spans="1:10" x14ac:dyDescent="0.3">
      <c r="A5150" t="s">
        <v>10441</v>
      </c>
      <c r="B5150" t="s">
        <v>80</v>
      </c>
      <c r="D5150">
        <v>0.5</v>
      </c>
      <c r="E5150" t="s">
        <v>37</v>
      </c>
      <c r="F5150" t="s">
        <v>81</v>
      </c>
    </row>
    <row r="5151" spans="1:10" x14ac:dyDescent="0.3">
      <c r="A5151" t="s">
        <v>10442</v>
      </c>
      <c r="B5151" t="s">
        <v>10443</v>
      </c>
      <c r="D5151">
        <v>1</v>
      </c>
      <c r="E5151" t="s">
        <v>23</v>
      </c>
      <c r="F5151" t="s">
        <v>10444</v>
      </c>
    </row>
    <row r="5152" spans="1:10" x14ac:dyDescent="0.3">
      <c r="A5152" t="s">
        <v>10445</v>
      </c>
      <c r="B5152" t="s">
        <v>1056</v>
      </c>
      <c r="F5152" t="s">
        <v>1056</v>
      </c>
    </row>
    <row r="5153" spans="1:10" x14ac:dyDescent="0.3">
      <c r="A5153" t="s">
        <v>4622</v>
      </c>
      <c r="B5153" t="s">
        <v>10446</v>
      </c>
      <c r="D5153">
        <v>25</v>
      </c>
      <c r="E5153" t="s">
        <v>29</v>
      </c>
      <c r="F5153" t="s">
        <v>262</v>
      </c>
    </row>
    <row r="5154" spans="1:10" x14ac:dyDescent="0.3">
      <c r="A5154" t="s">
        <v>10447</v>
      </c>
      <c r="B5154" t="s">
        <v>10448</v>
      </c>
      <c r="D5154">
        <v>1</v>
      </c>
      <c r="F5154" t="s">
        <v>183</v>
      </c>
      <c r="J5154" t="s">
        <v>289</v>
      </c>
    </row>
    <row r="5155" spans="1:10" x14ac:dyDescent="0.3">
      <c r="A5155" t="s">
        <v>10449</v>
      </c>
      <c r="B5155" t="s">
        <v>10450</v>
      </c>
      <c r="D5155">
        <v>1</v>
      </c>
      <c r="E5155" t="s">
        <v>10451</v>
      </c>
      <c r="F5155" t="s">
        <v>88</v>
      </c>
    </row>
    <row r="5156" spans="1:10" x14ac:dyDescent="0.3">
      <c r="A5156" t="s">
        <v>10452</v>
      </c>
      <c r="B5156" t="s">
        <v>10453</v>
      </c>
      <c r="D5156">
        <v>6</v>
      </c>
      <c r="E5156" t="s">
        <v>1338</v>
      </c>
      <c r="F5156" t="s">
        <v>10454</v>
      </c>
      <c r="J5156" t="s">
        <v>289</v>
      </c>
    </row>
    <row r="5157" spans="1:10" x14ac:dyDescent="0.3">
      <c r="A5157" t="s">
        <v>10455</v>
      </c>
      <c r="B5157" t="s">
        <v>10456</v>
      </c>
      <c r="D5157">
        <v>1.5</v>
      </c>
      <c r="E5157" t="s">
        <v>345</v>
      </c>
      <c r="F5157" t="s">
        <v>160</v>
      </c>
      <c r="G5157" t="s">
        <v>167</v>
      </c>
      <c r="H5157" t="s">
        <v>168</v>
      </c>
      <c r="J5157" t="s">
        <v>325</v>
      </c>
    </row>
    <row r="5158" spans="1:10" x14ac:dyDescent="0.3">
      <c r="A5158" t="s">
        <v>10457</v>
      </c>
      <c r="B5158" t="s">
        <v>10458</v>
      </c>
      <c r="D5158">
        <v>75</v>
      </c>
      <c r="E5158" t="s">
        <v>29</v>
      </c>
      <c r="F5158" t="s">
        <v>3366</v>
      </c>
    </row>
    <row r="5159" spans="1:10" x14ac:dyDescent="0.3">
      <c r="A5159" t="s">
        <v>10459</v>
      </c>
      <c r="B5159" t="s">
        <v>10460</v>
      </c>
      <c r="D5159">
        <v>2</v>
      </c>
      <c r="E5159" t="s">
        <v>176</v>
      </c>
      <c r="F5159" t="s">
        <v>645</v>
      </c>
    </row>
    <row r="5160" spans="1:10" x14ac:dyDescent="0.3">
      <c r="A5160" t="s">
        <v>6118</v>
      </c>
      <c r="B5160" t="s">
        <v>638</v>
      </c>
      <c r="F5160" t="s">
        <v>638</v>
      </c>
    </row>
    <row r="5161" spans="1:10" x14ac:dyDescent="0.3">
      <c r="A5161" t="s">
        <v>7525</v>
      </c>
      <c r="B5161" t="s">
        <v>333</v>
      </c>
      <c r="F5161" t="s">
        <v>333</v>
      </c>
    </row>
    <row r="5162" spans="1:10" x14ac:dyDescent="0.3">
      <c r="A5162" t="s">
        <v>10461</v>
      </c>
      <c r="B5162" t="s">
        <v>10462</v>
      </c>
      <c r="D5162">
        <v>30</v>
      </c>
      <c r="E5162" t="s">
        <v>4211</v>
      </c>
      <c r="F5162" t="s">
        <v>281</v>
      </c>
    </row>
    <row r="5163" spans="1:10" x14ac:dyDescent="0.3">
      <c r="A5163" t="s">
        <v>10463</v>
      </c>
      <c r="B5163" t="s">
        <v>10464</v>
      </c>
      <c r="F5163" t="s">
        <v>10465</v>
      </c>
      <c r="J5163" t="s">
        <v>10466</v>
      </c>
    </row>
    <row r="5164" spans="1:10" x14ac:dyDescent="0.3">
      <c r="A5164" t="s">
        <v>10467</v>
      </c>
      <c r="B5164" t="s">
        <v>792</v>
      </c>
      <c r="D5164">
        <v>0.5</v>
      </c>
      <c r="E5164" t="s">
        <v>11</v>
      </c>
      <c r="F5164" t="s">
        <v>793</v>
      </c>
    </row>
    <row r="5165" spans="1:10" x14ac:dyDescent="0.3">
      <c r="A5165" t="s">
        <v>10468</v>
      </c>
      <c r="B5165" t="s">
        <v>3600</v>
      </c>
      <c r="D5165">
        <v>1</v>
      </c>
      <c r="E5165" t="s">
        <v>11</v>
      </c>
      <c r="F5165" t="s">
        <v>2211</v>
      </c>
    </row>
    <row r="5166" spans="1:10" x14ac:dyDescent="0.3">
      <c r="A5166" t="s">
        <v>9413</v>
      </c>
      <c r="B5166" t="s">
        <v>10469</v>
      </c>
      <c r="D5166">
        <v>1.5</v>
      </c>
      <c r="E5166" t="s">
        <v>23</v>
      </c>
      <c r="F5166" t="s">
        <v>1816</v>
      </c>
    </row>
    <row r="5167" spans="1:10" x14ac:dyDescent="0.3">
      <c r="A5167" t="s">
        <v>3781</v>
      </c>
      <c r="B5167" t="s">
        <v>10470</v>
      </c>
      <c r="D5167">
        <v>15</v>
      </c>
      <c r="E5167" t="s">
        <v>29</v>
      </c>
      <c r="F5167" t="s">
        <v>10471</v>
      </c>
    </row>
    <row r="5168" spans="1:10" x14ac:dyDescent="0.3">
      <c r="A5168" t="s">
        <v>2232</v>
      </c>
      <c r="B5168" t="s">
        <v>10472</v>
      </c>
      <c r="D5168">
        <v>20</v>
      </c>
      <c r="F5168" t="s">
        <v>538</v>
      </c>
    </row>
    <row r="5169" spans="1:10" x14ac:dyDescent="0.3">
      <c r="A5169" t="s">
        <v>10473</v>
      </c>
      <c r="B5169" t="s">
        <v>10474</v>
      </c>
      <c r="D5169">
        <v>1</v>
      </c>
      <c r="E5169" t="s">
        <v>23</v>
      </c>
      <c r="F5169" t="s">
        <v>10475</v>
      </c>
    </row>
    <row r="5170" spans="1:10" x14ac:dyDescent="0.3">
      <c r="A5170" t="s">
        <v>10476</v>
      </c>
      <c r="B5170" t="s">
        <v>10477</v>
      </c>
      <c r="D5170" t="s">
        <v>1577</v>
      </c>
      <c r="E5170" t="s">
        <v>23</v>
      </c>
      <c r="F5170" t="s">
        <v>374</v>
      </c>
    </row>
    <row r="5171" spans="1:10" x14ac:dyDescent="0.3">
      <c r="A5171" t="s">
        <v>5876</v>
      </c>
      <c r="B5171" t="s">
        <v>10478</v>
      </c>
      <c r="D5171">
        <v>1</v>
      </c>
      <c r="E5171" t="s">
        <v>11</v>
      </c>
      <c r="F5171" t="s">
        <v>1674</v>
      </c>
    </row>
    <row r="5172" spans="1:10" x14ac:dyDescent="0.3">
      <c r="A5172" t="s">
        <v>10479</v>
      </c>
      <c r="B5172" t="s">
        <v>10480</v>
      </c>
      <c r="D5172">
        <v>3</v>
      </c>
      <c r="E5172" t="s">
        <v>84</v>
      </c>
      <c r="F5172" t="s">
        <v>1248</v>
      </c>
      <c r="J5172" t="s">
        <v>289</v>
      </c>
    </row>
    <row r="5173" spans="1:10" x14ac:dyDescent="0.3">
      <c r="A5173" t="s">
        <v>10481</v>
      </c>
      <c r="B5173" t="s">
        <v>3496</v>
      </c>
      <c r="D5173">
        <v>2</v>
      </c>
      <c r="E5173" t="s">
        <v>23</v>
      </c>
      <c r="F5173" t="s">
        <v>281</v>
      </c>
    </row>
    <row r="5174" spans="1:10" x14ac:dyDescent="0.3">
      <c r="A5174" t="s">
        <v>10482</v>
      </c>
      <c r="B5174" t="s">
        <v>968</v>
      </c>
      <c r="D5174">
        <v>1</v>
      </c>
      <c r="E5174" t="s">
        <v>23</v>
      </c>
      <c r="F5174" t="s">
        <v>199</v>
      </c>
    </row>
    <row r="5175" spans="1:10" x14ac:dyDescent="0.3">
      <c r="A5175" t="s">
        <v>445</v>
      </c>
      <c r="B5175" t="s">
        <v>10483</v>
      </c>
      <c r="D5175">
        <v>1.5</v>
      </c>
      <c r="E5175" t="s">
        <v>345</v>
      </c>
      <c r="F5175" t="s">
        <v>8362</v>
      </c>
    </row>
    <row r="5176" spans="1:10" x14ac:dyDescent="0.3">
      <c r="A5176" t="s">
        <v>10484</v>
      </c>
      <c r="B5176" t="s">
        <v>10485</v>
      </c>
      <c r="D5176">
        <v>1</v>
      </c>
      <c r="E5176" t="s">
        <v>23</v>
      </c>
      <c r="F5176" t="s">
        <v>10006</v>
      </c>
    </row>
    <row r="5177" spans="1:10" x14ac:dyDescent="0.3">
      <c r="A5177" t="s">
        <v>10486</v>
      </c>
      <c r="B5177" t="s">
        <v>10487</v>
      </c>
      <c r="D5177">
        <v>0.75</v>
      </c>
      <c r="E5177" t="s">
        <v>23</v>
      </c>
      <c r="F5177" t="s">
        <v>10488</v>
      </c>
    </row>
    <row r="5178" spans="1:10" x14ac:dyDescent="0.3">
      <c r="A5178" t="s">
        <v>10489</v>
      </c>
      <c r="B5178" t="s">
        <v>10490</v>
      </c>
      <c r="D5178">
        <v>0.25</v>
      </c>
      <c r="E5178" t="s">
        <v>23</v>
      </c>
      <c r="F5178" t="s">
        <v>4580</v>
      </c>
    </row>
    <row r="5179" spans="1:10" x14ac:dyDescent="0.3">
      <c r="A5179" t="s">
        <v>705</v>
      </c>
      <c r="B5179" t="s">
        <v>10491</v>
      </c>
      <c r="D5179">
        <v>0.25</v>
      </c>
      <c r="E5179" t="s">
        <v>284</v>
      </c>
      <c r="F5179" t="s">
        <v>3710</v>
      </c>
    </row>
    <row r="5180" spans="1:10" x14ac:dyDescent="0.3">
      <c r="A5180" t="s">
        <v>10492</v>
      </c>
      <c r="B5180" t="s">
        <v>10493</v>
      </c>
      <c r="D5180">
        <v>0.75</v>
      </c>
      <c r="E5180" t="s">
        <v>37</v>
      </c>
      <c r="F5180" t="s">
        <v>10494</v>
      </c>
    </row>
    <row r="5181" spans="1:10" x14ac:dyDescent="0.3">
      <c r="A5181" t="s">
        <v>10495</v>
      </c>
      <c r="B5181" t="s">
        <v>10496</v>
      </c>
      <c r="D5181">
        <v>16</v>
      </c>
      <c r="E5181" t="s">
        <v>23</v>
      </c>
      <c r="F5181" t="s">
        <v>1980</v>
      </c>
    </row>
    <row r="5182" spans="1:10" x14ac:dyDescent="0.3">
      <c r="A5182" t="s">
        <v>10497</v>
      </c>
      <c r="B5182" t="s">
        <v>9688</v>
      </c>
      <c r="D5182">
        <v>1</v>
      </c>
      <c r="E5182" t="s">
        <v>23</v>
      </c>
      <c r="F5182" t="s">
        <v>638</v>
      </c>
    </row>
    <row r="5183" spans="1:10" x14ac:dyDescent="0.3">
      <c r="A5183" t="s">
        <v>10498</v>
      </c>
      <c r="B5183" t="s">
        <v>10499</v>
      </c>
      <c r="D5183">
        <v>2</v>
      </c>
      <c r="E5183" t="s">
        <v>345</v>
      </c>
      <c r="F5183" t="s">
        <v>10500</v>
      </c>
    </row>
    <row r="5184" spans="1:10" x14ac:dyDescent="0.3">
      <c r="A5184" t="s">
        <v>10501</v>
      </c>
      <c r="B5184" t="s">
        <v>10502</v>
      </c>
      <c r="D5184">
        <v>2</v>
      </c>
      <c r="E5184" t="s">
        <v>71</v>
      </c>
      <c r="F5184" t="s">
        <v>160</v>
      </c>
      <c r="G5184" t="s">
        <v>167</v>
      </c>
      <c r="H5184" t="s">
        <v>68</v>
      </c>
    </row>
    <row r="5185" spans="1:10" x14ac:dyDescent="0.3">
      <c r="A5185" t="s">
        <v>10503</v>
      </c>
      <c r="B5185" t="s">
        <v>10504</v>
      </c>
      <c r="D5185">
        <v>1</v>
      </c>
      <c r="E5185" t="s">
        <v>11</v>
      </c>
      <c r="F5185" t="s">
        <v>10505</v>
      </c>
    </row>
    <row r="5186" spans="1:10" x14ac:dyDescent="0.3">
      <c r="A5186" t="s">
        <v>10506</v>
      </c>
      <c r="B5186" t="s">
        <v>10507</v>
      </c>
      <c r="F5186" t="s">
        <v>1011</v>
      </c>
      <c r="I5186" t="s">
        <v>10427</v>
      </c>
      <c r="J5186" t="s">
        <v>65</v>
      </c>
    </row>
    <row r="5187" spans="1:10" x14ac:dyDescent="0.3">
      <c r="A5187" t="s">
        <v>6523</v>
      </c>
      <c r="B5187" t="s">
        <v>1596</v>
      </c>
      <c r="D5187">
        <v>1</v>
      </c>
      <c r="E5187" t="s">
        <v>18</v>
      </c>
      <c r="F5187" t="s">
        <v>190</v>
      </c>
    </row>
    <row r="5188" spans="1:10" x14ac:dyDescent="0.3">
      <c r="A5188" t="s">
        <v>10508</v>
      </c>
      <c r="B5188" t="s">
        <v>152</v>
      </c>
      <c r="F5188" t="s">
        <v>152</v>
      </c>
    </row>
    <row r="5189" spans="1:10" x14ac:dyDescent="0.3">
      <c r="A5189" t="s">
        <v>9754</v>
      </c>
      <c r="B5189" t="s">
        <v>591</v>
      </c>
      <c r="F5189" t="s">
        <v>591</v>
      </c>
    </row>
    <row r="5190" spans="1:10" x14ac:dyDescent="0.3">
      <c r="A5190" t="s">
        <v>10509</v>
      </c>
      <c r="B5190" t="s">
        <v>7005</v>
      </c>
      <c r="D5190">
        <v>2</v>
      </c>
      <c r="E5190" t="s">
        <v>23</v>
      </c>
      <c r="F5190" t="s">
        <v>262</v>
      </c>
    </row>
    <row r="5191" spans="1:10" x14ac:dyDescent="0.3">
      <c r="A5191" t="s">
        <v>10510</v>
      </c>
      <c r="B5191" t="s">
        <v>10511</v>
      </c>
      <c r="D5191">
        <v>0.5</v>
      </c>
      <c r="E5191" t="s">
        <v>460</v>
      </c>
      <c r="F5191" t="s">
        <v>160</v>
      </c>
      <c r="H5191" t="s">
        <v>68</v>
      </c>
    </row>
    <row r="5192" spans="1:10" x14ac:dyDescent="0.3">
      <c r="A5192" t="s">
        <v>10512</v>
      </c>
      <c r="B5192" t="s">
        <v>10513</v>
      </c>
      <c r="D5192">
        <v>1</v>
      </c>
      <c r="E5192" t="s">
        <v>10514</v>
      </c>
      <c r="F5192" t="s">
        <v>183</v>
      </c>
    </row>
    <row r="5193" spans="1:10" x14ac:dyDescent="0.3">
      <c r="A5193" t="s">
        <v>1768</v>
      </c>
      <c r="B5193" t="s">
        <v>10515</v>
      </c>
      <c r="F5193" t="s">
        <v>3218</v>
      </c>
      <c r="J5193" t="s">
        <v>2175</v>
      </c>
    </row>
    <row r="5194" spans="1:10" x14ac:dyDescent="0.3">
      <c r="A5194" t="s">
        <v>330</v>
      </c>
      <c r="B5194" t="s">
        <v>402</v>
      </c>
      <c r="F5194" t="s">
        <v>402</v>
      </c>
    </row>
    <row r="5195" spans="1:10" x14ac:dyDescent="0.3">
      <c r="A5195" t="s">
        <v>10516</v>
      </c>
      <c r="B5195" t="s">
        <v>825</v>
      </c>
      <c r="F5195" t="s">
        <v>825</v>
      </c>
    </row>
    <row r="5196" spans="1:10" x14ac:dyDescent="0.3">
      <c r="A5196" t="s">
        <v>10517</v>
      </c>
      <c r="B5196" t="s">
        <v>1430</v>
      </c>
      <c r="D5196">
        <v>25</v>
      </c>
      <c r="E5196" t="s">
        <v>29</v>
      </c>
      <c r="F5196" t="s">
        <v>1431</v>
      </c>
    </row>
    <row r="5197" spans="1:10" x14ac:dyDescent="0.3">
      <c r="A5197" t="s">
        <v>10518</v>
      </c>
      <c r="B5197" t="s">
        <v>4517</v>
      </c>
      <c r="D5197">
        <v>1.5</v>
      </c>
      <c r="E5197" t="s">
        <v>23</v>
      </c>
      <c r="F5197" t="s">
        <v>2434</v>
      </c>
    </row>
    <row r="5198" spans="1:10" x14ac:dyDescent="0.3">
      <c r="A5198" t="s">
        <v>10519</v>
      </c>
      <c r="B5198" t="s">
        <v>1179</v>
      </c>
      <c r="D5198">
        <v>1</v>
      </c>
      <c r="E5198" t="s">
        <v>23</v>
      </c>
      <c r="F5198" t="s">
        <v>233</v>
      </c>
    </row>
    <row r="5199" spans="1:10" x14ac:dyDescent="0.3">
      <c r="A5199" t="s">
        <v>875</v>
      </c>
      <c r="B5199" t="s">
        <v>10520</v>
      </c>
      <c r="D5199">
        <v>2</v>
      </c>
      <c r="E5199" t="s">
        <v>91</v>
      </c>
      <c r="F5199" t="s">
        <v>7684</v>
      </c>
    </row>
    <row r="5200" spans="1:10" x14ac:dyDescent="0.3">
      <c r="A5200" t="s">
        <v>10521</v>
      </c>
      <c r="B5200" t="s">
        <v>10522</v>
      </c>
      <c r="D5200">
        <v>2</v>
      </c>
      <c r="E5200" t="s">
        <v>91</v>
      </c>
      <c r="F5200" t="s">
        <v>10523</v>
      </c>
    </row>
    <row r="5201" spans="1:10" x14ac:dyDescent="0.3">
      <c r="A5201" t="s">
        <v>10524</v>
      </c>
      <c r="B5201" t="s">
        <v>9189</v>
      </c>
      <c r="D5201">
        <v>1</v>
      </c>
      <c r="E5201" t="s">
        <v>23</v>
      </c>
      <c r="F5201" t="s">
        <v>4797</v>
      </c>
    </row>
    <row r="5202" spans="1:10" x14ac:dyDescent="0.3">
      <c r="A5202" t="s">
        <v>10525</v>
      </c>
      <c r="B5202" t="s">
        <v>10526</v>
      </c>
      <c r="D5202">
        <v>0.75</v>
      </c>
      <c r="E5202" t="s">
        <v>904</v>
      </c>
      <c r="F5202" t="s">
        <v>199</v>
      </c>
    </row>
    <row r="5203" spans="1:10" x14ac:dyDescent="0.3">
      <c r="A5203" t="s">
        <v>10527</v>
      </c>
      <c r="B5203" t="s">
        <v>6556</v>
      </c>
      <c r="D5203">
        <v>10.5</v>
      </c>
      <c r="E5203" t="s">
        <v>23</v>
      </c>
      <c r="F5203" t="s">
        <v>1416</v>
      </c>
    </row>
    <row r="5204" spans="1:10" x14ac:dyDescent="0.3">
      <c r="A5204" t="s">
        <v>10528</v>
      </c>
      <c r="B5204" t="s">
        <v>10529</v>
      </c>
      <c r="D5204">
        <v>1</v>
      </c>
      <c r="E5204" t="s">
        <v>23</v>
      </c>
      <c r="F5204" t="s">
        <v>10530</v>
      </c>
    </row>
    <row r="5205" spans="1:10" x14ac:dyDescent="0.3">
      <c r="A5205" t="s">
        <v>10419</v>
      </c>
      <c r="B5205" t="s">
        <v>10531</v>
      </c>
      <c r="D5205">
        <v>1</v>
      </c>
      <c r="E5205" t="s">
        <v>91</v>
      </c>
      <c r="F5205" t="s">
        <v>95</v>
      </c>
    </row>
    <row r="5206" spans="1:10" x14ac:dyDescent="0.3">
      <c r="A5206" t="s">
        <v>10532</v>
      </c>
      <c r="B5206" t="s">
        <v>10533</v>
      </c>
      <c r="D5206">
        <v>12</v>
      </c>
      <c r="E5206" t="s">
        <v>23</v>
      </c>
      <c r="F5206" t="s">
        <v>444</v>
      </c>
    </row>
    <row r="5207" spans="1:10" x14ac:dyDescent="0.3">
      <c r="A5207" t="s">
        <v>10534</v>
      </c>
      <c r="B5207" t="s">
        <v>10535</v>
      </c>
      <c r="D5207">
        <v>0.5</v>
      </c>
      <c r="E5207" t="s">
        <v>23</v>
      </c>
      <c r="F5207" t="s">
        <v>102</v>
      </c>
    </row>
    <row r="5208" spans="1:10" x14ac:dyDescent="0.3">
      <c r="A5208" t="s">
        <v>10536</v>
      </c>
      <c r="B5208" t="s">
        <v>2579</v>
      </c>
      <c r="D5208">
        <v>2</v>
      </c>
      <c r="E5208" t="s">
        <v>345</v>
      </c>
      <c r="F5208" t="s">
        <v>81</v>
      </c>
    </row>
    <row r="5209" spans="1:10" x14ac:dyDescent="0.3">
      <c r="A5209" t="s">
        <v>10537</v>
      </c>
      <c r="B5209" t="s">
        <v>10538</v>
      </c>
      <c r="D5209">
        <v>15</v>
      </c>
      <c r="E5209" t="s">
        <v>29</v>
      </c>
      <c r="F5209" t="s">
        <v>10539</v>
      </c>
    </row>
    <row r="5210" spans="1:10" x14ac:dyDescent="0.3">
      <c r="A5210" t="s">
        <v>10540</v>
      </c>
      <c r="B5210" t="s">
        <v>1056</v>
      </c>
      <c r="F5210" t="s">
        <v>1056</v>
      </c>
    </row>
    <row r="5211" spans="1:10" x14ac:dyDescent="0.3">
      <c r="A5211" t="s">
        <v>10541</v>
      </c>
      <c r="B5211" t="s">
        <v>10542</v>
      </c>
      <c r="D5211">
        <v>2</v>
      </c>
      <c r="E5211" t="s">
        <v>23</v>
      </c>
      <c r="F5211" t="s">
        <v>10543</v>
      </c>
      <c r="J5211" t="s">
        <v>3032</v>
      </c>
    </row>
    <row r="5212" spans="1:10" x14ac:dyDescent="0.3">
      <c r="A5212" t="s">
        <v>10544</v>
      </c>
      <c r="B5212" t="s">
        <v>6227</v>
      </c>
      <c r="D5212">
        <v>2</v>
      </c>
      <c r="E5212" t="s">
        <v>23</v>
      </c>
      <c r="F5212" t="s">
        <v>712</v>
      </c>
    </row>
    <row r="5213" spans="1:10" x14ac:dyDescent="0.3">
      <c r="A5213" t="s">
        <v>10545</v>
      </c>
      <c r="B5213" t="s">
        <v>10546</v>
      </c>
      <c r="D5213">
        <v>1</v>
      </c>
      <c r="E5213" t="s">
        <v>6691</v>
      </c>
      <c r="F5213" t="s">
        <v>10547</v>
      </c>
      <c r="J5213" t="s">
        <v>5798</v>
      </c>
    </row>
    <row r="5214" spans="1:10" x14ac:dyDescent="0.3">
      <c r="A5214" t="s">
        <v>5171</v>
      </c>
      <c r="B5214" t="s">
        <v>2815</v>
      </c>
      <c r="F5214" t="s">
        <v>2815</v>
      </c>
    </row>
    <row r="5215" spans="1:10" x14ac:dyDescent="0.3">
      <c r="A5215" t="s">
        <v>10548</v>
      </c>
      <c r="B5215" t="s">
        <v>10549</v>
      </c>
      <c r="D5215">
        <v>1</v>
      </c>
      <c r="E5215" t="s">
        <v>23</v>
      </c>
      <c r="F5215" t="s">
        <v>10550</v>
      </c>
    </row>
    <row r="5216" spans="1:10" x14ac:dyDescent="0.3">
      <c r="A5216" t="s">
        <v>5446</v>
      </c>
      <c r="B5216" t="s">
        <v>7062</v>
      </c>
      <c r="D5216">
        <v>1</v>
      </c>
      <c r="E5216" t="s">
        <v>23</v>
      </c>
      <c r="F5216" t="s">
        <v>7063</v>
      </c>
    </row>
    <row r="5217" spans="1:10" x14ac:dyDescent="0.3">
      <c r="A5217" t="s">
        <v>10551</v>
      </c>
      <c r="B5217" t="s">
        <v>3697</v>
      </c>
      <c r="D5217">
        <v>1</v>
      </c>
      <c r="E5217" t="s">
        <v>11</v>
      </c>
      <c r="F5217" t="s">
        <v>10552</v>
      </c>
      <c r="J5217" t="s">
        <v>20</v>
      </c>
    </row>
    <row r="5218" spans="1:10" x14ac:dyDescent="0.3">
      <c r="A5218" t="s">
        <v>10553</v>
      </c>
      <c r="B5218" t="s">
        <v>10554</v>
      </c>
      <c r="D5218">
        <v>0.25</v>
      </c>
      <c r="E5218" t="s">
        <v>37</v>
      </c>
      <c r="F5218" t="s">
        <v>10555</v>
      </c>
    </row>
    <row r="5219" spans="1:10" x14ac:dyDescent="0.3">
      <c r="A5219" t="s">
        <v>10556</v>
      </c>
      <c r="B5219" t="s">
        <v>3153</v>
      </c>
      <c r="D5219">
        <v>2</v>
      </c>
      <c r="E5219" t="s">
        <v>345</v>
      </c>
      <c r="F5219" t="s">
        <v>220</v>
      </c>
    </row>
    <row r="5220" spans="1:10" x14ac:dyDescent="0.3">
      <c r="A5220" t="s">
        <v>10557</v>
      </c>
      <c r="B5220" t="s">
        <v>10558</v>
      </c>
      <c r="D5220">
        <v>0.5</v>
      </c>
      <c r="E5220" t="s">
        <v>2210</v>
      </c>
      <c r="F5220" t="s">
        <v>1816</v>
      </c>
    </row>
    <row r="5221" spans="1:10" x14ac:dyDescent="0.3">
      <c r="A5221" t="s">
        <v>10559</v>
      </c>
      <c r="B5221" t="s">
        <v>10560</v>
      </c>
      <c r="D5221">
        <v>4</v>
      </c>
      <c r="E5221" t="s">
        <v>23</v>
      </c>
      <c r="F5221" t="s">
        <v>233</v>
      </c>
    </row>
    <row r="5222" spans="1:10" x14ac:dyDescent="0.3">
      <c r="A5222" t="s">
        <v>10561</v>
      </c>
      <c r="B5222" t="s">
        <v>10562</v>
      </c>
      <c r="D5222">
        <v>25</v>
      </c>
      <c r="E5222" t="s">
        <v>29</v>
      </c>
      <c r="F5222" t="s">
        <v>2875</v>
      </c>
    </row>
    <row r="5223" spans="1:10" x14ac:dyDescent="0.3">
      <c r="A5223" t="s">
        <v>10563</v>
      </c>
      <c r="B5223" t="s">
        <v>10564</v>
      </c>
      <c r="D5223">
        <v>0.75</v>
      </c>
      <c r="E5223" t="s">
        <v>23</v>
      </c>
      <c r="F5223" t="s">
        <v>758</v>
      </c>
    </row>
    <row r="5224" spans="1:10" x14ac:dyDescent="0.3">
      <c r="A5224" t="s">
        <v>1642</v>
      </c>
      <c r="B5224" t="s">
        <v>804</v>
      </c>
      <c r="D5224">
        <v>1</v>
      </c>
      <c r="E5224" t="s">
        <v>37</v>
      </c>
      <c r="F5224" t="s">
        <v>160</v>
      </c>
    </row>
    <row r="5225" spans="1:10" x14ac:dyDescent="0.3">
      <c r="A5225" t="s">
        <v>10565</v>
      </c>
      <c r="B5225" t="s">
        <v>607</v>
      </c>
      <c r="D5225">
        <v>0.5</v>
      </c>
      <c r="E5225" t="s">
        <v>23</v>
      </c>
      <c r="F5225" t="s">
        <v>10566</v>
      </c>
    </row>
    <row r="5226" spans="1:10" x14ac:dyDescent="0.3">
      <c r="A5226" t="s">
        <v>10567</v>
      </c>
      <c r="B5226" t="s">
        <v>10047</v>
      </c>
      <c r="D5226">
        <v>0.5</v>
      </c>
      <c r="E5226" t="s">
        <v>23</v>
      </c>
      <c r="F5226" t="s">
        <v>10048</v>
      </c>
    </row>
    <row r="5227" spans="1:10" x14ac:dyDescent="0.3">
      <c r="A5227" t="s">
        <v>10568</v>
      </c>
      <c r="B5227" t="s">
        <v>3434</v>
      </c>
      <c r="D5227">
        <v>1.5</v>
      </c>
      <c r="E5227" t="s">
        <v>23</v>
      </c>
      <c r="F5227" t="s">
        <v>281</v>
      </c>
    </row>
    <row r="5228" spans="1:10" x14ac:dyDescent="0.3">
      <c r="A5228" t="s">
        <v>10569</v>
      </c>
      <c r="B5228" t="s">
        <v>10570</v>
      </c>
      <c r="D5228">
        <v>1</v>
      </c>
      <c r="E5228" t="s">
        <v>23</v>
      </c>
      <c r="F5228" t="s">
        <v>10571</v>
      </c>
    </row>
    <row r="5229" spans="1:10" x14ac:dyDescent="0.3">
      <c r="A5229" t="s">
        <v>10572</v>
      </c>
      <c r="B5229" t="s">
        <v>10573</v>
      </c>
      <c r="D5229">
        <v>2</v>
      </c>
      <c r="E5229" t="s">
        <v>2826</v>
      </c>
      <c r="F5229" t="s">
        <v>2424</v>
      </c>
    </row>
    <row r="5230" spans="1:10" x14ac:dyDescent="0.3">
      <c r="A5230" t="s">
        <v>161</v>
      </c>
      <c r="B5230" t="s">
        <v>10574</v>
      </c>
      <c r="D5230">
        <v>0.5</v>
      </c>
      <c r="E5230" t="s">
        <v>23</v>
      </c>
      <c r="F5230" t="s">
        <v>10575</v>
      </c>
    </row>
    <row r="5231" spans="1:10" x14ac:dyDescent="0.3">
      <c r="A5231" t="s">
        <v>1845</v>
      </c>
      <c r="B5231" t="s">
        <v>6082</v>
      </c>
      <c r="D5231">
        <v>0.5</v>
      </c>
      <c r="E5231" t="s">
        <v>23</v>
      </c>
      <c r="F5231" t="s">
        <v>183</v>
      </c>
      <c r="H5231" t="s">
        <v>814</v>
      </c>
    </row>
    <row r="5232" spans="1:10" x14ac:dyDescent="0.3">
      <c r="A5232" t="s">
        <v>10576</v>
      </c>
      <c r="B5232" t="s">
        <v>10577</v>
      </c>
      <c r="F5232" t="s">
        <v>10578</v>
      </c>
      <c r="G5232" t="s">
        <v>10579</v>
      </c>
      <c r="J5232" t="s">
        <v>1124</v>
      </c>
    </row>
    <row r="5233" spans="1:10" x14ac:dyDescent="0.3">
      <c r="A5233" t="s">
        <v>10580</v>
      </c>
      <c r="B5233" t="s">
        <v>1193</v>
      </c>
      <c r="F5233" t="s">
        <v>1193</v>
      </c>
    </row>
    <row r="5234" spans="1:10" x14ac:dyDescent="0.3">
      <c r="A5234" t="s">
        <v>1975</v>
      </c>
      <c r="B5234" t="s">
        <v>10581</v>
      </c>
      <c r="D5234">
        <v>0.25</v>
      </c>
      <c r="E5234" t="s">
        <v>460</v>
      </c>
      <c r="F5234" t="s">
        <v>88</v>
      </c>
    </row>
    <row r="5235" spans="1:10" x14ac:dyDescent="0.3">
      <c r="A5235" t="s">
        <v>6361</v>
      </c>
      <c r="B5235" t="s">
        <v>98</v>
      </c>
      <c r="F5235" t="s">
        <v>98</v>
      </c>
    </row>
    <row r="5236" spans="1:10" x14ac:dyDescent="0.3">
      <c r="A5236" t="s">
        <v>8798</v>
      </c>
      <c r="B5236" t="s">
        <v>10582</v>
      </c>
      <c r="D5236">
        <v>0.37</v>
      </c>
      <c r="E5236" t="s">
        <v>71</v>
      </c>
      <c r="F5236" t="s">
        <v>10583</v>
      </c>
      <c r="J5236" t="s">
        <v>10584</v>
      </c>
    </row>
    <row r="5237" spans="1:10" x14ac:dyDescent="0.3">
      <c r="A5237" t="s">
        <v>10585</v>
      </c>
      <c r="B5237" t="s">
        <v>8002</v>
      </c>
      <c r="D5237">
        <v>0.5</v>
      </c>
      <c r="E5237" t="s">
        <v>284</v>
      </c>
      <c r="F5237" t="s">
        <v>2078</v>
      </c>
      <c r="G5237" t="s">
        <v>2079</v>
      </c>
    </row>
    <row r="5238" spans="1:10" x14ac:dyDescent="0.3">
      <c r="A5238" t="s">
        <v>10586</v>
      </c>
      <c r="B5238" t="s">
        <v>10587</v>
      </c>
      <c r="E5238" t="s">
        <v>236</v>
      </c>
      <c r="F5238" t="s">
        <v>10588</v>
      </c>
      <c r="J5238" t="s">
        <v>3287</v>
      </c>
    </row>
    <row r="5239" spans="1:10" x14ac:dyDescent="0.3">
      <c r="A5239" t="s">
        <v>10589</v>
      </c>
      <c r="B5239" t="s">
        <v>10590</v>
      </c>
      <c r="D5239">
        <v>5</v>
      </c>
      <c r="E5239" t="s">
        <v>29</v>
      </c>
      <c r="F5239" t="s">
        <v>817</v>
      </c>
    </row>
    <row r="5240" spans="1:10" x14ac:dyDescent="0.3">
      <c r="A5240" t="s">
        <v>7689</v>
      </c>
      <c r="B5240" t="s">
        <v>4558</v>
      </c>
      <c r="D5240">
        <v>150</v>
      </c>
      <c r="E5240" t="s">
        <v>29</v>
      </c>
      <c r="F5240" t="s">
        <v>765</v>
      </c>
    </row>
    <row r="5241" spans="1:10" x14ac:dyDescent="0.3">
      <c r="A5241" t="s">
        <v>6171</v>
      </c>
      <c r="B5241" t="s">
        <v>10591</v>
      </c>
      <c r="D5241">
        <v>0.75</v>
      </c>
      <c r="E5241" t="s">
        <v>23</v>
      </c>
      <c r="F5241" t="s">
        <v>3283</v>
      </c>
    </row>
    <row r="5242" spans="1:10" x14ac:dyDescent="0.3">
      <c r="A5242" t="s">
        <v>10592</v>
      </c>
      <c r="B5242" t="s">
        <v>1107</v>
      </c>
      <c r="D5242">
        <v>1</v>
      </c>
      <c r="E5242" t="s">
        <v>23</v>
      </c>
      <c r="F5242" t="s">
        <v>374</v>
      </c>
    </row>
    <row r="5243" spans="1:10" x14ac:dyDescent="0.3">
      <c r="A5243" t="s">
        <v>10593</v>
      </c>
      <c r="B5243" t="s">
        <v>2844</v>
      </c>
      <c r="D5243">
        <v>25</v>
      </c>
      <c r="E5243" t="s">
        <v>29</v>
      </c>
      <c r="F5243" t="s">
        <v>183</v>
      </c>
    </row>
    <row r="5244" spans="1:10" x14ac:dyDescent="0.3">
      <c r="A5244" t="s">
        <v>1724</v>
      </c>
      <c r="B5244" t="s">
        <v>3925</v>
      </c>
      <c r="D5244">
        <v>0.5</v>
      </c>
      <c r="E5244" t="s">
        <v>23</v>
      </c>
      <c r="F5244" t="s">
        <v>183</v>
      </c>
    </row>
    <row r="5245" spans="1:10" x14ac:dyDescent="0.3">
      <c r="A5245" t="s">
        <v>5530</v>
      </c>
      <c r="B5245" t="s">
        <v>10594</v>
      </c>
      <c r="D5245">
        <v>0.5</v>
      </c>
      <c r="E5245" t="s">
        <v>37</v>
      </c>
      <c r="F5245" t="s">
        <v>10595</v>
      </c>
    </row>
    <row r="5246" spans="1:10" x14ac:dyDescent="0.3">
      <c r="A5246" t="s">
        <v>10596</v>
      </c>
      <c r="B5246" t="s">
        <v>743</v>
      </c>
      <c r="F5246" t="s">
        <v>743</v>
      </c>
    </row>
    <row r="5247" spans="1:10" x14ac:dyDescent="0.3">
      <c r="A5247" t="s">
        <v>10597</v>
      </c>
      <c r="B5247" t="s">
        <v>9993</v>
      </c>
      <c r="D5247">
        <v>1</v>
      </c>
      <c r="E5247" t="s">
        <v>23</v>
      </c>
      <c r="F5247" t="s">
        <v>1332</v>
      </c>
      <c r="J5247" t="s">
        <v>289</v>
      </c>
    </row>
    <row r="5248" spans="1:10" x14ac:dyDescent="0.3">
      <c r="A5248" t="s">
        <v>10598</v>
      </c>
      <c r="B5248" t="s">
        <v>10599</v>
      </c>
      <c r="D5248">
        <v>0.5</v>
      </c>
      <c r="E5248" t="s">
        <v>11</v>
      </c>
      <c r="F5248" t="s">
        <v>10600</v>
      </c>
    </row>
    <row r="5249" spans="1:10" x14ac:dyDescent="0.3">
      <c r="A5249" t="s">
        <v>10601</v>
      </c>
      <c r="B5249" t="s">
        <v>10602</v>
      </c>
      <c r="D5249">
        <v>1.5</v>
      </c>
      <c r="E5249" t="s">
        <v>23</v>
      </c>
      <c r="F5249" t="s">
        <v>1188</v>
      </c>
    </row>
    <row r="5250" spans="1:10" x14ac:dyDescent="0.3">
      <c r="A5250" t="s">
        <v>10603</v>
      </c>
      <c r="B5250" t="s">
        <v>5192</v>
      </c>
      <c r="D5250">
        <v>2</v>
      </c>
      <c r="E5250" t="s">
        <v>23</v>
      </c>
      <c r="F5250" t="s">
        <v>233</v>
      </c>
    </row>
    <row r="5251" spans="1:10" x14ac:dyDescent="0.3">
      <c r="A5251" t="s">
        <v>10604</v>
      </c>
      <c r="B5251" t="s">
        <v>8520</v>
      </c>
      <c r="D5251">
        <v>1</v>
      </c>
      <c r="E5251" t="s">
        <v>246</v>
      </c>
      <c r="F5251" t="s">
        <v>3787</v>
      </c>
      <c r="J5251" t="s">
        <v>248</v>
      </c>
    </row>
    <row r="5252" spans="1:10" x14ac:dyDescent="0.3">
      <c r="A5252" t="s">
        <v>3627</v>
      </c>
      <c r="B5252" t="s">
        <v>3077</v>
      </c>
      <c r="D5252">
        <v>0.5</v>
      </c>
      <c r="E5252" t="s">
        <v>23</v>
      </c>
      <c r="F5252" t="s">
        <v>374</v>
      </c>
    </row>
    <row r="5253" spans="1:10" x14ac:dyDescent="0.3">
      <c r="A5253" t="s">
        <v>10605</v>
      </c>
      <c r="B5253" t="s">
        <v>10606</v>
      </c>
      <c r="D5253">
        <v>0.75</v>
      </c>
      <c r="E5253" t="s">
        <v>23</v>
      </c>
      <c r="F5253" t="s">
        <v>171</v>
      </c>
    </row>
    <row r="5254" spans="1:10" x14ac:dyDescent="0.3">
      <c r="A5254" t="s">
        <v>10607</v>
      </c>
      <c r="B5254" t="s">
        <v>10608</v>
      </c>
      <c r="D5254" t="s">
        <v>1650</v>
      </c>
      <c r="E5254" t="s">
        <v>23</v>
      </c>
      <c r="F5254" t="s">
        <v>1204</v>
      </c>
    </row>
    <row r="5255" spans="1:10" x14ac:dyDescent="0.3">
      <c r="A5255" t="s">
        <v>10609</v>
      </c>
      <c r="B5255" t="s">
        <v>3554</v>
      </c>
      <c r="D5255">
        <v>0.5</v>
      </c>
      <c r="E5255" t="s">
        <v>23</v>
      </c>
      <c r="F5255" t="s">
        <v>160</v>
      </c>
      <c r="H5255" t="s">
        <v>68</v>
      </c>
    </row>
    <row r="5256" spans="1:10" x14ac:dyDescent="0.3">
      <c r="A5256" t="s">
        <v>7530</v>
      </c>
      <c r="B5256" t="s">
        <v>10610</v>
      </c>
      <c r="D5256">
        <v>1</v>
      </c>
      <c r="E5256" t="s">
        <v>1785</v>
      </c>
      <c r="F5256" t="s">
        <v>738</v>
      </c>
    </row>
    <row r="5257" spans="1:10" x14ac:dyDescent="0.3">
      <c r="A5257" t="s">
        <v>10611</v>
      </c>
      <c r="B5257" t="s">
        <v>6336</v>
      </c>
      <c r="D5257">
        <v>0.25</v>
      </c>
      <c r="E5257" t="s">
        <v>37</v>
      </c>
      <c r="F5257" t="s">
        <v>38</v>
      </c>
    </row>
    <row r="5258" spans="1:10" x14ac:dyDescent="0.3">
      <c r="A5258" t="s">
        <v>10612</v>
      </c>
      <c r="B5258" t="s">
        <v>3434</v>
      </c>
      <c r="D5258">
        <v>1.5</v>
      </c>
      <c r="E5258" t="s">
        <v>23</v>
      </c>
      <c r="F5258" t="s">
        <v>281</v>
      </c>
    </row>
    <row r="5259" spans="1:10" x14ac:dyDescent="0.3">
      <c r="A5259" t="s">
        <v>5315</v>
      </c>
      <c r="B5259" t="s">
        <v>348</v>
      </c>
      <c r="D5259">
        <v>1</v>
      </c>
      <c r="E5259" t="s">
        <v>23</v>
      </c>
      <c r="F5259" t="s">
        <v>2211</v>
      </c>
    </row>
    <row r="5260" spans="1:10" x14ac:dyDescent="0.3">
      <c r="A5260" t="s">
        <v>10613</v>
      </c>
      <c r="B5260" t="s">
        <v>10614</v>
      </c>
      <c r="D5260">
        <v>10</v>
      </c>
      <c r="E5260" t="s">
        <v>23</v>
      </c>
      <c r="F5260" t="s">
        <v>2256</v>
      </c>
    </row>
    <row r="5261" spans="1:10" x14ac:dyDescent="0.3">
      <c r="A5261" t="s">
        <v>10615</v>
      </c>
      <c r="B5261" t="s">
        <v>10616</v>
      </c>
      <c r="D5261">
        <v>3</v>
      </c>
      <c r="E5261" t="s">
        <v>23</v>
      </c>
      <c r="F5261" t="s">
        <v>10617</v>
      </c>
    </row>
    <row r="5262" spans="1:10" x14ac:dyDescent="0.3">
      <c r="A5262" t="s">
        <v>10618</v>
      </c>
      <c r="B5262" t="s">
        <v>10619</v>
      </c>
      <c r="D5262">
        <v>2</v>
      </c>
      <c r="E5262" t="s">
        <v>189</v>
      </c>
      <c r="F5262" t="s">
        <v>10620</v>
      </c>
    </row>
    <row r="5263" spans="1:10" x14ac:dyDescent="0.3">
      <c r="A5263" t="s">
        <v>10621</v>
      </c>
      <c r="B5263" t="s">
        <v>1204</v>
      </c>
      <c r="F5263" t="s">
        <v>1204</v>
      </c>
    </row>
    <row r="5264" spans="1:10" x14ac:dyDescent="0.3">
      <c r="A5264" t="s">
        <v>9077</v>
      </c>
      <c r="B5264" t="s">
        <v>3488</v>
      </c>
      <c r="E5264" t="s">
        <v>33</v>
      </c>
      <c r="F5264" t="s">
        <v>1056</v>
      </c>
    </row>
    <row r="5265" spans="1:10" x14ac:dyDescent="0.3">
      <c r="A5265" t="s">
        <v>10622</v>
      </c>
      <c r="B5265" t="s">
        <v>10623</v>
      </c>
      <c r="D5265">
        <v>1</v>
      </c>
      <c r="E5265" t="s">
        <v>2646</v>
      </c>
      <c r="F5265" t="s">
        <v>1003</v>
      </c>
    </row>
    <row r="5266" spans="1:10" x14ac:dyDescent="0.3">
      <c r="A5266" t="s">
        <v>576</v>
      </c>
      <c r="B5266" t="s">
        <v>10624</v>
      </c>
      <c r="D5266">
        <v>0.75</v>
      </c>
      <c r="E5266" t="s">
        <v>23</v>
      </c>
      <c r="F5266" t="s">
        <v>1431</v>
      </c>
    </row>
    <row r="5267" spans="1:10" x14ac:dyDescent="0.3">
      <c r="A5267" t="s">
        <v>6122</v>
      </c>
      <c r="B5267" t="s">
        <v>10625</v>
      </c>
      <c r="D5267">
        <v>0.75</v>
      </c>
      <c r="E5267" t="s">
        <v>11</v>
      </c>
      <c r="F5267" t="s">
        <v>10626</v>
      </c>
      <c r="J5267" t="s">
        <v>893</v>
      </c>
    </row>
    <row r="5268" spans="1:10" x14ac:dyDescent="0.3">
      <c r="A5268" t="s">
        <v>10627</v>
      </c>
      <c r="B5268" t="s">
        <v>10628</v>
      </c>
      <c r="D5268">
        <v>1</v>
      </c>
      <c r="F5268" t="s">
        <v>10629</v>
      </c>
    </row>
    <row r="5269" spans="1:10" x14ac:dyDescent="0.3">
      <c r="A5269" t="s">
        <v>10630</v>
      </c>
      <c r="B5269" t="s">
        <v>10631</v>
      </c>
      <c r="D5269">
        <v>0.25</v>
      </c>
      <c r="E5269" t="s">
        <v>23</v>
      </c>
      <c r="F5269" t="s">
        <v>578</v>
      </c>
      <c r="H5269" t="s">
        <v>10632</v>
      </c>
    </row>
    <row r="5270" spans="1:10" x14ac:dyDescent="0.3">
      <c r="A5270" t="s">
        <v>1899</v>
      </c>
      <c r="B5270" t="s">
        <v>10633</v>
      </c>
      <c r="D5270">
        <v>4</v>
      </c>
      <c r="E5270" t="s">
        <v>23</v>
      </c>
      <c r="F5270" t="s">
        <v>10634</v>
      </c>
    </row>
    <row r="5271" spans="1:10" x14ac:dyDescent="0.3">
      <c r="A5271" t="s">
        <v>10635</v>
      </c>
      <c r="B5271" t="s">
        <v>10636</v>
      </c>
      <c r="F5271" t="s">
        <v>10636</v>
      </c>
    </row>
    <row r="5272" spans="1:10" x14ac:dyDescent="0.3">
      <c r="A5272" t="s">
        <v>10637</v>
      </c>
      <c r="B5272" t="s">
        <v>2069</v>
      </c>
      <c r="D5272">
        <v>2</v>
      </c>
      <c r="E5272" t="s">
        <v>23</v>
      </c>
      <c r="F5272" t="s">
        <v>64</v>
      </c>
    </row>
    <row r="5273" spans="1:10" x14ac:dyDescent="0.3">
      <c r="A5273" t="s">
        <v>7904</v>
      </c>
      <c r="B5273" t="s">
        <v>10638</v>
      </c>
      <c r="D5273">
        <v>4</v>
      </c>
      <c r="E5273" t="s">
        <v>227</v>
      </c>
      <c r="F5273" t="s">
        <v>581</v>
      </c>
    </row>
    <row r="5274" spans="1:10" x14ac:dyDescent="0.3">
      <c r="A5274" t="s">
        <v>10639</v>
      </c>
      <c r="B5274" t="s">
        <v>10110</v>
      </c>
      <c r="D5274">
        <v>2</v>
      </c>
      <c r="E5274" t="s">
        <v>10640</v>
      </c>
      <c r="F5274" t="s">
        <v>3353</v>
      </c>
      <c r="J5274" t="s">
        <v>289</v>
      </c>
    </row>
    <row r="5275" spans="1:10" x14ac:dyDescent="0.3">
      <c r="A5275" t="s">
        <v>10641</v>
      </c>
      <c r="B5275" t="s">
        <v>10642</v>
      </c>
      <c r="D5275">
        <v>2.5</v>
      </c>
      <c r="E5275" t="s">
        <v>23</v>
      </c>
      <c r="F5275" t="s">
        <v>877</v>
      </c>
    </row>
    <row r="5276" spans="1:10" x14ac:dyDescent="0.3">
      <c r="A5276" t="s">
        <v>10643</v>
      </c>
      <c r="B5276" t="s">
        <v>2452</v>
      </c>
      <c r="D5276">
        <v>1.5</v>
      </c>
      <c r="E5276" t="s">
        <v>23</v>
      </c>
      <c r="F5276" t="s">
        <v>2453</v>
      </c>
    </row>
    <row r="5277" spans="1:10" x14ac:dyDescent="0.3">
      <c r="A5277" t="s">
        <v>10644</v>
      </c>
      <c r="B5277" t="s">
        <v>10645</v>
      </c>
      <c r="D5277">
        <v>0.5</v>
      </c>
      <c r="E5277" t="s">
        <v>23</v>
      </c>
      <c r="F5277" t="s">
        <v>6428</v>
      </c>
    </row>
    <row r="5278" spans="1:10" x14ac:dyDescent="0.3">
      <c r="A5278" t="s">
        <v>10646</v>
      </c>
      <c r="B5278" t="s">
        <v>10647</v>
      </c>
      <c r="D5278">
        <v>40</v>
      </c>
      <c r="E5278" t="s">
        <v>29</v>
      </c>
      <c r="F5278" t="s">
        <v>716</v>
      </c>
    </row>
    <row r="5279" spans="1:10" x14ac:dyDescent="0.3">
      <c r="A5279" t="s">
        <v>10648</v>
      </c>
      <c r="B5279" t="s">
        <v>8821</v>
      </c>
      <c r="F5279" t="s">
        <v>317</v>
      </c>
      <c r="J5279" t="s">
        <v>1146</v>
      </c>
    </row>
    <row r="5280" spans="1:10" x14ac:dyDescent="0.3">
      <c r="A5280" t="s">
        <v>10649</v>
      </c>
      <c r="B5280" t="s">
        <v>725</v>
      </c>
      <c r="D5280">
        <v>1</v>
      </c>
      <c r="E5280" t="s">
        <v>585</v>
      </c>
      <c r="F5280" t="s">
        <v>163</v>
      </c>
      <c r="J5280" t="s">
        <v>248</v>
      </c>
    </row>
    <row r="5281" spans="1:10" x14ac:dyDescent="0.3">
      <c r="A5281" t="s">
        <v>10650</v>
      </c>
      <c r="B5281" t="s">
        <v>10651</v>
      </c>
      <c r="D5281">
        <v>0.5</v>
      </c>
      <c r="E5281" t="s">
        <v>23</v>
      </c>
      <c r="F5281" t="s">
        <v>10652</v>
      </c>
    </row>
    <row r="5282" spans="1:10" x14ac:dyDescent="0.3">
      <c r="A5282" t="s">
        <v>10653</v>
      </c>
      <c r="B5282" t="s">
        <v>10654</v>
      </c>
      <c r="D5282">
        <v>2</v>
      </c>
      <c r="E5282" t="s">
        <v>189</v>
      </c>
      <c r="F5282" t="s">
        <v>10655</v>
      </c>
    </row>
    <row r="5283" spans="1:10" x14ac:dyDescent="0.3">
      <c r="A5283" t="s">
        <v>10656</v>
      </c>
      <c r="B5283" t="s">
        <v>1190</v>
      </c>
      <c r="D5283">
        <v>0.5</v>
      </c>
      <c r="E5283" t="s">
        <v>23</v>
      </c>
      <c r="F5283" t="s">
        <v>199</v>
      </c>
    </row>
    <row r="5284" spans="1:10" x14ac:dyDescent="0.3">
      <c r="A5284" t="s">
        <v>10657</v>
      </c>
      <c r="B5284" t="s">
        <v>7062</v>
      </c>
      <c r="D5284">
        <v>1</v>
      </c>
      <c r="E5284" t="s">
        <v>23</v>
      </c>
      <c r="F5284" t="s">
        <v>7063</v>
      </c>
    </row>
    <row r="5285" spans="1:10" x14ac:dyDescent="0.3">
      <c r="A5285" t="s">
        <v>10658</v>
      </c>
      <c r="B5285" t="s">
        <v>7907</v>
      </c>
      <c r="D5285">
        <v>2</v>
      </c>
      <c r="E5285" t="s">
        <v>10199</v>
      </c>
      <c r="F5285" t="s">
        <v>423</v>
      </c>
    </row>
    <row r="5286" spans="1:10" x14ac:dyDescent="0.3">
      <c r="A5286" t="s">
        <v>10659</v>
      </c>
      <c r="B5286" t="s">
        <v>10660</v>
      </c>
      <c r="D5286">
        <v>0.75</v>
      </c>
      <c r="E5286" t="s">
        <v>11</v>
      </c>
      <c r="F5286" t="s">
        <v>30</v>
      </c>
    </row>
    <row r="5287" spans="1:10" x14ac:dyDescent="0.3">
      <c r="A5287" t="s">
        <v>10661</v>
      </c>
      <c r="B5287" t="s">
        <v>10662</v>
      </c>
      <c r="D5287">
        <v>4</v>
      </c>
      <c r="E5287" t="s">
        <v>91</v>
      </c>
      <c r="F5287" t="s">
        <v>10663</v>
      </c>
      <c r="J5287" t="s">
        <v>20</v>
      </c>
    </row>
    <row r="5288" spans="1:10" x14ac:dyDescent="0.3">
      <c r="A5288" t="s">
        <v>10664</v>
      </c>
      <c r="B5288" t="s">
        <v>10665</v>
      </c>
      <c r="D5288">
        <v>1</v>
      </c>
      <c r="F5288" t="s">
        <v>10666</v>
      </c>
    </row>
    <row r="5289" spans="1:10" x14ac:dyDescent="0.3">
      <c r="A5289" t="s">
        <v>7682</v>
      </c>
      <c r="B5289" t="s">
        <v>1131</v>
      </c>
      <c r="D5289">
        <v>1</v>
      </c>
      <c r="E5289" t="s">
        <v>1132</v>
      </c>
      <c r="F5289" t="s">
        <v>1133</v>
      </c>
    </row>
    <row r="5290" spans="1:10" x14ac:dyDescent="0.3">
      <c r="A5290" t="s">
        <v>9377</v>
      </c>
      <c r="B5290" t="s">
        <v>9600</v>
      </c>
      <c r="D5290">
        <v>0.25</v>
      </c>
      <c r="E5290" t="s">
        <v>23</v>
      </c>
      <c r="F5290" t="s">
        <v>365</v>
      </c>
    </row>
    <row r="5291" spans="1:10" x14ac:dyDescent="0.3">
      <c r="A5291" t="s">
        <v>10667</v>
      </c>
      <c r="B5291" t="s">
        <v>4467</v>
      </c>
      <c r="D5291">
        <v>0.5</v>
      </c>
      <c r="E5291" t="s">
        <v>23</v>
      </c>
    </row>
    <row r="5292" spans="1:10" x14ac:dyDescent="0.3">
      <c r="A5292" t="s">
        <v>6523</v>
      </c>
      <c r="B5292" t="s">
        <v>10668</v>
      </c>
      <c r="D5292">
        <v>0.75</v>
      </c>
      <c r="E5292" t="s">
        <v>37</v>
      </c>
      <c r="F5292" t="s">
        <v>3269</v>
      </c>
    </row>
    <row r="5293" spans="1:10" x14ac:dyDescent="0.3">
      <c r="A5293" t="s">
        <v>10669</v>
      </c>
      <c r="B5293" t="s">
        <v>10670</v>
      </c>
      <c r="D5293">
        <v>1</v>
      </c>
      <c r="E5293" t="s">
        <v>426</v>
      </c>
      <c r="F5293" t="s">
        <v>1445</v>
      </c>
      <c r="J5293" t="s">
        <v>289</v>
      </c>
    </row>
    <row r="5294" spans="1:10" x14ac:dyDescent="0.3">
      <c r="A5294" t="s">
        <v>6653</v>
      </c>
      <c r="B5294" t="s">
        <v>10671</v>
      </c>
      <c r="D5294">
        <v>1</v>
      </c>
      <c r="F5294" t="s">
        <v>377</v>
      </c>
      <c r="G5294" t="s">
        <v>33</v>
      </c>
      <c r="J5294" t="s">
        <v>10672</v>
      </c>
    </row>
    <row r="5295" spans="1:10" x14ac:dyDescent="0.3">
      <c r="A5295" t="s">
        <v>5168</v>
      </c>
      <c r="B5295" t="s">
        <v>10673</v>
      </c>
      <c r="D5295">
        <v>3</v>
      </c>
      <c r="E5295" t="s">
        <v>91</v>
      </c>
      <c r="F5295" t="s">
        <v>2446</v>
      </c>
    </row>
    <row r="5296" spans="1:10" x14ac:dyDescent="0.3">
      <c r="A5296" t="s">
        <v>7786</v>
      </c>
      <c r="B5296" t="s">
        <v>8187</v>
      </c>
      <c r="D5296">
        <v>3</v>
      </c>
      <c r="E5296" t="s">
        <v>189</v>
      </c>
      <c r="F5296" t="s">
        <v>3942</v>
      </c>
    </row>
    <row r="5297" spans="1:10" x14ac:dyDescent="0.3">
      <c r="A5297" t="s">
        <v>10674</v>
      </c>
      <c r="B5297" t="s">
        <v>333</v>
      </c>
      <c r="F5297" t="s">
        <v>333</v>
      </c>
    </row>
    <row r="5298" spans="1:10" x14ac:dyDescent="0.3">
      <c r="A5298" t="s">
        <v>10675</v>
      </c>
      <c r="B5298" t="s">
        <v>10676</v>
      </c>
      <c r="D5298">
        <v>1.5</v>
      </c>
      <c r="E5298" t="s">
        <v>71</v>
      </c>
      <c r="F5298" t="s">
        <v>10677</v>
      </c>
      <c r="J5298" t="e">
        <f>- I used an amazing golden oak cask finished dill aquavit called D Aurum from local Den Nye Spritfabrik</f>
        <v>#NAME?</v>
      </c>
    </row>
    <row r="5299" spans="1:10" x14ac:dyDescent="0.3">
      <c r="A5299" t="s">
        <v>10678</v>
      </c>
      <c r="B5299" t="s">
        <v>10679</v>
      </c>
      <c r="D5299">
        <v>1.5</v>
      </c>
      <c r="E5299" t="s">
        <v>23</v>
      </c>
      <c r="F5299" t="s">
        <v>233</v>
      </c>
    </row>
    <row r="5300" spans="1:10" x14ac:dyDescent="0.3">
      <c r="A5300" t="s">
        <v>4648</v>
      </c>
      <c r="B5300" t="s">
        <v>10680</v>
      </c>
      <c r="D5300">
        <v>1</v>
      </c>
      <c r="E5300" t="s">
        <v>11</v>
      </c>
      <c r="F5300" t="s">
        <v>10681</v>
      </c>
    </row>
    <row r="5301" spans="1:10" x14ac:dyDescent="0.3">
      <c r="A5301" t="s">
        <v>10682</v>
      </c>
      <c r="B5301" t="s">
        <v>10683</v>
      </c>
      <c r="D5301">
        <v>1</v>
      </c>
      <c r="E5301" t="s">
        <v>23</v>
      </c>
      <c r="F5301" t="s">
        <v>10684</v>
      </c>
    </row>
    <row r="5302" spans="1:10" x14ac:dyDescent="0.3">
      <c r="A5302" t="s">
        <v>2109</v>
      </c>
      <c r="B5302" t="s">
        <v>28</v>
      </c>
      <c r="D5302">
        <v>25</v>
      </c>
      <c r="E5302" t="s">
        <v>29</v>
      </c>
      <c r="F5302" t="s">
        <v>30</v>
      </c>
    </row>
    <row r="5303" spans="1:10" x14ac:dyDescent="0.3">
      <c r="A5303" t="s">
        <v>10685</v>
      </c>
      <c r="B5303" t="s">
        <v>10686</v>
      </c>
      <c r="D5303">
        <v>1</v>
      </c>
      <c r="F5303" t="s">
        <v>10687</v>
      </c>
    </row>
    <row r="5304" spans="1:10" x14ac:dyDescent="0.3">
      <c r="A5304" t="s">
        <v>8586</v>
      </c>
      <c r="B5304" t="s">
        <v>7274</v>
      </c>
      <c r="D5304">
        <v>1</v>
      </c>
      <c r="E5304" t="s">
        <v>111</v>
      </c>
      <c r="F5304" t="s">
        <v>2138</v>
      </c>
    </row>
    <row r="5305" spans="1:10" x14ac:dyDescent="0.3">
      <c r="A5305" t="s">
        <v>10688</v>
      </c>
      <c r="B5305" t="s">
        <v>10689</v>
      </c>
      <c r="D5305">
        <v>1</v>
      </c>
      <c r="E5305" t="s">
        <v>426</v>
      </c>
      <c r="F5305" t="s">
        <v>10690</v>
      </c>
    </row>
    <row r="5306" spans="1:10" x14ac:dyDescent="0.3">
      <c r="A5306" t="s">
        <v>10691</v>
      </c>
      <c r="B5306" t="s">
        <v>10692</v>
      </c>
      <c r="D5306">
        <v>12</v>
      </c>
      <c r="E5306" t="s">
        <v>176</v>
      </c>
      <c r="F5306" t="s">
        <v>41</v>
      </c>
    </row>
    <row r="5307" spans="1:10" x14ac:dyDescent="0.3">
      <c r="A5307" t="s">
        <v>10693</v>
      </c>
      <c r="B5307" t="s">
        <v>3554</v>
      </c>
      <c r="D5307">
        <v>0.5</v>
      </c>
      <c r="E5307" t="s">
        <v>23</v>
      </c>
      <c r="F5307" t="s">
        <v>160</v>
      </c>
      <c r="H5307" t="s">
        <v>68</v>
      </c>
    </row>
    <row r="5308" spans="1:10" x14ac:dyDescent="0.3">
      <c r="A5308" t="s">
        <v>10694</v>
      </c>
      <c r="B5308" t="s">
        <v>3910</v>
      </c>
      <c r="D5308">
        <v>3</v>
      </c>
      <c r="E5308" t="s">
        <v>23</v>
      </c>
      <c r="F5308" t="s">
        <v>3911</v>
      </c>
    </row>
    <row r="5309" spans="1:10" x14ac:dyDescent="0.3">
      <c r="A5309" t="s">
        <v>6905</v>
      </c>
      <c r="B5309" t="s">
        <v>4653</v>
      </c>
      <c r="D5309">
        <v>1</v>
      </c>
      <c r="E5309" t="s">
        <v>460</v>
      </c>
      <c r="F5309" t="s">
        <v>51</v>
      </c>
      <c r="G5309" t="s">
        <v>10695</v>
      </c>
    </row>
    <row r="5310" spans="1:10" x14ac:dyDescent="0.3">
      <c r="A5310" t="s">
        <v>10696</v>
      </c>
      <c r="B5310" t="s">
        <v>10697</v>
      </c>
      <c r="D5310">
        <v>2</v>
      </c>
      <c r="E5310" t="s">
        <v>91</v>
      </c>
      <c r="F5310" t="s">
        <v>233</v>
      </c>
    </row>
    <row r="5311" spans="1:10" x14ac:dyDescent="0.3">
      <c r="A5311" t="s">
        <v>10698</v>
      </c>
      <c r="B5311" t="s">
        <v>10699</v>
      </c>
      <c r="D5311">
        <v>2</v>
      </c>
      <c r="E5311" t="s">
        <v>189</v>
      </c>
      <c r="F5311" t="s">
        <v>6765</v>
      </c>
    </row>
    <row r="5312" spans="1:10" x14ac:dyDescent="0.3">
      <c r="A5312" t="s">
        <v>10700</v>
      </c>
      <c r="B5312" t="s">
        <v>10701</v>
      </c>
      <c r="D5312">
        <v>15</v>
      </c>
      <c r="E5312" t="s">
        <v>29</v>
      </c>
      <c r="F5312" t="s">
        <v>6011</v>
      </c>
    </row>
    <row r="5313" spans="1:10" x14ac:dyDescent="0.3">
      <c r="A5313" t="s">
        <v>10702</v>
      </c>
      <c r="B5313" t="s">
        <v>3925</v>
      </c>
      <c r="D5313">
        <v>0.5</v>
      </c>
      <c r="E5313" t="s">
        <v>23</v>
      </c>
      <c r="F5313" t="s">
        <v>793</v>
      </c>
    </row>
    <row r="5314" spans="1:10" x14ac:dyDescent="0.3">
      <c r="A5314" t="s">
        <v>2162</v>
      </c>
      <c r="B5314" t="s">
        <v>10703</v>
      </c>
      <c r="D5314">
        <v>0.5</v>
      </c>
      <c r="E5314" t="s">
        <v>23</v>
      </c>
      <c r="F5314" t="s">
        <v>7358</v>
      </c>
      <c r="J5314" t="s">
        <v>20</v>
      </c>
    </row>
    <row r="5315" spans="1:10" x14ac:dyDescent="0.3">
      <c r="A5315" t="s">
        <v>10704</v>
      </c>
      <c r="B5315" t="s">
        <v>159</v>
      </c>
      <c r="D5315">
        <v>0.75</v>
      </c>
      <c r="E5315" t="s">
        <v>23</v>
      </c>
      <c r="F5315" t="s">
        <v>160</v>
      </c>
      <c r="H5315" t="s">
        <v>68</v>
      </c>
    </row>
    <row r="5316" spans="1:10" x14ac:dyDescent="0.3">
      <c r="A5316" t="s">
        <v>10705</v>
      </c>
      <c r="B5316" t="s">
        <v>10706</v>
      </c>
      <c r="D5316">
        <v>4</v>
      </c>
      <c r="E5316" t="s">
        <v>23</v>
      </c>
      <c r="F5316" t="s">
        <v>6061</v>
      </c>
      <c r="J5316" t="s">
        <v>289</v>
      </c>
    </row>
    <row r="5317" spans="1:10" x14ac:dyDescent="0.3">
      <c r="A5317" t="s">
        <v>10707</v>
      </c>
      <c r="B5317" t="s">
        <v>10708</v>
      </c>
      <c r="D5317">
        <v>2</v>
      </c>
      <c r="E5317" t="s">
        <v>835</v>
      </c>
      <c r="F5317" t="s">
        <v>10709</v>
      </c>
    </row>
    <row r="5318" spans="1:10" x14ac:dyDescent="0.3">
      <c r="A5318" t="s">
        <v>10710</v>
      </c>
      <c r="B5318" t="s">
        <v>10711</v>
      </c>
      <c r="D5318">
        <v>0.33</v>
      </c>
      <c r="E5318" t="s">
        <v>23</v>
      </c>
      <c r="F5318" t="s">
        <v>10712</v>
      </c>
      <c r="J5318" t="s">
        <v>289</v>
      </c>
    </row>
    <row r="5319" spans="1:10" x14ac:dyDescent="0.3">
      <c r="A5319" t="s">
        <v>10713</v>
      </c>
      <c r="B5319" t="s">
        <v>10714</v>
      </c>
      <c r="D5319">
        <v>0.75</v>
      </c>
      <c r="E5319" t="s">
        <v>23</v>
      </c>
      <c r="F5319" t="s">
        <v>1927</v>
      </c>
    </row>
    <row r="5320" spans="1:10" x14ac:dyDescent="0.3">
      <c r="A5320" t="s">
        <v>7906</v>
      </c>
      <c r="B5320" t="s">
        <v>10715</v>
      </c>
      <c r="D5320">
        <v>0.75</v>
      </c>
      <c r="E5320" t="s">
        <v>37</v>
      </c>
      <c r="F5320" t="s">
        <v>10716</v>
      </c>
      <c r="J5320" t="s">
        <v>2028</v>
      </c>
    </row>
    <row r="5321" spans="1:10" x14ac:dyDescent="0.3">
      <c r="A5321" t="s">
        <v>10717</v>
      </c>
      <c r="B5321" t="s">
        <v>2524</v>
      </c>
      <c r="D5321">
        <v>1</v>
      </c>
      <c r="E5321" t="s">
        <v>23</v>
      </c>
      <c r="F5321" t="s">
        <v>265</v>
      </c>
    </row>
    <row r="5322" spans="1:10" x14ac:dyDescent="0.3">
      <c r="A5322" t="s">
        <v>9826</v>
      </c>
      <c r="B5322" t="s">
        <v>10718</v>
      </c>
      <c r="D5322">
        <v>6</v>
      </c>
      <c r="E5322" t="s">
        <v>176</v>
      </c>
      <c r="F5322" t="s">
        <v>741</v>
      </c>
    </row>
    <row r="5323" spans="1:10" x14ac:dyDescent="0.3">
      <c r="A5323" t="s">
        <v>10719</v>
      </c>
      <c r="B5323" t="s">
        <v>10720</v>
      </c>
      <c r="D5323">
        <v>1.5</v>
      </c>
      <c r="E5323" t="s">
        <v>23</v>
      </c>
      <c r="F5323" t="s">
        <v>10721</v>
      </c>
      <c r="J5323" t="s">
        <v>289</v>
      </c>
    </row>
    <row r="5324" spans="1:10" x14ac:dyDescent="0.3">
      <c r="A5324" t="s">
        <v>10722</v>
      </c>
      <c r="B5324" t="s">
        <v>10723</v>
      </c>
      <c r="D5324">
        <v>3</v>
      </c>
      <c r="E5324" t="s">
        <v>71</v>
      </c>
      <c r="F5324" t="s">
        <v>88</v>
      </c>
    </row>
    <row r="5325" spans="1:10" x14ac:dyDescent="0.3">
      <c r="A5325" t="s">
        <v>1412</v>
      </c>
      <c r="B5325" t="s">
        <v>2975</v>
      </c>
      <c r="D5325">
        <v>1</v>
      </c>
      <c r="E5325" t="s">
        <v>426</v>
      </c>
      <c r="F5325" t="s">
        <v>75</v>
      </c>
    </row>
    <row r="5326" spans="1:10" x14ac:dyDescent="0.3">
      <c r="A5326" t="s">
        <v>3931</v>
      </c>
      <c r="B5326" t="s">
        <v>10724</v>
      </c>
      <c r="D5326">
        <v>6</v>
      </c>
      <c r="E5326" t="s">
        <v>10725</v>
      </c>
      <c r="F5326" t="s">
        <v>220</v>
      </c>
    </row>
    <row r="5327" spans="1:10" x14ac:dyDescent="0.3">
      <c r="A5327" t="s">
        <v>3931</v>
      </c>
      <c r="B5327" t="s">
        <v>10726</v>
      </c>
      <c r="E5327" t="s">
        <v>2397</v>
      </c>
      <c r="F5327" t="s">
        <v>10727</v>
      </c>
      <c r="J5327" t="s">
        <v>3287</v>
      </c>
    </row>
    <row r="5328" spans="1:10" x14ac:dyDescent="0.3">
      <c r="A5328" t="s">
        <v>10728</v>
      </c>
      <c r="B5328" t="s">
        <v>10729</v>
      </c>
      <c r="D5328">
        <v>1</v>
      </c>
      <c r="F5328" t="s">
        <v>241</v>
      </c>
      <c r="J5328" t="s">
        <v>10730</v>
      </c>
    </row>
    <row r="5329" spans="1:10" x14ac:dyDescent="0.3">
      <c r="A5329" t="s">
        <v>10731</v>
      </c>
      <c r="B5329" t="s">
        <v>10732</v>
      </c>
      <c r="D5329">
        <v>1</v>
      </c>
      <c r="E5329" t="s">
        <v>60</v>
      </c>
      <c r="F5329" t="s">
        <v>738</v>
      </c>
    </row>
    <row r="5330" spans="1:10" x14ac:dyDescent="0.3">
      <c r="A5330" t="s">
        <v>10733</v>
      </c>
      <c r="B5330" t="s">
        <v>10734</v>
      </c>
      <c r="D5330">
        <v>1</v>
      </c>
      <c r="E5330" t="s">
        <v>120</v>
      </c>
      <c r="F5330" t="s">
        <v>10735</v>
      </c>
      <c r="J5330" t="s">
        <v>289</v>
      </c>
    </row>
    <row r="5331" spans="1:10" x14ac:dyDescent="0.3">
      <c r="A5331" t="s">
        <v>10736</v>
      </c>
      <c r="B5331" t="s">
        <v>10737</v>
      </c>
      <c r="D5331">
        <v>2</v>
      </c>
      <c r="E5331" t="s">
        <v>1212</v>
      </c>
      <c r="F5331" t="s">
        <v>956</v>
      </c>
      <c r="J5331" t="s">
        <v>10738</v>
      </c>
    </row>
    <row r="5332" spans="1:10" x14ac:dyDescent="0.3">
      <c r="A5332" t="s">
        <v>10739</v>
      </c>
      <c r="B5332" t="s">
        <v>10740</v>
      </c>
      <c r="D5332">
        <v>0.5</v>
      </c>
      <c r="E5332" t="s">
        <v>11</v>
      </c>
      <c r="F5332" t="s">
        <v>10741</v>
      </c>
    </row>
    <row r="5333" spans="1:10" x14ac:dyDescent="0.3">
      <c r="A5333" t="s">
        <v>10742</v>
      </c>
      <c r="B5333" t="s">
        <v>10743</v>
      </c>
      <c r="F5333" t="s">
        <v>10743</v>
      </c>
    </row>
    <row r="5334" spans="1:10" x14ac:dyDescent="0.3">
      <c r="A5334" t="s">
        <v>10744</v>
      </c>
      <c r="B5334" t="s">
        <v>824</v>
      </c>
      <c r="D5334">
        <v>1</v>
      </c>
      <c r="F5334" t="s">
        <v>825</v>
      </c>
      <c r="J5334" t="s">
        <v>248</v>
      </c>
    </row>
    <row r="5335" spans="1:10" x14ac:dyDescent="0.3">
      <c r="A5335" t="s">
        <v>2084</v>
      </c>
      <c r="B5335" t="s">
        <v>2609</v>
      </c>
      <c r="D5335">
        <v>1.5</v>
      </c>
      <c r="E5335" t="s">
        <v>345</v>
      </c>
      <c r="F5335" t="s">
        <v>220</v>
      </c>
    </row>
    <row r="5336" spans="1:10" x14ac:dyDescent="0.3">
      <c r="A5336" t="s">
        <v>10745</v>
      </c>
      <c r="B5336" t="s">
        <v>10746</v>
      </c>
      <c r="D5336" t="s">
        <v>5342</v>
      </c>
      <c r="E5336" t="s">
        <v>189</v>
      </c>
      <c r="F5336" t="s">
        <v>10747</v>
      </c>
      <c r="J5336" t="s">
        <v>1177</v>
      </c>
    </row>
    <row r="5337" spans="1:10" x14ac:dyDescent="0.3">
      <c r="A5337" t="s">
        <v>10748</v>
      </c>
      <c r="B5337" t="s">
        <v>3365</v>
      </c>
      <c r="D5337">
        <v>25</v>
      </c>
      <c r="E5337" t="s">
        <v>29</v>
      </c>
      <c r="F5337" t="s">
        <v>3366</v>
      </c>
    </row>
    <row r="5338" spans="1:10" x14ac:dyDescent="0.3">
      <c r="A5338" t="s">
        <v>576</v>
      </c>
      <c r="B5338" t="s">
        <v>10749</v>
      </c>
      <c r="D5338">
        <v>0.75</v>
      </c>
      <c r="E5338" t="s">
        <v>23</v>
      </c>
      <c r="F5338" t="s">
        <v>844</v>
      </c>
    </row>
    <row r="5339" spans="1:10" x14ac:dyDescent="0.3">
      <c r="A5339" t="s">
        <v>4922</v>
      </c>
      <c r="B5339" t="s">
        <v>10750</v>
      </c>
      <c r="D5339">
        <v>3</v>
      </c>
      <c r="E5339" t="s">
        <v>473</v>
      </c>
      <c r="F5339" t="s">
        <v>2449</v>
      </c>
    </row>
    <row r="5340" spans="1:10" x14ac:dyDescent="0.3">
      <c r="A5340" t="s">
        <v>10751</v>
      </c>
      <c r="B5340" t="s">
        <v>10752</v>
      </c>
      <c r="D5340">
        <v>37.5</v>
      </c>
      <c r="E5340" t="s">
        <v>29</v>
      </c>
      <c r="F5340" t="s">
        <v>2875</v>
      </c>
    </row>
    <row r="5341" spans="1:10" x14ac:dyDescent="0.3">
      <c r="A5341" t="s">
        <v>4777</v>
      </c>
      <c r="B5341" t="s">
        <v>4670</v>
      </c>
      <c r="F5341" t="s">
        <v>4670</v>
      </c>
    </row>
    <row r="5342" spans="1:10" x14ac:dyDescent="0.3">
      <c r="A5342" t="s">
        <v>5904</v>
      </c>
      <c r="B5342" t="s">
        <v>10753</v>
      </c>
      <c r="D5342">
        <v>1</v>
      </c>
      <c r="F5342" t="s">
        <v>1440</v>
      </c>
      <c r="J5342" t="s">
        <v>951</v>
      </c>
    </row>
    <row r="5343" spans="1:10" x14ac:dyDescent="0.3">
      <c r="A5343" t="s">
        <v>10754</v>
      </c>
      <c r="B5343" t="s">
        <v>10755</v>
      </c>
      <c r="D5343">
        <v>1</v>
      </c>
      <c r="E5343" t="s">
        <v>23</v>
      </c>
      <c r="F5343" t="s">
        <v>1816</v>
      </c>
    </row>
    <row r="5344" spans="1:10" x14ac:dyDescent="0.3">
      <c r="A5344" t="s">
        <v>10756</v>
      </c>
      <c r="B5344" t="s">
        <v>10757</v>
      </c>
      <c r="D5344">
        <v>0.2</v>
      </c>
      <c r="E5344" t="s">
        <v>11</v>
      </c>
      <c r="F5344" t="s">
        <v>4142</v>
      </c>
    </row>
    <row r="5345" spans="1:10" x14ac:dyDescent="0.3">
      <c r="A5345" t="s">
        <v>10758</v>
      </c>
      <c r="B5345" t="s">
        <v>499</v>
      </c>
      <c r="D5345">
        <v>1</v>
      </c>
      <c r="E5345" t="s">
        <v>23</v>
      </c>
      <c r="F5345" t="s">
        <v>500</v>
      </c>
    </row>
    <row r="5346" spans="1:10" x14ac:dyDescent="0.3">
      <c r="A5346" t="s">
        <v>10759</v>
      </c>
      <c r="B5346" t="s">
        <v>10760</v>
      </c>
      <c r="D5346">
        <v>5</v>
      </c>
      <c r="E5346" t="s">
        <v>189</v>
      </c>
      <c r="F5346" t="s">
        <v>6765</v>
      </c>
    </row>
    <row r="5347" spans="1:10" x14ac:dyDescent="0.3">
      <c r="A5347" t="s">
        <v>2054</v>
      </c>
      <c r="B5347" t="s">
        <v>10761</v>
      </c>
      <c r="D5347">
        <v>0.75</v>
      </c>
      <c r="E5347" t="s">
        <v>23</v>
      </c>
      <c r="F5347" t="s">
        <v>547</v>
      </c>
    </row>
    <row r="5348" spans="1:10" x14ac:dyDescent="0.3">
      <c r="A5348" t="s">
        <v>10762</v>
      </c>
      <c r="B5348" t="s">
        <v>10763</v>
      </c>
      <c r="D5348">
        <v>0.75</v>
      </c>
      <c r="E5348" t="s">
        <v>91</v>
      </c>
      <c r="F5348" t="s">
        <v>1070</v>
      </c>
      <c r="J5348" t="s">
        <v>20</v>
      </c>
    </row>
    <row r="5349" spans="1:10" x14ac:dyDescent="0.3">
      <c r="A5349" t="s">
        <v>2479</v>
      </c>
      <c r="B5349" t="s">
        <v>333</v>
      </c>
      <c r="F5349" t="s">
        <v>333</v>
      </c>
    </row>
    <row r="5350" spans="1:10" x14ac:dyDescent="0.3">
      <c r="A5350" t="s">
        <v>485</v>
      </c>
      <c r="B5350" t="s">
        <v>7565</v>
      </c>
      <c r="D5350">
        <v>2</v>
      </c>
      <c r="E5350" t="s">
        <v>91</v>
      </c>
      <c r="F5350" t="s">
        <v>3403</v>
      </c>
    </row>
    <row r="5351" spans="1:10" x14ac:dyDescent="0.3">
      <c r="A5351" t="s">
        <v>6417</v>
      </c>
      <c r="B5351" t="s">
        <v>10764</v>
      </c>
      <c r="D5351">
        <v>6</v>
      </c>
      <c r="E5351" t="s">
        <v>345</v>
      </c>
      <c r="F5351" t="s">
        <v>10765</v>
      </c>
      <c r="I5351" t="s">
        <v>1078</v>
      </c>
      <c r="J5351" t="s">
        <v>10766</v>
      </c>
    </row>
    <row r="5352" spans="1:10" x14ac:dyDescent="0.3">
      <c r="A5352" t="s">
        <v>10767</v>
      </c>
      <c r="B5352" t="s">
        <v>10768</v>
      </c>
      <c r="D5352">
        <v>50</v>
      </c>
      <c r="E5352" t="s">
        <v>29</v>
      </c>
      <c r="F5352" t="s">
        <v>10769</v>
      </c>
    </row>
    <row r="5353" spans="1:10" x14ac:dyDescent="0.3">
      <c r="A5353" t="s">
        <v>2084</v>
      </c>
      <c r="B5353" t="s">
        <v>10770</v>
      </c>
      <c r="D5353">
        <v>1</v>
      </c>
      <c r="F5353" t="s">
        <v>5478</v>
      </c>
      <c r="J5353" t="s">
        <v>4343</v>
      </c>
    </row>
    <row r="5354" spans="1:10" x14ac:dyDescent="0.3">
      <c r="A5354" t="s">
        <v>10771</v>
      </c>
      <c r="B5354" t="s">
        <v>10772</v>
      </c>
      <c r="D5354">
        <v>1</v>
      </c>
      <c r="E5354" t="s">
        <v>284</v>
      </c>
      <c r="F5354" t="s">
        <v>602</v>
      </c>
      <c r="J5354" t="s">
        <v>10773</v>
      </c>
    </row>
    <row r="5355" spans="1:10" x14ac:dyDescent="0.3">
      <c r="A5355" t="s">
        <v>10774</v>
      </c>
      <c r="B5355" t="s">
        <v>10775</v>
      </c>
      <c r="D5355">
        <v>2</v>
      </c>
      <c r="E5355" t="s">
        <v>284</v>
      </c>
      <c r="F5355" t="s">
        <v>413</v>
      </c>
      <c r="J5355" t="s">
        <v>4067</v>
      </c>
    </row>
    <row r="5356" spans="1:10" x14ac:dyDescent="0.3">
      <c r="A5356" t="s">
        <v>10776</v>
      </c>
      <c r="B5356" t="s">
        <v>10777</v>
      </c>
      <c r="D5356">
        <v>4</v>
      </c>
      <c r="E5356" t="s">
        <v>1338</v>
      </c>
      <c r="F5356" t="s">
        <v>10778</v>
      </c>
      <c r="J5356" t="s">
        <v>289</v>
      </c>
    </row>
    <row r="5357" spans="1:10" x14ac:dyDescent="0.3">
      <c r="A5357" t="s">
        <v>4084</v>
      </c>
      <c r="B5357" t="s">
        <v>601</v>
      </c>
      <c r="D5357">
        <v>0.5</v>
      </c>
      <c r="E5357" t="s">
        <v>23</v>
      </c>
      <c r="F5357" t="s">
        <v>602</v>
      </c>
    </row>
    <row r="5358" spans="1:10" x14ac:dyDescent="0.3">
      <c r="A5358" t="s">
        <v>2973</v>
      </c>
      <c r="B5358" t="s">
        <v>1179</v>
      </c>
      <c r="D5358">
        <v>1</v>
      </c>
      <c r="E5358" t="s">
        <v>23</v>
      </c>
      <c r="F5358" t="s">
        <v>233</v>
      </c>
    </row>
    <row r="5359" spans="1:10" x14ac:dyDescent="0.3">
      <c r="A5359" t="s">
        <v>1255</v>
      </c>
      <c r="B5359" t="s">
        <v>10779</v>
      </c>
      <c r="D5359">
        <v>1</v>
      </c>
      <c r="E5359" t="s">
        <v>10780</v>
      </c>
      <c r="F5359" t="s">
        <v>4038</v>
      </c>
      <c r="J5359" t="s">
        <v>20</v>
      </c>
    </row>
    <row r="5360" spans="1:10" x14ac:dyDescent="0.3">
      <c r="A5360" t="s">
        <v>1453</v>
      </c>
      <c r="B5360" t="s">
        <v>10781</v>
      </c>
      <c r="D5360">
        <v>2</v>
      </c>
      <c r="E5360" t="s">
        <v>284</v>
      </c>
      <c r="F5360" t="s">
        <v>10782</v>
      </c>
    </row>
    <row r="5361" spans="1:10" x14ac:dyDescent="0.3">
      <c r="A5361" t="s">
        <v>10783</v>
      </c>
      <c r="B5361" t="s">
        <v>10784</v>
      </c>
      <c r="D5361">
        <v>2</v>
      </c>
      <c r="E5361" t="s">
        <v>473</v>
      </c>
      <c r="F5361" t="s">
        <v>2178</v>
      </c>
      <c r="J5361" t="s">
        <v>4067</v>
      </c>
    </row>
    <row r="5362" spans="1:10" x14ac:dyDescent="0.3">
      <c r="A5362" t="s">
        <v>10785</v>
      </c>
      <c r="B5362" t="s">
        <v>10786</v>
      </c>
      <c r="D5362">
        <v>1</v>
      </c>
      <c r="E5362" t="s">
        <v>460</v>
      </c>
      <c r="F5362" t="s">
        <v>4234</v>
      </c>
    </row>
    <row r="5363" spans="1:10" x14ac:dyDescent="0.3">
      <c r="A5363" t="s">
        <v>8734</v>
      </c>
      <c r="B5363" t="s">
        <v>1596</v>
      </c>
      <c r="D5363">
        <v>1</v>
      </c>
      <c r="E5363" t="s">
        <v>60</v>
      </c>
      <c r="F5363" t="s">
        <v>190</v>
      </c>
    </row>
    <row r="5364" spans="1:10" x14ac:dyDescent="0.3">
      <c r="A5364" t="s">
        <v>10787</v>
      </c>
      <c r="B5364" t="s">
        <v>10788</v>
      </c>
      <c r="D5364">
        <v>10.5</v>
      </c>
      <c r="E5364" t="s">
        <v>23</v>
      </c>
      <c r="F5364" t="s">
        <v>943</v>
      </c>
    </row>
    <row r="5365" spans="1:10" x14ac:dyDescent="0.3">
      <c r="A5365" t="s">
        <v>6036</v>
      </c>
      <c r="B5365" t="s">
        <v>9871</v>
      </c>
      <c r="D5365">
        <v>2</v>
      </c>
      <c r="E5365" t="s">
        <v>10780</v>
      </c>
      <c r="F5365" t="s">
        <v>275</v>
      </c>
    </row>
    <row r="5366" spans="1:10" x14ac:dyDescent="0.3">
      <c r="A5366" t="s">
        <v>4161</v>
      </c>
      <c r="B5366" t="s">
        <v>1726</v>
      </c>
      <c r="D5366">
        <v>0.5</v>
      </c>
      <c r="E5366" t="s">
        <v>23</v>
      </c>
      <c r="F5366" t="s">
        <v>95</v>
      </c>
    </row>
    <row r="5367" spans="1:10" x14ac:dyDescent="0.3">
      <c r="A5367" t="s">
        <v>4594</v>
      </c>
      <c r="B5367" t="s">
        <v>10789</v>
      </c>
      <c r="D5367">
        <v>8</v>
      </c>
      <c r="E5367" t="s">
        <v>345</v>
      </c>
      <c r="F5367" t="s">
        <v>10790</v>
      </c>
      <c r="G5367" t="s">
        <v>9598</v>
      </c>
      <c r="J5367" t="s">
        <v>325</v>
      </c>
    </row>
    <row r="5368" spans="1:10" x14ac:dyDescent="0.3">
      <c r="A5368" t="s">
        <v>5826</v>
      </c>
      <c r="B5368" t="s">
        <v>10791</v>
      </c>
      <c r="D5368">
        <v>1</v>
      </c>
      <c r="E5368" t="s">
        <v>23</v>
      </c>
      <c r="F5368" t="s">
        <v>10792</v>
      </c>
    </row>
    <row r="5369" spans="1:10" x14ac:dyDescent="0.3">
      <c r="A5369" t="s">
        <v>10793</v>
      </c>
      <c r="B5369" t="s">
        <v>10794</v>
      </c>
      <c r="D5369">
        <v>2</v>
      </c>
      <c r="E5369" t="s">
        <v>189</v>
      </c>
      <c r="F5369" t="s">
        <v>10795</v>
      </c>
    </row>
    <row r="5370" spans="1:10" x14ac:dyDescent="0.3">
      <c r="A5370" t="s">
        <v>10796</v>
      </c>
      <c r="B5370" t="s">
        <v>10797</v>
      </c>
      <c r="D5370">
        <v>3</v>
      </c>
      <c r="E5370" t="s">
        <v>23</v>
      </c>
      <c r="F5370" t="s">
        <v>233</v>
      </c>
    </row>
    <row r="5371" spans="1:10" x14ac:dyDescent="0.3">
      <c r="A5371" t="s">
        <v>10798</v>
      </c>
      <c r="B5371" t="s">
        <v>4602</v>
      </c>
      <c r="D5371">
        <v>1</v>
      </c>
      <c r="E5371" t="s">
        <v>1990</v>
      </c>
      <c r="F5371" t="s">
        <v>1989</v>
      </c>
      <c r="J5371" t="s">
        <v>248</v>
      </c>
    </row>
    <row r="5372" spans="1:10" x14ac:dyDescent="0.3">
      <c r="A5372" t="s">
        <v>2652</v>
      </c>
      <c r="B5372" t="s">
        <v>10799</v>
      </c>
      <c r="D5372">
        <v>12</v>
      </c>
      <c r="E5372" t="s">
        <v>10800</v>
      </c>
      <c r="F5372" t="s">
        <v>10801</v>
      </c>
    </row>
    <row r="5373" spans="1:10" x14ac:dyDescent="0.3">
      <c r="A5373" t="s">
        <v>10802</v>
      </c>
      <c r="B5373" t="s">
        <v>2214</v>
      </c>
      <c r="F5373" t="s">
        <v>2214</v>
      </c>
    </row>
    <row r="5374" spans="1:10" x14ac:dyDescent="0.3">
      <c r="A5374" t="s">
        <v>2048</v>
      </c>
      <c r="B5374" t="s">
        <v>1413</v>
      </c>
      <c r="D5374">
        <v>1</v>
      </c>
      <c r="E5374" t="s">
        <v>23</v>
      </c>
      <c r="F5374" t="s">
        <v>292</v>
      </c>
    </row>
    <row r="5375" spans="1:10" x14ac:dyDescent="0.3">
      <c r="A5375" t="s">
        <v>5191</v>
      </c>
      <c r="B5375" t="s">
        <v>10803</v>
      </c>
      <c r="D5375">
        <v>10.5</v>
      </c>
      <c r="E5375" t="s">
        <v>91</v>
      </c>
      <c r="F5375" t="s">
        <v>3981</v>
      </c>
    </row>
    <row r="5376" spans="1:10" x14ac:dyDescent="0.3">
      <c r="A5376" t="s">
        <v>6861</v>
      </c>
      <c r="B5376" t="s">
        <v>8694</v>
      </c>
      <c r="F5376" t="s">
        <v>2078</v>
      </c>
      <c r="G5376" t="s">
        <v>10804</v>
      </c>
      <c r="J5376" t="s">
        <v>8696</v>
      </c>
    </row>
    <row r="5377" spans="1:10" x14ac:dyDescent="0.3">
      <c r="A5377" t="s">
        <v>10805</v>
      </c>
      <c r="B5377" t="s">
        <v>8821</v>
      </c>
      <c r="F5377" t="s">
        <v>317</v>
      </c>
      <c r="J5377" t="s">
        <v>1146</v>
      </c>
    </row>
    <row r="5378" spans="1:10" x14ac:dyDescent="0.3">
      <c r="A5378" t="s">
        <v>1899</v>
      </c>
      <c r="B5378" t="s">
        <v>10806</v>
      </c>
      <c r="D5378">
        <v>0.5</v>
      </c>
      <c r="E5378" t="s">
        <v>23</v>
      </c>
      <c r="F5378" t="s">
        <v>10807</v>
      </c>
    </row>
    <row r="5379" spans="1:10" x14ac:dyDescent="0.3">
      <c r="A5379" t="s">
        <v>10808</v>
      </c>
      <c r="B5379" t="s">
        <v>10809</v>
      </c>
      <c r="D5379">
        <v>175</v>
      </c>
      <c r="E5379" t="s">
        <v>29</v>
      </c>
      <c r="F5379" t="s">
        <v>1056</v>
      </c>
      <c r="G5379" t="s">
        <v>10132</v>
      </c>
    </row>
    <row r="5380" spans="1:10" x14ac:dyDescent="0.3">
      <c r="A5380" t="s">
        <v>3712</v>
      </c>
      <c r="B5380" t="s">
        <v>1141</v>
      </c>
      <c r="D5380">
        <v>50</v>
      </c>
      <c r="E5380" t="s">
        <v>29</v>
      </c>
      <c r="F5380" t="s">
        <v>1142</v>
      </c>
    </row>
    <row r="5381" spans="1:10" x14ac:dyDescent="0.3">
      <c r="A5381" t="s">
        <v>10810</v>
      </c>
      <c r="B5381" t="s">
        <v>10811</v>
      </c>
      <c r="D5381">
        <v>0.5</v>
      </c>
      <c r="E5381" t="s">
        <v>284</v>
      </c>
      <c r="F5381" t="s">
        <v>413</v>
      </c>
      <c r="J5381" t="s">
        <v>4067</v>
      </c>
    </row>
    <row r="5382" spans="1:10" x14ac:dyDescent="0.3">
      <c r="A5382" t="s">
        <v>10812</v>
      </c>
      <c r="B5382" t="s">
        <v>64</v>
      </c>
      <c r="F5382" t="s">
        <v>64</v>
      </c>
    </row>
    <row r="5383" spans="1:10" x14ac:dyDescent="0.3">
      <c r="A5383" t="s">
        <v>7088</v>
      </c>
      <c r="B5383" t="s">
        <v>10813</v>
      </c>
      <c r="D5383">
        <v>2</v>
      </c>
      <c r="E5383" t="s">
        <v>23</v>
      </c>
      <c r="F5383" t="s">
        <v>57</v>
      </c>
    </row>
    <row r="5384" spans="1:10" x14ac:dyDescent="0.3">
      <c r="A5384" t="s">
        <v>5624</v>
      </c>
      <c r="B5384" t="s">
        <v>5809</v>
      </c>
      <c r="D5384">
        <v>1</v>
      </c>
      <c r="E5384" t="s">
        <v>23</v>
      </c>
      <c r="F5384" t="s">
        <v>88</v>
      </c>
    </row>
    <row r="5385" spans="1:10" x14ac:dyDescent="0.3">
      <c r="A5385" t="s">
        <v>293</v>
      </c>
      <c r="B5385" t="s">
        <v>5132</v>
      </c>
      <c r="D5385">
        <v>1</v>
      </c>
      <c r="E5385" t="s">
        <v>120</v>
      </c>
      <c r="F5385" t="s">
        <v>4306</v>
      </c>
    </row>
    <row r="5386" spans="1:10" x14ac:dyDescent="0.3">
      <c r="A5386" t="s">
        <v>10814</v>
      </c>
      <c r="B5386" t="s">
        <v>10815</v>
      </c>
      <c r="D5386">
        <v>150</v>
      </c>
      <c r="E5386" t="s">
        <v>2267</v>
      </c>
      <c r="F5386" t="s">
        <v>51</v>
      </c>
    </row>
    <row r="5387" spans="1:10" x14ac:dyDescent="0.3">
      <c r="A5387" t="s">
        <v>5401</v>
      </c>
      <c r="B5387" t="s">
        <v>10816</v>
      </c>
      <c r="D5387">
        <v>1</v>
      </c>
      <c r="E5387" t="s">
        <v>10817</v>
      </c>
      <c r="F5387" t="s">
        <v>10818</v>
      </c>
    </row>
    <row r="5388" spans="1:10" x14ac:dyDescent="0.3">
      <c r="A5388" t="s">
        <v>10819</v>
      </c>
      <c r="B5388" t="s">
        <v>10820</v>
      </c>
      <c r="D5388">
        <v>1</v>
      </c>
      <c r="E5388" t="s">
        <v>23</v>
      </c>
      <c r="F5388" t="s">
        <v>10821</v>
      </c>
      <c r="G5388" t="s">
        <v>10822</v>
      </c>
    </row>
    <row r="5389" spans="1:10" x14ac:dyDescent="0.3">
      <c r="A5389" t="s">
        <v>2860</v>
      </c>
      <c r="B5389" t="s">
        <v>1456</v>
      </c>
      <c r="D5389">
        <v>1</v>
      </c>
      <c r="E5389" t="s">
        <v>460</v>
      </c>
      <c r="F5389" t="s">
        <v>1457</v>
      </c>
    </row>
    <row r="5390" spans="1:10" x14ac:dyDescent="0.3">
      <c r="A5390" t="s">
        <v>10823</v>
      </c>
      <c r="B5390" t="s">
        <v>637</v>
      </c>
      <c r="D5390">
        <v>1</v>
      </c>
      <c r="E5390" t="s">
        <v>23</v>
      </c>
      <c r="F5390" t="s">
        <v>638</v>
      </c>
    </row>
    <row r="5391" spans="1:10" x14ac:dyDescent="0.3">
      <c r="A5391" t="s">
        <v>10824</v>
      </c>
      <c r="B5391" t="s">
        <v>5359</v>
      </c>
      <c r="D5391">
        <v>0.75</v>
      </c>
      <c r="E5391" t="s">
        <v>23</v>
      </c>
      <c r="F5391" t="s">
        <v>365</v>
      </c>
    </row>
    <row r="5392" spans="1:10" x14ac:dyDescent="0.3">
      <c r="A5392" t="s">
        <v>10825</v>
      </c>
      <c r="B5392" t="s">
        <v>1415</v>
      </c>
      <c r="D5392">
        <v>0.5</v>
      </c>
      <c r="E5392" t="s">
        <v>37</v>
      </c>
      <c r="F5392" t="s">
        <v>1416</v>
      </c>
    </row>
    <row r="5393" spans="1:10" x14ac:dyDescent="0.3">
      <c r="A5393" t="s">
        <v>2280</v>
      </c>
      <c r="B5393" t="s">
        <v>10826</v>
      </c>
      <c r="D5393">
        <v>15</v>
      </c>
      <c r="E5393" t="s">
        <v>29</v>
      </c>
      <c r="F5393" t="s">
        <v>10827</v>
      </c>
    </row>
    <row r="5394" spans="1:10" x14ac:dyDescent="0.3">
      <c r="A5394" t="s">
        <v>10828</v>
      </c>
      <c r="B5394" t="s">
        <v>10829</v>
      </c>
      <c r="D5394">
        <v>0.75</v>
      </c>
      <c r="E5394" t="s">
        <v>23</v>
      </c>
      <c r="F5394" t="s">
        <v>10830</v>
      </c>
    </row>
    <row r="5395" spans="1:10" x14ac:dyDescent="0.3">
      <c r="A5395" t="s">
        <v>10831</v>
      </c>
      <c r="B5395" t="s">
        <v>10832</v>
      </c>
      <c r="D5395">
        <v>4</v>
      </c>
      <c r="E5395" t="s">
        <v>23</v>
      </c>
      <c r="F5395" t="s">
        <v>10833</v>
      </c>
    </row>
    <row r="5396" spans="1:10" x14ac:dyDescent="0.3">
      <c r="A5396" t="s">
        <v>6179</v>
      </c>
      <c r="B5396" t="s">
        <v>9347</v>
      </c>
      <c r="D5396">
        <v>1</v>
      </c>
      <c r="F5396" t="s">
        <v>163</v>
      </c>
    </row>
    <row r="5397" spans="1:10" x14ac:dyDescent="0.3">
      <c r="A5397" t="s">
        <v>10834</v>
      </c>
      <c r="B5397" t="s">
        <v>10835</v>
      </c>
      <c r="D5397">
        <v>2</v>
      </c>
      <c r="E5397" t="s">
        <v>23</v>
      </c>
      <c r="F5397" t="s">
        <v>183</v>
      </c>
      <c r="J5397" t="s">
        <v>289</v>
      </c>
    </row>
    <row r="5398" spans="1:10" x14ac:dyDescent="0.3">
      <c r="A5398" t="s">
        <v>10836</v>
      </c>
      <c r="B5398" t="s">
        <v>5437</v>
      </c>
      <c r="F5398" t="s">
        <v>262</v>
      </c>
      <c r="J5398" t="s">
        <v>65</v>
      </c>
    </row>
    <row r="5399" spans="1:10" x14ac:dyDescent="0.3">
      <c r="A5399" t="s">
        <v>10837</v>
      </c>
      <c r="B5399" t="s">
        <v>10838</v>
      </c>
      <c r="D5399">
        <v>12</v>
      </c>
      <c r="E5399" t="s">
        <v>23</v>
      </c>
      <c r="F5399" t="s">
        <v>10839</v>
      </c>
    </row>
    <row r="5400" spans="1:10" x14ac:dyDescent="0.3">
      <c r="A5400" t="s">
        <v>10840</v>
      </c>
      <c r="B5400" t="s">
        <v>10841</v>
      </c>
      <c r="D5400">
        <v>1</v>
      </c>
      <c r="E5400" t="s">
        <v>37</v>
      </c>
      <c r="F5400" t="s">
        <v>1416</v>
      </c>
    </row>
    <row r="5401" spans="1:10" x14ac:dyDescent="0.3">
      <c r="A5401" t="s">
        <v>10842</v>
      </c>
      <c r="B5401" t="s">
        <v>10843</v>
      </c>
      <c r="D5401">
        <v>10</v>
      </c>
      <c r="E5401" t="s">
        <v>29</v>
      </c>
      <c r="F5401" t="s">
        <v>10844</v>
      </c>
    </row>
    <row r="5402" spans="1:10" x14ac:dyDescent="0.3">
      <c r="A5402" t="s">
        <v>10845</v>
      </c>
      <c r="B5402" t="s">
        <v>10846</v>
      </c>
      <c r="D5402">
        <v>1</v>
      </c>
      <c r="E5402" t="s">
        <v>1813</v>
      </c>
      <c r="F5402" t="s">
        <v>10743</v>
      </c>
    </row>
    <row r="5403" spans="1:10" x14ac:dyDescent="0.3">
      <c r="A5403" t="s">
        <v>10358</v>
      </c>
      <c r="B5403" t="s">
        <v>10847</v>
      </c>
      <c r="D5403">
        <v>0.5</v>
      </c>
      <c r="E5403" t="s">
        <v>23</v>
      </c>
      <c r="F5403" t="s">
        <v>10848</v>
      </c>
    </row>
    <row r="5404" spans="1:10" x14ac:dyDescent="0.3">
      <c r="A5404" t="s">
        <v>10849</v>
      </c>
      <c r="B5404" t="s">
        <v>10850</v>
      </c>
      <c r="D5404">
        <v>1</v>
      </c>
      <c r="E5404" t="s">
        <v>18</v>
      </c>
      <c r="F5404" t="s">
        <v>3942</v>
      </c>
    </row>
    <row r="5405" spans="1:10" x14ac:dyDescent="0.3">
      <c r="A5405" t="s">
        <v>10851</v>
      </c>
      <c r="B5405" t="s">
        <v>6779</v>
      </c>
      <c r="D5405">
        <v>3</v>
      </c>
      <c r="E5405" t="s">
        <v>23</v>
      </c>
      <c r="F5405" t="s">
        <v>233</v>
      </c>
    </row>
    <row r="5406" spans="1:10" x14ac:dyDescent="0.3">
      <c r="A5406" t="s">
        <v>10852</v>
      </c>
      <c r="B5406" t="s">
        <v>10853</v>
      </c>
      <c r="D5406">
        <v>0.75</v>
      </c>
      <c r="E5406" t="s">
        <v>23</v>
      </c>
      <c r="F5406" t="s">
        <v>3071</v>
      </c>
    </row>
    <row r="5407" spans="1:10" x14ac:dyDescent="0.3">
      <c r="A5407" t="s">
        <v>10854</v>
      </c>
      <c r="B5407" t="s">
        <v>10855</v>
      </c>
      <c r="D5407">
        <v>5</v>
      </c>
      <c r="E5407" t="s">
        <v>37</v>
      </c>
      <c r="F5407" t="s">
        <v>349</v>
      </c>
    </row>
    <row r="5408" spans="1:10" x14ac:dyDescent="0.3">
      <c r="A5408" t="s">
        <v>10856</v>
      </c>
      <c r="B5408" t="s">
        <v>10857</v>
      </c>
      <c r="D5408">
        <v>12</v>
      </c>
      <c r="E5408" t="s">
        <v>23</v>
      </c>
      <c r="F5408" t="s">
        <v>1971</v>
      </c>
    </row>
    <row r="5409" spans="1:10" x14ac:dyDescent="0.3">
      <c r="A5409" t="s">
        <v>10858</v>
      </c>
      <c r="B5409" t="s">
        <v>10859</v>
      </c>
      <c r="D5409">
        <v>0.75</v>
      </c>
      <c r="E5409" t="s">
        <v>37</v>
      </c>
      <c r="F5409" t="s">
        <v>4705</v>
      </c>
    </row>
    <row r="5410" spans="1:10" x14ac:dyDescent="0.3">
      <c r="A5410" t="s">
        <v>10860</v>
      </c>
      <c r="B5410" t="s">
        <v>10861</v>
      </c>
      <c r="D5410">
        <v>1</v>
      </c>
      <c r="E5410" t="s">
        <v>37</v>
      </c>
      <c r="F5410" t="s">
        <v>10862</v>
      </c>
      <c r="J5410" t="s">
        <v>10863</v>
      </c>
    </row>
    <row r="5411" spans="1:10" x14ac:dyDescent="0.3">
      <c r="A5411" t="s">
        <v>8386</v>
      </c>
      <c r="B5411" t="s">
        <v>10864</v>
      </c>
      <c r="D5411">
        <v>1</v>
      </c>
      <c r="E5411" t="s">
        <v>37</v>
      </c>
      <c r="F5411" t="s">
        <v>2552</v>
      </c>
    </row>
    <row r="5412" spans="1:10" x14ac:dyDescent="0.3">
      <c r="A5412" t="s">
        <v>8883</v>
      </c>
      <c r="B5412" t="s">
        <v>7198</v>
      </c>
      <c r="D5412">
        <v>2</v>
      </c>
      <c r="E5412" t="s">
        <v>23</v>
      </c>
      <c r="F5412" t="s">
        <v>1445</v>
      </c>
    </row>
    <row r="5413" spans="1:10" x14ac:dyDescent="0.3">
      <c r="A5413" t="s">
        <v>10865</v>
      </c>
      <c r="B5413" t="s">
        <v>743</v>
      </c>
      <c r="F5413" t="s">
        <v>743</v>
      </c>
    </row>
    <row r="5414" spans="1:10" x14ac:dyDescent="0.3">
      <c r="A5414" t="s">
        <v>10866</v>
      </c>
      <c r="B5414" t="s">
        <v>10867</v>
      </c>
      <c r="D5414">
        <v>16</v>
      </c>
      <c r="E5414" t="s">
        <v>3457</v>
      </c>
      <c r="F5414" t="s">
        <v>10868</v>
      </c>
      <c r="J5414" t="s">
        <v>5072</v>
      </c>
    </row>
    <row r="5415" spans="1:10" x14ac:dyDescent="0.3">
      <c r="A5415" t="s">
        <v>10869</v>
      </c>
      <c r="B5415" t="s">
        <v>10870</v>
      </c>
      <c r="D5415">
        <v>2</v>
      </c>
      <c r="E5415" t="s">
        <v>23</v>
      </c>
      <c r="F5415" t="s">
        <v>1407</v>
      </c>
    </row>
    <row r="5416" spans="1:10" x14ac:dyDescent="0.3">
      <c r="A5416" t="s">
        <v>10871</v>
      </c>
      <c r="B5416" t="s">
        <v>6799</v>
      </c>
      <c r="D5416">
        <v>1</v>
      </c>
      <c r="E5416" t="s">
        <v>23</v>
      </c>
      <c r="F5416" t="s">
        <v>1084</v>
      </c>
      <c r="G5416" t="s">
        <v>399</v>
      </c>
    </row>
    <row r="5417" spans="1:10" x14ac:dyDescent="0.3">
      <c r="A5417" t="s">
        <v>10872</v>
      </c>
      <c r="B5417" t="s">
        <v>10873</v>
      </c>
      <c r="D5417">
        <v>1</v>
      </c>
      <c r="E5417" t="s">
        <v>460</v>
      </c>
      <c r="F5417" t="s">
        <v>10874</v>
      </c>
      <c r="G5417" t="s">
        <v>10822</v>
      </c>
    </row>
    <row r="5418" spans="1:10" x14ac:dyDescent="0.3">
      <c r="A5418" t="s">
        <v>10875</v>
      </c>
      <c r="B5418" t="s">
        <v>2598</v>
      </c>
      <c r="D5418">
        <v>1</v>
      </c>
      <c r="E5418" t="s">
        <v>23</v>
      </c>
      <c r="F5418" t="s">
        <v>2599</v>
      </c>
    </row>
    <row r="5419" spans="1:10" x14ac:dyDescent="0.3">
      <c r="A5419" t="s">
        <v>10876</v>
      </c>
      <c r="B5419" t="s">
        <v>10877</v>
      </c>
      <c r="E5419" t="s">
        <v>33</v>
      </c>
      <c r="F5419" t="s">
        <v>1056</v>
      </c>
      <c r="J5419" t="s">
        <v>10878</v>
      </c>
    </row>
    <row r="5420" spans="1:10" x14ac:dyDescent="0.3">
      <c r="A5420" t="s">
        <v>4475</v>
      </c>
      <c r="B5420" t="s">
        <v>9688</v>
      </c>
      <c r="D5420">
        <v>1</v>
      </c>
      <c r="E5420" t="s">
        <v>23</v>
      </c>
      <c r="F5420" t="s">
        <v>638</v>
      </c>
    </row>
    <row r="5421" spans="1:10" x14ac:dyDescent="0.3">
      <c r="A5421" t="s">
        <v>10879</v>
      </c>
      <c r="B5421" t="s">
        <v>2351</v>
      </c>
      <c r="D5421">
        <v>0.5</v>
      </c>
      <c r="E5421" t="s">
        <v>23</v>
      </c>
      <c r="F5421" t="s">
        <v>2352</v>
      </c>
    </row>
    <row r="5422" spans="1:10" x14ac:dyDescent="0.3">
      <c r="A5422" t="s">
        <v>10880</v>
      </c>
      <c r="B5422" t="s">
        <v>10881</v>
      </c>
      <c r="D5422">
        <v>1</v>
      </c>
      <c r="E5422" t="s">
        <v>4545</v>
      </c>
      <c r="F5422" t="s">
        <v>1476</v>
      </c>
      <c r="J5422" t="s">
        <v>10882</v>
      </c>
    </row>
    <row r="5423" spans="1:10" x14ac:dyDescent="0.3">
      <c r="A5423" t="s">
        <v>5287</v>
      </c>
      <c r="B5423" t="s">
        <v>10883</v>
      </c>
      <c r="D5423">
        <v>1</v>
      </c>
      <c r="E5423" t="s">
        <v>284</v>
      </c>
      <c r="F5423" t="s">
        <v>581</v>
      </c>
    </row>
    <row r="5424" spans="1:10" x14ac:dyDescent="0.3">
      <c r="A5424" t="s">
        <v>10884</v>
      </c>
      <c r="B5424" t="s">
        <v>10885</v>
      </c>
      <c r="D5424">
        <v>6</v>
      </c>
      <c r="E5424" t="s">
        <v>23</v>
      </c>
      <c r="F5424" t="s">
        <v>224</v>
      </c>
    </row>
    <row r="5425" spans="1:7" x14ac:dyDescent="0.3">
      <c r="A5425" t="s">
        <v>10886</v>
      </c>
      <c r="B5425" t="s">
        <v>10887</v>
      </c>
      <c r="D5425">
        <v>10.5</v>
      </c>
      <c r="E5425" t="s">
        <v>91</v>
      </c>
      <c r="F5425" t="s">
        <v>5688</v>
      </c>
    </row>
    <row r="5426" spans="1:7" x14ac:dyDescent="0.3">
      <c r="A5426" t="s">
        <v>10888</v>
      </c>
      <c r="B5426" t="s">
        <v>4455</v>
      </c>
      <c r="D5426">
        <v>50</v>
      </c>
      <c r="E5426" t="s">
        <v>29</v>
      </c>
      <c r="F5426" t="s">
        <v>10889</v>
      </c>
    </row>
    <row r="5427" spans="1:7" x14ac:dyDescent="0.3">
      <c r="A5427" t="s">
        <v>3789</v>
      </c>
      <c r="B5427" t="s">
        <v>188</v>
      </c>
      <c r="D5427">
        <v>2</v>
      </c>
      <c r="E5427" t="s">
        <v>189</v>
      </c>
      <c r="F5427" t="s">
        <v>190</v>
      </c>
    </row>
    <row r="5428" spans="1:7" x14ac:dyDescent="0.3">
      <c r="A5428" t="s">
        <v>5562</v>
      </c>
      <c r="B5428" t="s">
        <v>743</v>
      </c>
      <c r="F5428" t="s">
        <v>743</v>
      </c>
    </row>
    <row r="5429" spans="1:7" x14ac:dyDescent="0.3">
      <c r="A5429" t="s">
        <v>10890</v>
      </c>
      <c r="B5429" t="s">
        <v>10891</v>
      </c>
      <c r="D5429">
        <v>2</v>
      </c>
      <c r="E5429" t="s">
        <v>11</v>
      </c>
      <c r="F5429" t="s">
        <v>3297</v>
      </c>
    </row>
    <row r="5430" spans="1:7" x14ac:dyDescent="0.3">
      <c r="A5430" t="s">
        <v>10892</v>
      </c>
      <c r="B5430" t="s">
        <v>10893</v>
      </c>
      <c r="D5430">
        <v>0.5</v>
      </c>
      <c r="E5430" t="s">
        <v>10894</v>
      </c>
      <c r="F5430" t="s">
        <v>2376</v>
      </c>
      <c r="G5430" t="s">
        <v>1813</v>
      </c>
    </row>
    <row r="5431" spans="1:7" x14ac:dyDescent="0.3">
      <c r="A5431" t="s">
        <v>4348</v>
      </c>
      <c r="B5431" t="s">
        <v>10895</v>
      </c>
      <c r="D5431">
        <v>50</v>
      </c>
      <c r="E5431" t="s">
        <v>29</v>
      </c>
      <c r="F5431" t="s">
        <v>10896</v>
      </c>
    </row>
    <row r="5432" spans="1:7" x14ac:dyDescent="0.3">
      <c r="A5432" t="s">
        <v>10897</v>
      </c>
      <c r="B5432" t="s">
        <v>10898</v>
      </c>
      <c r="D5432">
        <v>1</v>
      </c>
      <c r="E5432" t="s">
        <v>18</v>
      </c>
      <c r="F5432" t="s">
        <v>10899</v>
      </c>
    </row>
    <row r="5433" spans="1:7" x14ac:dyDescent="0.3">
      <c r="A5433" t="s">
        <v>9166</v>
      </c>
      <c r="B5433" t="s">
        <v>10900</v>
      </c>
      <c r="D5433">
        <v>2</v>
      </c>
      <c r="F5433" t="s">
        <v>10901</v>
      </c>
      <c r="G5433" t="s">
        <v>10902</v>
      </c>
    </row>
    <row r="5434" spans="1:7" x14ac:dyDescent="0.3">
      <c r="A5434" t="s">
        <v>10903</v>
      </c>
      <c r="B5434" t="s">
        <v>10904</v>
      </c>
      <c r="D5434">
        <v>0.25</v>
      </c>
      <c r="E5434" t="s">
        <v>37</v>
      </c>
      <c r="F5434" t="s">
        <v>10905</v>
      </c>
    </row>
    <row r="5435" spans="1:7" x14ac:dyDescent="0.3">
      <c r="A5435" t="s">
        <v>10906</v>
      </c>
      <c r="B5435" t="s">
        <v>10907</v>
      </c>
      <c r="D5435">
        <v>1.5</v>
      </c>
      <c r="E5435" t="s">
        <v>91</v>
      </c>
      <c r="F5435" t="s">
        <v>10908</v>
      </c>
    </row>
    <row r="5436" spans="1:7" x14ac:dyDescent="0.3">
      <c r="A5436" t="s">
        <v>10909</v>
      </c>
      <c r="B5436" t="s">
        <v>4442</v>
      </c>
      <c r="D5436">
        <v>1</v>
      </c>
      <c r="E5436" t="s">
        <v>23</v>
      </c>
      <c r="F5436" t="s">
        <v>30</v>
      </c>
    </row>
    <row r="5437" spans="1:7" x14ac:dyDescent="0.3">
      <c r="A5437" t="s">
        <v>10910</v>
      </c>
      <c r="B5437" t="s">
        <v>8643</v>
      </c>
      <c r="F5437" t="s">
        <v>8643</v>
      </c>
    </row>
    <row r="5438" spans="1:7" x14ac:dyDescent="0.3">
      <c r="A5438" t="s">
        <v>5240</v>
      </c>
      <c r="B5438" t="s">
        <v>10911</v>
      </c>
      <c r="D5438">
        <v>1</v>
      </c>
      <c r="E5438" t="s">
        <v>426</v>
      </c>
      <c r="F5438" t="s">
        <v>1644</v>
      </c>
    </row>
    <row r="5439" spans="1:7" x14ac:dyDescent="0.3">
      <c r="A5439" t="s">
        <v>10912</v>
      </c>
      <c r="B5439" t="s">
        <v>10913</v>
      </c>
      <c r="D5439">
        <v>1.5</v>
      </c>
      <c r="E5439" t="s">
        <v>91</v>
      </c>
      <c r="F5439" t="s">
        <v>6276</v>
      </c>
    </row>
    <row r="5440" spans="1:7" x14ac:dyDescent="0.3">
      <c r="A5440" t="s">
        <v>10914</v>
      </c>
      <c r="B5440" t="s">
        <v>10915</v>
      </c>
      <c r="D5440">
        <v>0.5</v>
      </c>
      <c r="E5440" t="s">
        <v>23</v>
      </c>
      <c r="F5440" t="s">
        <v>979</v>
      </c>
    </row>
    <row r="5441" spans="1:10" x14ac:dyDescent="0.3">
      <c r="A5441" t="s">
        <v>10916</v>
      </c>
      <c r="B5441" t="s">
        <v>5590</v>
      </c>
      <c r="D5441">
        <v>1</v>
      </c>
      <c r="E5441" t="s">
        <v>23</v>
      </c>
      <c r="F5441" t="s">
        <v>81</v>
      </c>
    </row>
    <row r="5442" spans="1:10" x14ac:dyDescent="0.3">
      <c r="A5442" t="s">
        <v>4200</v>
      </c>
      <c r="B5442" t="s">
        <v>10917</v>
      </c>
      <c r="D5442">
        <v>0.75</v>
      </c>
      <c r="E5442" t="s">
        <v>206</v>
      </c>
      <c r="F5442" t="s">
        <v>38</v>
      </c>
      <c r="H5442" t="s">
        <v>68</v>
      </c>
    </row>
    <row r="5443" spans="1:10" x14ac:dyDescent="0.3">
      <c r="A5443" t="s">
        <v>10918</v>
      </c>
      <c r="B5443" t="s">
        <v>10919</v>
      </c>
      <c r="D5443">
        <v>0.75</v>
      </c>
      <c r="E5443" t="s">
        <v>91</v>
      </c>
      <c r="F5443" t="s">
        <v>380</v>
      </c>
    </row>
    <row r="5444" spans="1:10" x14ac:dyDescent="0.3">
      <c r="A5444" t="s">
        <v>8070</v>
      </c>
      <c r="B5444" t="s">
        <v>10920</v>
      </c>
      <c r="D5444">
        <v>0.25</v>
      </c>
      <c r="E5444" t="s">
        <v>37</v>
      </c>
      <c r="F5444" t="s">
        <v>10921</v>
      </c>
      <c r="J5444" t="s">
        <v>10922</v>
      </c>
    </row>
    <row r="5445" spans="1:10" x14ac:dyDescent="0.3">
      <c r="A5445" t="s">
        <v>10923</v>
      </c>
      <c r="B5445" t="s">
        <v>10924</v>
      </c>
      <c r="D5445">
        <v>4.5</v>
      </c>
      <c r="E5445" t="s">
        <v>460</v>
      </c>
      <c r="F5445" t="s">
        <v>5178</v>
      </c>
      <c r="J5445" t="s">
        <v>10925</v>
      </c>
    </row>
    <row r="5446" spans="1:10" x14ac:dyDescent="0.3">
      <c r="A5446" t="s">
        <v>10926</v>
      </c>
      <c r="B5446" t="s">
        <v>6481</v>
      </c>
      <c r="D5446">
        <v>0.25</v>
      </c>
      <c r="E5446" t="s">
        <v>23</v>
      </c>
      <c r="F5446" t="s">
        <v>936</v>
      </c>
    </row>
    <row r="5447" spans="1:10" x14ac:dyDescent="0.3">
      <c r="A5447" t="s">
        <v>10927</v>
      </c>
      <c r="B5447" t="s">
        <v>10928</v>
      </c>
      <c r="D5447">
        <v>3</v>
      </c>
      <c r="F5447" t="s">
        <v>1440</v>
      </c>
    </row>
    <row r="5448" spans="1:10" x14ac:dyDescent="0.3">
      <c r="A5448" t="s">
        <v>10929</v>
      </c>
      <c r="B5448" t="s">
        <v>10930</v>
      </c>
      <c r="E5448" t="s">
        <v>1671</v>
      </c>
      <c r="F5448" t="s">
        <v>163</v>
      </c>
      <c r="J5448" t="s">
        <v>2995</v>
      </c>
    </row>
    <row r="5449" spans="1:10" x14ac:dyDescent="0.3">
      <c r="A5449" t="s">
        <v>3866</v>
      </c>
      <c r="B5449" t="s">
        <v>10931</v>
      </c>
      <c r="D5449">
        <v>0.25</v>
      </c>
      <c r="E5449" t="s">
        <v>23</v>
      </c>
      <c r="F5449" t="s">
        <v>81</v>
      </c>
      <c r="J5449" t="s">
        <v>289</v>
      </c>
    </row>
    <row r="5450" spans="1:10" x14ac:dyDescent="0.3">
      <c r="A5450" t="s">
        <v>10932</v>
      </c>
      <c r="B5450" t="s">
        <v>159</v>
      </c>
      <c r="D5450">
        <v>0.75</v>
      </c>
      <c r="E5450" t="s">
        <v>23</v>
      </c>
      <c r="F5450" t="s">
        <v>160</v>
      </c>
      <c r="H5450" t="s">
        <v>68</v>
      </c>
    </row>
    <row r="5451" spans="1:10" x14ac:dyDescent="0.3">
      <c r="A5451" t="s">
        <v>7727</v>
      </c>
      <c r="B5451" t="s">
        <v>5368</v>
      </c>
      <c r="D5451">
        <v>10.25</v>
      </c>
      <c r="E5451" t="s">
        <v>23</v>
      </c>
      <c r="F5451" t="s">
        <v>1328</v>
      </c>
    </row>
    <row r="5452" spans="1:10" x14ac:dyDescent="0.3">
      <c r="A5452" t="s">
        <v>10933</v>
      </c>
      <c r="B5452" t="s">
        <v>10934</v>
      </c>
      <c r="D5452">
        <v>2</v>
      </c>
      <c r="E5452" t="s">
        <v>91</v>
      </c>
      <c r="F5452" t="s">
        <v>5448</v>
      </c>
    </row>
    <row r="5453" spans="1:10" x14ac:dyDescent="0.3">
      <c r="A5453" t="s">
        <v>10935</v>
      </c>
      <c r="B5453" t="s">
        <v>10936</v>
      </c>
      <c r="D5453">
        <v>0.5</v>
      </c>
      <c r="E5453" t="s">
        <v>50</v>
      </c>
      <c r="F5453" t="s">
        <v>51</v>
      </c>
    </row>
    <row r="5454" spans="1:10" x14ac:dyDescent="0.3">
      <c r="A5454" t="s">
        <v>334</v>
      </c>
      <c r="B5454" t="s">
        <v>10937</v>
      </c>
      <c r="D5454">
        <v>2</v>
      </c>
      <c r="E5454" t="s">
        <v>176</v>
      </c>
      <c r="F5454" t="s">
        <v>516</v>
      </c>
      <c r="H5454" t="s">
        <v>68</v>
      </c>
    </row>
    <row r="5455" spans="1:10" x14ac:dyDescent="0.3">
      <c r="A5455" t="s">
        <v>10938</v>
      </c>
      <c r="B5455" t="s">
        <v>10939</v>
      </c>
      <c r="D5455">
        <v>25</v>
      </c>
      <c r="E5455" t="s">
        <v>29</v>
      </c>
      <c r="F5455" t="s">
        <v>183</v>
      </c>
    </row>
    <row r="5456" spans="1:10" x14ac:dyDescent="0.3">
      <c r="A5456" t="s">
        <v>10940</v>
      </c>
      <c r="B5456" t="s">
        <v>10941</v>
      </c>
      <c r="D5456">
        <v>1</v>
      </c>
      <c r="E5456" t="s">
        <v>23</v>
      </c>
      <c r="F5456" t="s">
        <v>2034</v>
      </c>
    </row>
    <row r="5457" spans="1:10" x14ac:dyDescent="0.3">
      <c r="A5457" t="s">
        <v>10942</v>
      </c>
      <c r="B5457" t="s">
        <v>10943</v>
      </c>
      <c r="D5457">
        <v>1</v>
      </c>
      <c r="E5457" t="s">
        <v>23</v>
      </c>
      <c r="F5457" t="s">
        <v>402</v>
      </c>
    </row>
    <row r="5458" spans="1:10" x14ac:dyDescent="0.3">
      <c r="A5458" t="s">
        <v>10944</v>
      </c>
      <c r="B5458" t="s">
        <v>10945</v>
      </c>
      <c r="F5458" t="s">
        <v>413</v>
      </c>
      <c r="G5458" t="s">
        <v>1512</v>
      </c>
      <c r="J5458" t="s">
        <v>10946</v>
      </c>
    </row>
    <row r="5459" spans="1:10" x14ac:dyDescent="0.3">
      <c r="A5459" t="s">
        <v>10947</v>
      </c>
      <c r="B5459" t="s">
        <v>5192</v>
      </c>
      <c r="D5459">
        <v>2</v>
      </c>
      <c r="E5459" t="s">
        <v>23</v>
      </c>
      <c r="F5459" t="s">
        <v>233</v>
      </c>
    </row>
    <row r="5460" spans="1:10" x14ac:dyDescent="0.3">
      <c r="A5460" t="s">
        <v>10948</v>
      </c>
      <c r="B5460" t="s">
        <v>8197</v>
      </c>
      <c r="D5460">
        <v>2</v>
      </c>
      <c r="E5460" t="s">
        <v>23</v>
      </c>
      <c r="F5460" t="s">
        <v>638</v>
      </c>
    </row>
    <row r="5461" spans="1:10" x14ac:dyDescent="0.3">
      <c r="A5461" t="s">
        <v>10949</v>
      </c>
      <c r="B5461" t="s">
        <v>10950</v>
      </c>
      <c r="D5461">
        <v>6</v>
      </c>
      <c r="F5461" t="s">
        <v>538</v>
      </c>
      <c r="J5461" t="s">
        <v>10951</v>
      </c>
    </row>
    <row r="5462" spans="1:10" x14ac:dyDescent="0.3">
      <c r="A5462" t="s">
        <v>10952</v>
      </c>
      <c r="B5462" t="s">
        <v>10953</v>
      </c>
      <c r="D5462">
        <v>1</v>
      </c>
      <c r="F5462" t="s">
        <v>10954</v>
      </c>
      <c r="J5462" t="s">
        <v>6615</v>
      </c>
    </row>
    <row r="5463" spans="1:10" x14ac:dyDescent="0.3">
      <c r="A5463" t="s">
        <v>10955</v>
      </c>
      <c r="B5463" t="s">
        <v>10956</v>
      </c>
      <c r="F5463" t="s">
        <v>10956</v>
      </c>
    </row>
    <row r="5464" spans="1:10" x14ac:dyDescent="0.3">
      <c r="A5464" t="s">
        <v>10957</v>
      </c>
      <c r="B5464" t="s">
        <v>10958</v>
      </c>
      <c r="D5464">
        <v>1</v>
      </c>
      <c r="E5464" t="s">
        <v>111</v>
      </c>
      <c r="F5464" t="s">
        <v>738</v>
      </c>
    </row>
    <row r="5465" spans="1:10" x14ac:dyDescent="0.3">
      <c r="A5465" t="s">
        <v>10959</v>
      </c>
      <c r="B5465" t="s">
        <v>10960</v>
      </c>
      <c r="D5465">
        <v>2</v>
      </c>
      <c r="E5465" t="s">
        <v>189</v>
      </c>
      <c r="F5465" t="s">
        <v>10961</v>
      </c>
    </row>
    <row r="5466" spans="1:10" x14ac:dyDescent="0.3">
      <c r="A5466" t="s">
        <v>10962</v>
      </c>
      <c r="B5466" t="s">
        <v>10963</v>
      </c>
      <c r="D5466">
        <v>0.25</v>
      </c>
      <c r="E5466" t="s">
        <v>284</v>
      </c>
      <c r="F5466" t="s">
        <v>10964</v>
      </c>
      <c r="J5466" t="s">
        <v>10965</v>
      </c>
    </row>
    <row r="5467" spans="1:10" x14ac:dyDescent="0.3">
      <c r="A5467" t="s">
        <v>10966</v>
      </c>
      <c r="B5467" t="s">
        <v>10967</v>
      </c>
      <c r="F5467" t="s">
        <v>38</v>
      </c>
      <c r="H5467" t="s">
        <v>814</v>
      </c>
      <c r="J5467" t="s">
        <v>1572</v>
      </c>
    </row>
    <row r="5468" spans="1:10" x14ac:dyDescent="0.3">
      <c r="A5468" t="s">
        <v>1232</v>
      </c>
      <c r="B5468" t="s">
        <v>824</v>
      </c>
      <c r="D5468">
        <v>1</v>
      </c>
      <c r="F5468" t="s">
        <v>825</v>
      </c>
      <c r="J5468" t="s">
        <v>248</v>
      </c>
    </row>
    <row r="5469" spans="1:10" x14ac:dyDescent="0.3">
      <c r="A5469" t="s">
        <v>7776</v>
      </c>
      <c r="B5469" t="s">
        <v>7469</v>
      </c>
      <c r="D5469">
        <v>1</v>
      </c>
      <c r="E5469" t="s">
        <v>1671</v>
      </c>
      <c r="F5469" t="s">
        <v>2815</v>
      </c>
      <c r="J5469" t="s">
        <v>248</v>
      </c>
    </row>
    <row r="5470" spans="1:10" x14ac:dyDescent="0.3">
      <c r="A5470" t="s">
        <v>3401</v>
      </c>
      <c r="B5470" t="s">
        <v>10968</v>
      </c>
      <c r="D5470">
        <v>1</v>
      </c>
      <c r="E5470" t="s">
        <v>37</v>
      </c>
      <c r="F5470" t="s">
        <v>10969</v>
      </c>
      <c r="H5470" t="s">
        <v>10970</v>
      </c>
    </row>
    <row r="5471" spans="1:10" x14ac:dyDescent="0.3">
      <c r="A5471" t="s">
        <v>10971</v>
      </c>
      <c r="B5471" t="s">
        <v>10972</v>
      </c>
      <c r="D5471">
        <v>1</v>
      </c>
      <c r="E5471" t="s">
        <v>23</v>
      </c>
      <c r="F5471" t="s">
        <v>10973</v>
      </c>
    </row>
    <row r="5472" spans="1:10" x14ac:dyDescent="0.3">
      <c r="A5472" t="s">
        <v>10974</v>
      </c>
      <c r="B5472" t="s">
        <v>4172</v>
      </c>
      <c r="D5472">
        <v>1.5</v>
      </c>
      <c r="E5472" t="s">
        <v>23</v>
      </c>
      <c r="F5472" t="s">
        <v>487</v>
      </c>
    </row>
    <row r="5473" spans="1:10" x14ac:dyDescent="0.3">
      <c r="A5473" t="s">
        <v>2673</v>
      </c>
      <c r="B5473" t="s">
        <v>10975</v>
      </c>
      <c r="D5473">
        <v>1.5</v>
      </c>
      <c r="E5473" t="s">
        <v>206</v>
      </c>
      <c r="F5473" t="s">
        <v>24</v>
      </c>
    </row>
    <row r="5474" spans="1:10" x14ac:dyDescent="0.3">
      <c r="A5474" t="s">
        <v>6476</v>
      </c>
      <c r="B5474" t="s">
        <v>10976</v>
      </c>
      <c r="D5474">
        <v>0.25</v>
      </c>
      <c r="E5474" t="s">
        <v>23</v>
      </c>
      <c r="F5474" t="s">
        <v>3710</v>
      </c>
    </row>
    <row r="5475" spans="1:10" x14ac:dyDescent="0.3">
      <c r="A5475" t="s">
        <v>10959</v>
      </c>
      <c r="B5475" t="s">
        <v>10977</v>
      </c>
      <c r="F5475" t="s">
        <v>10978</v>
      </c>
      <c r="G5475" t="s">
        <v>5665</v>
      </c>
      <c r="J5475" t="s">
        <v>1124</v>
      </c>
    </row>
    <row r="5476" spans="1:10" x14ac:dyDescent="0.3">
      <c r="A5476" t="s">
        <v>10979</v>
      </c>
      <c r="B5476" t="s">
        <v>10980</v>
      </c>
      <c r="D5476">
        <v>25</v>
      </c>
      <c r="E5476" t="s">
        <v>29</v>
      </c>
      <c r="F5476" t="s">
        <v>10981</v>
      </c>
    </row>
    <row r="5477" spans="1:10" x14ac:dyDescent="0.3">
      <c r="A5477" t="s">
        <v>1736</v>
      </c>
      <c r="B5477" t="s">
        <v>10982</v>
      </c>
      <c r="D5477">
        <v>13</v>
      </c>
      <c r="E5477" t="s">
        <v>23</v>
      </c>
      <c r="F5477" t="s">
        <v>1971</v>
      </c>
    </row>
    <row r="5478" spans="1:10" x14ac:dyDescent="0.3">
      <c r="A5478" t="s">
        <v>10983</v>
      </c>
      <c r="B5478" t="s">
        <v>10984</v>
      </c>
      <c r="D5478">
        <v>0.5</v>
      </c>
      <c r="E5478" t="s">
        <v>37</v>
      </c>
      <c r="F5478" t="s">
        <v>10985</v>
      </c>
      <c r="J5478" t="s">
        <v>5913</v>
      </c>
    </row>
    <row r="5479" spans="1:10" x14ac:dyDescent="0.3">
      <c r="A5479" t="s">
        <v>10986</v>
      </c>
      <c r="B5479" t="s">
        <v>10987</v>
      </c>
      <c r="D5479">
        <v>1</v>
      </c>
      <c r="E5479" t="s">
        <v>37</v>
      </c>
      <c r="F5479" t="s">
        <v>10988</v>
      </c>
    </row>
    <row r="5480" spans="1:10" x14ac:dyDescent="0.3">
      <c r="A5480" t="s">
        <v>239</v>
      </c>
      <c r="B5480" t="s">
        <v>1190</v>
      </c>
      <c r="D5480">
        <v>0.5</v>
      </c>
      <c r="E5480" t="s">
        <v>23</v>
      </c>
      <c r="F5480" t="s">
        <v>199</v>
      </c>
    </row>
    <row r="5481" spans="1:10" x14ac:dyDescent="0.3">
      <c r="A5481" t="s">
        <v>10989</v>
      </c>
      <c r="B5481" t="s">
        <v>5192</v>
      </c>
      <c r="D5481">
        <v>2</v>
      </c>
      <c r="E5481" t="s">
        <v>23</v>
      </c>
      <c r="F5481" t="s">
        <v>233</v>
      </c>
    </row>
    <row r="5482" spans="1:10" x14ac:dyDescent="0.3">
      <c r="A5482" t="s">
        <v>10990</v>
      </c>
      <c r="B5482" t="s">
        <v>10991</v>
      </c>
      <c r="D5482">
        <v>0.67</v>
      </c>
      <c r="E5482" t="s">
        <v>23</v>
      </c>
      <c r="F5482" t="s">
        <v>728</v>
      </c>
    </row>
    <row r="5483" spans="1:10" x14ac:dyDescent="0.3">
      <c r="A5483" t="s">
        <v>10992</v>
      </c>
      <c r="B5483" t="s">
        <v>10993</v>
      </c>
      <c r="D5483">
        <v>0.75</v>
      </c>
      <c r="E5483" t="s">
        <v>23</v>
      </c>
      <c r="F5483" t="s">
        <v>3140</v>
      </c>
      <c r="J5483" t="s">
        <v>10994</v>
      </c>
    </row>
    <row r="5484" spans="1:10" x14ac:dyDescent="0.3">
      <c r="A5484" t="s">
        <v>909</v>
      </c>
      <c r="B5484" t="s">
        <v>10995</v>
      </c>
      <c r="D5484">
        <v>1.5</v>
      </c>
      <c r="E5484" t="s">
        <v>227</v>
      </c>
      <c r="F5484" t="s">
        <v>10996</v>
      </c>
    </row>
    <row r="5485" spans="1:10" x14ac:dyDescent="0.3">
      <c r="A5485" t="s">
        <v>5383</v>
      </c>
      <c r="B5485" t="s">
        <v>3150</v>
      </c>
      <c r="D5485">
        <v>1.5</v>
      </c>
      <c r="E5485" t="s">
        <v>23</v>
      </c>
      <c r="F5485" t="s">
        <v>847</v>
      </c>
    </row>
    <row r="5486" spans="1:10" x14ac:dyDescent="0.3">
      <c r="A5486" t="s">
        <v>1147</v>
      </c>
      <c r="B5486" t="s">
        <v>10997</v>
      </c>
      <c r="D5486">
        <v>6</v>
      </c>
      <c r="E5486" t="s">
        <v>227</v>
      </c>
      <c r="F5486" t="s">
        <v>10998</v>
      </c>
    </row>
    <row r="5487" spans="1:10" x14ac:dyDescent="0.3">
      <c r="A5487" t="s">
        <v>10999</v>
      </c>
      <c r="B5487" t="s">
        <v>11000</v>
      </c>
      <c r="D5487">
        <v>3</v>
      </c>
      <c r="F5487" t="s">
        <v>1193</v>
      </c>
      <c r="J5487" t="s">
        <v>951</v>
      </c>
    </row>
    <row r="5488" spans="1:10" x14ac:dyDescent="0.3">
      <c r="A5488" t="s">
        <v>2131</v>
      </c>
      <c r="B5488" t="s">
        <v>11001</v>
      </c>
      <c r="D5488">
        <v>1.5</v>
      </c>
      <c r="E5488" t="s">
        <v>23</v>
      </c>
      <c r="F5488" t="s">
        <v>11002</v>
      </c>
    </row>
    <row r="5489" spans="1:10" x14ac:dyDescent="0.3">
      <c r="A5489" t="s">
        <v>11003</v>
      </c>
      <c r="B5489" t="s">
        <v>11004</v>
      </c>
      <c r="D5489">
        <v>1</v>
      </c>
      <c r="E5489" t="s">
        <v>11</v>
      </c>
      <c r="F5489" t="s">
        <v>9354</v>
      </c>
    </row>
    <row r="5490" spans="1:10" x14ac:dyDescent="0.3">
      <c r="A5490" t="s">
        <v>10276</v>
      </c>
      <c r="B5490" t="s">
        <v>11005</v>
      </c>
      <c r="D5490">
        <v>25</v>
      </c>
      <c r="E5490" t="s">
        <v>29</v>
      </c>
      <c r="F5490" t="s">
        <v>98</v>
      </c>
    </row>
    <row r="5491" spans="1:10" x14ac:dyDescent="0.3">
      <c r="A5491" t="s">
        <v>11006</v>
      </c>
      <c r="B5491" t="s">
        <v>10718</v>
      </c>
      <c r="D5491">
        <v>6</v>
      </c>
      <c r="E5491" t="s">
        <v>206</v>
      </c>
      <c r="F5491" t="s">
        <v>741</v>
      </c>
    </row>
    <row r="5492" spans="1:10" x14ac:dyDescent="0.3">
      <c r="A5492" t="s">
        <v>11007</v>
      </c>
      <c r="B5492" t="s">
        <v>895</v>
      </c>
      <c r="D5492">
        <v>1</v>
      </c>
      <c r="E5492" t="s">
        <v>11</v>
      </c>
      <c r="F5492" t="s">
        <v>3410</v>
      </c>
    </row>
    <row r="5493" spans="1:10" x14ac:dyDescent="0.3">
      <c r="A5493" t="s">
        <v>11008</v>
      </c>
      <c r="B5493" t="s">
        <v>738</v>
      </c>
      <c r="F5493" t="s">
        <v>738</v>
      </c>
    </row>
    <row r="5494" spans="1:10" x14ac:dyDescent="0.3">
      <c r="A5494" t="s">
        <v>11009</v>
      </c>
      <c r="B5494" t="s">
        <v>743</v>
      </c>
      <c r="F5494" t="s">
        <v>743</v>
      </c>
    </row>
    <row r="5495" spans="1:10" x14ac:dyDescent="0.3">
      <c r="A5495" t="s">
        <v>8538</v>
      </c>
      <c r="B5495" t="s">
        <v>11010</v>
      </c>
      <c r="D5495">
        <v>2</v>
      </c>
      <c r="E5495" t="s">
        <v>835</v>
      </c>
      <c r="F5495" t="s">
        <v>11011</v>
      </c>
    </row>
    <row r="5496" spans="1:10" x14ac:dyDescent="0.3">
      <c r="A5496" t="s">
        <v>8577</v>
      </c>
      <c r="B5496" t="s">
        <v>11012</v>
      </c>
      <c r="D5496">
        <v>0.75</v>
      </c>
      <c r="E5496" t="s">
        <v>23</v>
      </c>
      <c r="F5496" t="s">
        <v>11013</v>
      </c>
      <c r="G5496" t="s">
        <v>7495</v>
      </c>
    </row>
    <row r="5497" spans="1:10" x14ac:dyDescent="0.3">
      <c r="A5497" t="s">
        <v>5138</v>
      </c>
      <c r="B5497" t="s">
        <v>11014</v>
      </c>
      <c r="D5497">
        <v>1</v>
      </c>
      <c r="E5497" t="s">
        <v>23</v>
      </c>
      <c r="F5497" t="s">
        <v>1638</v>
      </c>
    </row>
    <row r="5498" spans="1:10" x14ac:dyDescent="0.3">
      <c r="A5498" t="s">
        <v>3401</v>
      </c>
      <c r="B5498" t="s">
        <v>4144</v>
      </c>
      <c r="D5498">
        <v>1</v>
      </c>
      <c r="E5498" t="s">
        <v>11</v>
      </c>
      <c r="F5498" t="s">
        <v>4145</v>
      </c>
      <c r="J5498" t="s">
        <v>1470</v>
      </c>
    </row>
    <row r="5499" spans="1:10" x14ac:dyDescent="0.3">
      <c r="A5499" t="s">
        <v>10613</v>
      </c>
      <c r="B5499" t="s">
        <v>11015</v>
      </c>
      <c r="D5499">
        <v>2</v>
      </c>
      <c r="E5499" t="s">
        <v>23</v>
      </c>
      <c r="F5499" t="s">
        <v>1003</v>
      </c>
      <c r="J5499" t="s">
        <v>1470</v>
      </c>
    </row>
    <row r="5500" spans="1:10" x14ac:dyDescent="0.3">
      <c r="A5500" t="s">
        <v>1249</v>
      </c>
      <c r="B5500" t="s">
        <v>8998</v>
      </c>
      <c r="D5500">
        <v>1</v>
      </c>
      <c r="E5500" t="s">
        <v>11</v>
      </c>
      <c r="F5500" t="s">
        <v>8999</v>
      </c>
      <c r="J5500" t="s">
        <v>10400</v>
      </c>
    </row>
    <row r="5501" spans="1:10" x14ac:dyDescent="0.3">
      <c r="A5501" t="s">
        <v>6566</v>
      </c>
      <c r="B5501" t="s">
        <v>11016</v>
      </c>
      <c r="D5501">
        <v>2</v>
      </c>
      <c r="E5501" t="s">
        <v>23</v>
      </c>
      <c r="F5501" t="s">
        <v>1087</v>
      </c>
    </row>
    <row r="5502" spans="1:10" x14ac:dyDescent="0.3">
      <c r="A5502" t="s">
        <v>11017</v>
      </c>
      <c r="B5502" t="s">
        <v>11018</v>
      </c>
      <c r="D5502">
        <v>1</v>
      </c>
      <c r="E5502" t="s">
        <v>37</v>
      </c>
      <c r="F5502" t="s">
        <v>11019</v>
      </c>
    </row>
    <row r="5503" spans="1:10" x14ac:dyDescent="0.3">
      <c r="A5503" t="s">
        <v>1004</v>
      </c>
      <c r="B5503" t="s">
        <v>11020</v>
      </c>
      <c r="D5503">
        <v>0.25</v>
      </c>
      <c r="E5503" t="s">
        <v>23</v>
      </c>
      <c r="F5503" t="s">
        <v>11021</v>
      </c>
    </row>
    <row r="5504" spans="1:10" x14ac:dyDescent="0.3">
      <c r="A5504" t="s">
        <v>174</v>
      </c>
      <c r="B5504" t="s">
        <v>11022</v>
      </c>
      <c r="D5504">
        <v>2</v>
      </c>
      <c r="E5504" t="s">
        <v>176</v>
      </c>
      <c r="F5504" t="s">
        <v>11023</v>
      </c>
    </row>
    <row r="5505" spans="1:10" x14ac:dyDescent="0.3">
      <c r="A5505" t="s">
        <v>11024</v>
      </c>
      <c r="B5505" t="s">
        <v>11025</v>
      </c>
      <c r="D5505">
        <v>4</v>
      </c>
      <c r="E5505" t="s">
        <v>345</v>
      </c>
      <c r="F5505" t="s">
        <v>2365</v>
      </c>
    </row>
    <row r="5506" spans="1:10" x14ac:dyDescent="0.3">
      <c r="A5506" t="s">
        <v>11026</v>
      </c>
      <c r="B5506" t="s">
        <v>2830</v>
      </c>
      <c r="D5506">
        <v>0.5</v>
      </c>
      <c r="E5506" t="s">
        <v>23</v>
      </c>
      <c r="F5506" t="s">
        <v>1715</v>
      </c>
    </row>
    <row r="5507" spans="1:10" x14ac:dyDescent="0.3">
      <c r="A5507" t="s">
        <v>11027</v>
      </c>
      <c r="B5507" t="s">
        <v>11028</v>
      </c>
      <c r="D5507">
        <v>2</v>
      </c>
      <c r="E5507" t="s">
        <v>345</v>
      </c>
      <c r="F5507" t="s">
        <v>1416</v>
      </c>
      <c r="J5507" t="s">
        <v>7936</v>
      </c>
    </row>
    <row r="5508" spans="1:10" x14ac:dyDescent="0.3">
      <c r="A5508" t="s">
        <v>11029</v>
      </c>
      <c r="B5508" t="s">
        <v>11030</v>
      </c>
      <c r="D5508">
        <v>0.5</v>
      </c>
      <c r="E5508" t="s">
        <v>37</v>
      </c>
      <c r="F5508" t="s">
        <v>1332</v>
      </c>
      <c r="J5508" t="s">
        <v>11031</v>
      </c>
    </row>
    <row r="5509" spans="1:10" x14ac:dyDescent="0.3">
      <c r="A5509" t="s">
        <v>11032</v>
      </c>
      <c r="B5509" t="s">
        <v>8609</v>
      </c>
      <c r="D5509">
        <v>37.5</v>
      </c>
      <c r="E5509" t="s">
        <v>10197</v>
      </c>
      <c r="F5509" t="s">
        <v>281</v>
      </c>
    </row>
    <row r="5510" spans="1:10" x14ac:dyDescent="0.3">
      <c r="A5510" t="s">
        <v>11033</v>
      </c>
      <c r="B5510" t="s">
        <v>11034</v>
      </c>
      <c r="D5510">
        <v>2</v>
      </c>
      <c r="E5510" t="s">
        <v>23</v>
      </c>
      <c r="F5510" t="s">
        <v>7344</v>
      </c>
      <c r="J5510" t="s">
        <v>289</v>
      </c>
    </row>
    <row r="5511" spans="1:10" x14ac:dyDescent="0.3">
      <c r="A5511" t="s">
        <v>11035</v>
      </c>
      <c r="B5511" t="s">
        <v>11036</v>
      </c>
      <c r="D5511">
        <v>2</v>
      </c>
      <c r="E5511" t="s">
        <v>189</v>
      </c>
      <c r="F5511" t="s">
        <v>11037</v>
      </c>
    </row>
    <row r="5512" spans="1:10" x14ac:dyDescent="0.3">
      <c r="A5512" t="s">
        <v>11038</v>
      </c>
      <c r="B5512" t="s">
        <v>5474</v>
      </c>
      <c r="D5512">
        <v>1</v>
      </c>
      <c r="E5512" t="s">
        <v>345</v>
      </c>
      <c r="F5512" t="s">
        <v>3045</v>
      </c>
      <c r="J5512" t="s">
        <v>289</v>
      </c>
    </row>
    <row r="5513" spans="1:10" x14ac:dyDescent="0.3">
      <c r="A5513" t="s">
        <v>7123</v>
      </c>
      <c r="B5513" t="s">
        <v>5701</v>
      </c>
      <c r="D5513">
        <v>2</v>
      </c>
      <c r="E5513" t="s">
        <v>345</v>
      </c>
      <c r="F5513" t="s">
        <v>41</v>
      </c>
    </row>
    <row r="5514" spans="1:10" x14ac:dyDescent="0.3">
      <c r="A5514" t="s">
        <v>11039</v>
      </c>
      <c r="B5514" t="s">
        <v>1885</v>
      </c>
      <c r="D5514">
        <v>1</v>
      </c>
      <c r="E5514" t="s">
        <v>50</v>
      </c>
      <c r="F5514" t="s">
        <v>847</v>
      </c>
    </row>
    <row r="5515" spans="1:10" x14ac:dyDescent="0.3">
      <c r="A5515" t="s">
        <v>11040</v>
      </c>
      <c r="B5515" t="s">
        <v>11041</v>
      </c>
      <c r="D5515">
        <v>12.5</v>
      </c>
      <c r="E5515" t="s">
        <v>10197</v>
      </c>
      <c r="F5515" t="s">
        <v>857</v>
      </c>
    </row>
    <row r="5516" spans="1:10" x14ac:dyDescent="0.3">
      <c r="A5516" t="s">
        <v>11042</v>
      </c>
      <c r="B5516" t="s">
        <v>163</v>
      </c>
      <c r="F5516" t="s">
        <v>163</v>
      </c>
    </row>
    <row r="5517" spans="1:10" x14ac:dyDescent="0.3">
      <c r="A5517" t="s">
        <v>11043</v>
      </c>
      <c r="B5517" t="s">
        <v>11044</v>
      </c>
      <c r="D5517">
        <v>3</v>
      </c>
      <c r="E5517" t="s">
        <v>176</v>
      </c>
      <c r="F5517" t="s">
        <v>516</v>
      </c>
    </row>
    <row r="5518" spans="1:10" x14ac:dyDescent="0.3">
      <c r="A5518" t="s">
        <v>11045</v>
      </c>
      <c r="B5518" t="s">
        <v>11046</v>
      </c>
      <c r="D5518">
        <v>0.25</v>
      </c>
      <c r="E5518" t="s">
        <v>11</v>
      </c>
      <c r="F5518" t="s">
        <v>11047</v>
      </c>
    </row>
    <row r="5519" spans="1:10" x14ac:dyDescent="0.3">
      <c r="A5519" t="s">
        <v>11048</v>
      </c>
      <c r="B5519" t="s">
        <v>333</v>
      </c>
      <c r="F5519" t="s">
        <v>333</v>
      </c>
    </row>
    <row r="5520" spans="1:10" x14ac:dyDescent="0.3">
      <c r="A5520" t="s">
        <v>1829</v>
      </c>
      <c r="B5520" t="s">
        <v>11049</v>
      </c>
      <c r="E5520" t="s">
        <v>1671</v>
      </c>
      <c r="F5520" t="s">
        <v>11050</v>
      </c>
      <c r="J5520" t="s">
        <v>289</v>
      </c>
    </row>
    <row r="5521" spans="1:6" x14ac:dyDescent="0.3">
      <c r="A5521" t="s">
        <v>3108</v>
      </c>
      <c r="B5521" t="s">
        <v>6402</v>
      </c>
      <c r="D5521">
        <v>1</v>
      </c>
      <c r="E5521" t="s">
        <v>23</v>
      </c>
      <c r="F5521" t="s">
        <v>3269</v>
      </c>
    </row>
    <row r="5522" spans="1:6" x14ac:dyDescent="0.3">
      <c r="A5522" t="s">
        <v>11051</v>
      </c>
      <c r="B5522" t="s">
        <v>2609</v>
      </c>
      <c r="D5522">
        <v>1.5</v>
      </c>
      <c r="E5522" t="s">
        <v>345</v>
      </c>
      <c r="F5522" t="s">
        <v>220</v>
      </c>
    </row>
    <row r="5523" spans="1:6" x14ac:dyDescent="0.3">
      <c r="A5523" t="s">
        <v>3919</v>
      </c>
      <c r="B5523" t="s">
        <v>80</v>
      </c>
      <c r="D5523">
        <v>0.5</v>
      </c>
      <c r="E5523" t="s">
        <v>37</v>
      </c>
      <c r="F5523" t="s">
        <v>81</v>
      </c>
    </row>
    <row r="5524" spans="1:6" x14ac:dyDescent="0.3">
      <c r="A5524" t="s">
        <v>11052</v>
      </c>
      <c r="B5524" t="s">
        <v>5701</v>
      </c>
      <c r="D5524">
        <v>2</v>
      </c>
      <c r="E5524" t="s">
        <v>345</v>
      </c>
      <c r="F5524" t="s">
        <v>41</v>
      </c>
    </row>
    <row r="5525" spans="1:6" x14ac:dyDescent="0.3">
      <c r="A5525" t="s">
        <v>10250</v>
      </c>
      <c r="B5525" t="s">
        <v>6162</v>
      </c>
      <c r="D5525">
        <v>1</v>
      </c>
      <c r="E5525" t="s">
        <v>23</v>
      </c>
      <c r="F5525" t="s">
        <v>6163</v>
      </c>
    </row>
    <row r="5526" spans="1:6" x14ac:dyDescent="0.3">
      <c r="A5526" t="s">
        <v>11053</v>
      </c>
      <c r="B5526" t="s">
        <v>11054</v>
      </c>
      <c r="D5526">
        <v>0.25</v>
      </c>
      <c r="E5526" t="s">
        <v>23</v>
      </c>
      <c r="F5526" t="s">
        <v>38</v>
      </c>
    </row>
    <row r="5527" spans="1:6" x14ac:dyDescent="0.3">
      <c r="A5527" t="s">
        <v>11055</v>
      </c>
      <c r="B5527" t="s">
        <v>4799</v>
      </c>
      <c r="D5527">
        <v>1.5</v>
      </c>
      <c r="E5527" t="s">
        <v>23</v>
      </c>
      <c r="F5527" t="s">
        <v>1084</v>
      </c>
    </row>
    <row r="5528" spans="1:6" x14ac:dyDescent="0.3">
      <c r="A5528" t="s">
        <v>11056</v>
      </c>
      <c r="B5528" t="s">
        <v>59</v>
      </c>
      <c r="D5528">
        <v>1</v>
      </c>
      <c r="E5528" t="s">
        <v>10204</v>
      </c>
      <c r="F5528" t="s">
        <v>61</v>
      </c>
    </row>
    <row r="5529" spans="1:6" x14ac:dyDescent="0.3">
      <c r="A5529" t="s">
        <v>11057</v>
      </c>
      <c r="B5529" t="s">
        <v>10106</v>
      </c>
      <c r="D5529">
        <v>1</v>
      </c>
      <c r="E5529" t="s">
        <v>23</v>
      </c>
      <c r="F5529" t="s">
        <v>649</v>
      </c>
    </row>
    <row r="5530" spans="1:6" x14ac:dyDescent="0.3">
      <c r="A5530" t="s">
        <v>11058</v>
      </c>
      <c r="B5530" t="s">
        <v>5984</v>
      </c>
      <c r="D5530">
        <v>2</v>
      </c>
      <c r="E5530" t="s">
        <v>23</v>
      </c>
      <c r="F5530" t="s">
        <v>1003</v>
      </c>
    </row>
    <row r="5531" spans="1:6" x14ac:dyDescent="0.3">
      <c r="A5531" t="s">
        <v>11059</v>
      </c>
      <c r="B5531" t="s">
        <v>11060</v>
      </c>
      <c r="D5531">
        <v>1.5</v>
      </c>
      <c r="E5531" t="s">
        <v>23</v>
      </c>
      <c r="F5531" t="s">
        <v>11061</v>
      </c>
    </row>
    <row r="5532" spans="1:6" x14ac:dyDescent="0.3">
      <c r="A5532" t="s">
        <v>11062</v>
      </c>
      <c r="B5532" t="s">
        <v>1376</v>
      </c>
      <c r="D5532">
        <v>25</v>
      </c>
      <c r="E5532" t="s">
        <v>29</v>
      </c>
      <c r="F5532" t="s">
        <v>11063</v>
      </c>
    </row>
    <row r="5533" spans="1:6" x14ac:dyDescent="0.3">
      <c r="A5533" t="s">
        <v>11064</v>
      </c>
      <c r="B5533" t="s">
        <v>11065</v>
      </c>
      <c r="D5533">
        <v>2</v>
      </c>
      <c r="E5533" t="s">
        <v>60</v>
      </c>
      <c r="F5533" t="s">
        <v>2214</v>
      </c>
    </row>
    <row r="5534" spans="1:6" x14ac:dyDescent="0.3">
      <c r="A5534" t="s">
        <v>11066</v>
      </c>
      <c r="B5534" t="s">
        <v>11067</v>
      </c>
      <c r="D5534">
        <v>10</v>
      </c>
      <c r="E5534" t="s">
        <v>29</v>
      </c>
      <c r="F5534" t="s">
        <v>857</v>
      </c>
    </row>
    <row r="5535" spans="1:6" x14ac:dyDescent="0.3">
      <c r="A5535" t="s">
        <v>11068</v>
      </c>
      <c r="B5535" t="s">
        <v>11069</v>
      </c>
      <c r="D5535">
        <v>1</v>
      </c>
      <c r="E5535" t="s">
        <v>2646</v>
      </c>
      <c r="F5535" t="s">
        <v>405</v>
      </c>
    </row>
    <row r="5536" spans="1:6" x14ac:dyDescent="0.3">
      <c r="A5536" t="s">
        <v>1057</v>
      </c>
      <c r="B5536" t="s">
        <v>638</v>
      </c>
      <c r="F5536" t="s">
        <v>638</v>
      </c>
    </row>
    <row r="5537" spans="1:10" x14ac:dyDescent="0.3">
      <c r="A5537" t="s">
        <v>11070</v>
      </c>
      <c r="B5537" t="s">
        <v>11071</v>
      </c>
      <c r="D5537">
        <v>0.67</v>
      </c>
      <c r="E5537" t="s">
        <v>284</v>
      </c>
      <c r="F5537" t="s">
        <v>11072</v>
      </c>
      <c r="J5537" t="s">
        <v>11073</v>
      </c>
    </row>
    <row r="5538" spans="1:10" x14ac:dyDescent="0.3">
      <c r="A5538" t="s">
        <v>6771</v>
      </c>
      <c r="B5538" t="s">
        <v>11074</v>
      </c>
      <c r="D5538">
        <v>1</v>
      </c>
      <c r="E5538" t="s">
        <v>460</v>
      </c>
      <c r="F5538" t="s">
        <v>5277</v>
      </c>
    </row>
    <row r="5539" spans="1:10" x14ac:dyDescent="0.3">
      <c r="A5539" t="s">
        <v>6977</v>
      </c>
      <c r="B5539" t="s">
        <v>4305</v>
      </c>
      <c r="D5539">
        <v>10</v>
      </c>
      <c r="E5539" t="s">
        <v>29</v>
      </c>
      <c r="F5539" t="s">
        <v>4306</v>
      </c>
    </row>
    <row r="5540" spans="1:10" x14ac:dyDescent="0.3">
      <c r="A5540" t="s">
        <v>8787</v>
      </c>
      <c r="B5540" t="s">
        <v>5437</v>
      </c>
      <c r="F5540" t="s">
        <v>262</v>
      </c>
      <c r="J5540" t="s">
        <v>11075</v>
      </c>
    </row>
    <row r="5541" spans="1:10" x14ac:dyDescent="0.3">
      <c r="A5541" t="s">
        <v>6903</v>
      </c>
      <c r="B5541" t="s">
        <v>11076</v>
      </c>
      <c r="D5541">
        <v>5</v>
      </c>
      <c r="E5541" t="s">
        <v>23</v>
      </c>
      <c r="F5541" t="s">
        <v>7344</v>
      </c>
      <c r="J5541" t="s">
        <v>289</v>
      </c>
    </row>
    <row r="5542" spans="1:10" x14ac:dyDescent="0.3">
      <c r="A5542" t="s">
        <v>7648</v>
      </c>
      <c r="B5542" t="s">
        <v>11077</v>
      </c>
      <c r="D5542">
        <v>0.75</v>
      </c>
      <c r="E5542" t="s">
        <v>23</v>
      </c>
      <c r="F5542" t="s">
        <v>10566</v>
      </c>
    </row>
    <row r="5543" spans="1:10" x14ac:dyDescent="0.3">
      <c r="A5543" t="s">
        <v>11078</v>
      </c>
      <c r="B5543" t="s">
        <v>11079</v>
      </c>
      <c r="D5543">
        <v>0.5</v>
      </c>
      <c r="E5543" t="s">
        <v>37</v>
      </c>
      <c r="F5543" t="s">
        <v>11080</v>
      </c>
    </row>
    <row r="5544" spans="1:10" x14ac:dyDescent="0.3">
      <c r="A5544" t="s">
        <v>8797</v>
      </c>
      <c r="B5544" t="s">
        <v>743</v>
      </c>
      <c r="F5544" t="s">
        <v>743</v>
      </c>
    </row>
    <row r="5545" spans="1:10" x14ac:dyDescent="0.3">
      <c r="A5545" t="s">
        <v>11081</v>
      </c>
      <c r="B5545" t="s">
        <v>11082</v>
      </c>
      <c r="D5545">
        <v>1</v>
      </c>
      <c r="E5545" t="s">
        <v>11083</v>
      </c>
      <c r="F5545" t="s">
        <v>1248</v>
      </c>
      <c r="H5545" t="s">
        <v>814</v>
      </c>
      <c r="J5545" t="s">
        <v>289</v>
      </c>
    </row>
    <row r="5546" spans="1:10" x14ac:dyDescent="0.3">
      <c r="A5546" t="s">
        <v>971</v>
      </c>
      <c r="B5546" t="s">
        <v>11084</v>
      </c>
      <c r="D5546">
        <v>0.25</v>
      </c>
      <c r="E5546" t="s">
        <v>91</v>
      </c>
      <c r="F5546" t="s">
        <v>11085</v>
      </c>
    </row>
    <row r="5547" spans="1:10" x14ac:dyDescent="0.3">
      <c r="A5547" t="s">
        <v>11086</v>
      </c>
      <c r="B5547" t="s">
        <v>11087</v>
      </c>
      <c r="F5547" t="s">
        <v>186</v>
      </c>
      <c r="J5547" t="s">
        <v>5072</v>
      </c>
    </row>
    <row r="5548" spans="1:10" x14ac:dyDescent="0.3">
      <c r="A5548" t="s">
        <v>11088</v>
      </c>
      <c r="B5548" t="s">
        <v>11089</v>
      </c>
      <c r="D5548">
        <v>0.75</v>
      </c>
      <c r="E5548" t="s">
        <v>23</v>
      </c>
      <c r="F5548" t="s">
        <v>5564</v>
      </c>
    </row>
    <row r="5549" spans="1:10" x14ac:dyDescent="0.3">
      <c r="A5549" t="s">
        <v>4308</v>
      </c>
      <c r="B5549" t="s">
        <v>11090</v>
      </c>
      <c r="D5549">
        <v>12</v>
      </c>
      <c r="E5549" t="s">
        <v>23</v>
      </c>
      <c r="F5549" t="s">
        <v>278</v>
      </c>
    </row>
    <row r="5550" spans="1:10" x14ac:dyDescent="0.3">
      <c r="A5550" t="s">
        <v>7909</v>
      </c>
      <c r="B5550" t="s">
        <v>11091</v>
      </c>
      <c r="D5550">
        <v>12</v>
      </c>
      <c r="E5550" t="s">
        <v>23</v>
      </c>
      <c r="F5550" t="s">
        <v>241</v>
      </c>
    </row>
    <row r="5551" spans="1:10" x14ac:dyDescent="0.3">
      <c r="A5551" t="s">
        <v>606</v>
      </c>
      <c r="B5551" t="s">
        <v>11092</v>
      </c>
      <c r="D5551">
        <v>2.5</v>
      </c>
      <c r="E5551" t="s">
        <v>23</v>
      </c>
      <c r="F5551" t="s">
        <v>1003</v>
      </c>
    </row>
    <row r="5552" spans="1:10" x14ac:dyDescent="0.3">
      <c r="A5552" t="s">
        <v>11093</v>
      </c>
      <c r="B5552" t="s">
        <v>11094</v>
      </c>
      <c r="D5552">
        <v>3</v>
      </c>
      <c r="E5552" t="s">
        <v>23</v>
      </c>
      <c r="F5552" t="s">
        <v>253</v>
      </c>
    </row>
    <row r="5553" spans="1:10" x14ac:dyDescent="0.3">
      <c r="A5553" t="s">
        <v>11095</v>
      </c>
      <c r="B5553" t="s">
        <v>11096</v>
      </c>
      <c r="D5553">
        <v>150</v>
      </c>
      <c r="E5553" t="s">
        <v>29</v>
      </c>
      <c r="F5553" t="s">
        <v>1641</v>
      </c>
    </row>
    <row r="5554" spans="1:10" x14ac:dyDescent="0.3">
      <c r="A5554" t="s">
        <v>11097</v>
      </c>
      <c r="B5554" t="s">
        <v>11098</v>
      </c>
      <c r="D5554">
        <v>10</v>
      </c>
      <c r="E5554" t="s">
        <v>60</v>
      </c>
      <c r="F5554" t="s">
        <v>1739</v>
      </c>
    </row>
    <row r="5555" spans="1:10" x14ac:dyDescent="0.3">
      <c r="A5555" t="s">
        <v>3602</v>
      </c>
      <c r="B5555" t="s">
        <v>11099</v>
      </c>
      <c r="D5555">
        <v>7</v>
      </c>
      <c r="F5555" t="s">
        <v>2376</v>
      </c>
      <c r="G5555" t="s">
        <v>2854</v>
      </c>
      <c r="J5555" t="s">
        <v>325</v>
      </c>
    </row>
    <row r="5556" spans="1:10" x14ac:dyDescent="0.3">
      <c r="A5556" t="s">
        <v>11100</v>
      </c>
      <c r="B5556" t="s">
        <v>11101</v>
      </c>
      <c r="D5556">
        <v>3</v>
      </c>
      <c r="E5556" t="s">
        <v>23</v>
      </c>
      <c r="F5556" t="s">
        <v>6461</v>
      </c>
    </row>
    <row r="5557" spans="1:10" x14ac:dyDescent="0.3">
      <c r="A5557" t="s">
        <v>11102</v>
      </c>
      <c r="B5557" t="s">
        <v>1670</v>
      </c>
      <c r="D5557">
        <v>1</v>
      </c>
      <c r="E5557" t="s">
        <v>1671</v>
      </c>
      <c r="F5557" t="s">
        <v>163</v>
      </c>
      <c r="J5557" t="s">
        <v>248</v>
      </c>
    </row>
    <row r="5558" spans="1:10" x14ac:dyDescent="0.3">
      <c r="A5558" t="s">
        <v>1893</v>
      </c>
      <c r="B5558" t="s">
        <v>11103</v>
      </c>
      <c r="D5558">
        <v>1</v>
      </c>
      <c r="E5558" t="s">
        <v>11104</v>
      </c>
      <c r="F5558" t="s">
        <v>51</v>
      </c>
    </row>
    <row r="5559" spans="1:10" x14ac:dyDescent="0.3">
      <c r="A5559" t="s">
        <v>1098</v>
      </c>
      <c r="B5559" t="s">
        <v>11105</v>
      </c>
      <c r="D5559">
        <v>0.5</v>
      </c>
      <c r="E5559" t="s">
        <v>37</v>
      </c>
      <c r="F5559" t="s">
        <v>1220</v>
      </c>
      <c r="J5559" t="s">
        <v>10773</v>
      </c>
    </row>
    <row r="5560" spans="1:10" x14ac:dyDescent="0.3">
      <c r="A5560" t="s">
        <v>11106</v>
      </c>
      <c r="B5560" t="s">
        <v>7779</v>
      </c>
      <c r="D5560">
        <v>0.25</v>
      </c>
      <c r="E5560" t="s">
        <v>284</v>
      </c>
      <c r="F5560" t="s">
        <v>2078</v>
      </c>
      <c r="G5560" t="s">
        <v>2079</v>
      </c>
    </row>
    <row r="5561" spans="1:10" x14ac:dyDescent="0.3">
      <c r="A5561" t="s">
        <v>11107</v>
      </c>
      <c r="B5561" t="s">
        <v>2846</v>
      </c>
      <c r="D5561">
        <v>1</v>
      </c>
      <c r="F5561" t="s">
        <v>1440</v>
      </c>
    </row>
    <row r="5562" spans="1:10" x14ac:dyDescent="0.3">
      <c r="A5562" t="s">
        <v>11108</v>
      </c>
      <c r="B5562" t="s">
        <v>11109</v>
      </c>
      <c r="F5562" t="s">
        <v>907</v>
      </c>
      <c r="J5562" t="s">
        <v>1968</v>
      </c>
    </row>
    <row r="5563" spans="1:10" x14ac:dyDescent="0.3">
      <c r="A5563" t="s">
        <v>11110</v>
      </c>
      <c r="B5563" t="s">
        <v>3554</v>
      </c>
      <c r="D5563">
        <v>0.5</v>
      </c>
      <c r="E5563" t="s">
        <v>23</v>
      </c>
      <c r="F5563" t="s">
        <v>160</v>
      </c>
      <c r="H5563" t="s">
        <v>68</v>
      </c>
    </row>
    <row r="5564" spans="1:10" x14ac:dyDescent="0.3">
      <c r="A5564" t="s">
        <v>11111</v>
      </c>
      <c r="B5564" t="s">
        <v>11112</v>
      </c>
      <c r="D5564">
        <v>1</v>
      </c>
      <c r="E5564" t="s">
        <v>18</v>
      </c>
      <c r="F5564" t="s">
        <v>30</v>
      </c>
    </row>
    <row r="5565" spans="1:10" x14ac:dyDescent="0.3">
      <c r="A5565" t="s">
        <v>11113</v>
      </c>
      <c r="B5565" t="s">
        <v>11114</v>
      </c>
      <c r="D5565">
        <v>0.75</v>
      </c>
      <c r="E5565" t="s">
        <v>23</v>
      </c>
    </row>
    <row r="5566" spans="1:10" x14ac:dyDescent="0.3">
      <c r="A5566" t="s">
        <v>705</v>
      </c>
      <c r="B5566" t="s">
        <v>11115</v>
      </c>
      <c r="D5566">
        <v>0.75</v>
      </c>
      <c r="E5566" t="s">
        <v>206</v>
      </c>
      <c r="F5566" t="s">
        <v>2913</v>
      </c>
    </row>
    <row r="5567" spans="1:10" x14ac:dyDescent="0.3">
      <c r="A5567" t="s">
        <v>11116</v>
      </c>
      <c r="B5567" t="s">
        <v>11117</v>
      </c>
      <c r="D5567">
        <v>40</v>
      </c>
      <c r="E5567" t="s">
        <v>29</v>
      </c>
      <c r="F5567" t="s">
        <v>1040</v>
      </c>
    </row>
    <row r="5568" spans="1:10" x14ac:dyDescent="0.3">
      <c r="A5568" t="s">
        <v>5311</v>
      </c>
      <c r="B5568" t="s">
        <v>4926</v>
      </c>
      <c r="D5568">
        <v>2</v>
      </c>
      <c r="E5568" t="s">
        <v>23</v>
      </c>
      <c r="F5568" t="s">
        <v>880</v>
      </c>
    </row>
    <row r="5569" spans="1:10" x14ac:dyDescent="0.3">
      <c r="A5569" t="s">
        <v>1845</v>
      </c>
      <c r="B5569" t="s">
        <v>11118</v>
      </c>
      <c r="D5569">
        <v>10</v>
      </c>
      <c r="E5569" t="s">
        <v>29</v>
      </c>
      <c r="F5569" t="s">
        <v>4933</v>
      </c>
    </row>
    <row r="5570" spans="1:10" x14ac:dyDescent="0.3">
      <c r="A5570" t="s">
        <v>11119</v>
      </c>
      <c r="B5570" t="s">
        <v>11120</v>
      </c>
      <c r="D5570">
        <v>12.5</v>
      </c>
      <c r="E5570" t="s">
        <v>29</v>
      </c>
      <c r="F5570" t="s">
        <v>199</v>
      </c>
    </row>
    <row r="5571" spans="1:10" x14ac:dyDescent="0.3">
      <c r="A5571" t="s">
        <v>11062</v>
      </c>
      <c r="B5571" t="s">
        <v>11121</v>
      </c>
      <c r="D5571">
        <v>30</v>
      </c>
      <c r="E5571" t="s">
        <v>4211</v>
      </c>
      <c r="F5571" t="s">
        <v>7224</v>
      </c>
    </row>
    <row r="5572" spans="1:10" x14ac:dyDescent="0.3">
      <c r="A5572" t="s">
        <v>7257</v>
      </c>
      <c r="B5572" t="s">
        <v>1404</v>
      </c>
      <c r="D5572">
        <v>1</v>
      </c>
      <c r="E5572" t="s">
        <v>11</v>
      </c>
      <c r="F5572" t="s">
        <v>183</v>
      </c>
    </row>
    <row r="5573" spans="1:10" x14ac:dyDescent="0.3">
      <c r="A5573" t="s">
        <v>11122</v>
      </c>
      <c r="B5573" t="s">
        <v>11123</v>
      </c>
      <c r="F5573" t="s">
        <v>11124</v>
      </c>
      <c r="J5573" t="s">
        <v>6029</v>
      </c>
    </row>
    <row r="5574" spans="1:10" x14ac:dyDescent="0.3">
      <c r="A5574" t="s">
        <v>11125</v>
      </c>
      <c r="B5574" t="s">
        <v>11126</v>
      </c>
      <c r="D5574">
        <v>0.5</v>
      </c>
      <c r="E5574" t="s">
        <v>11</v>
      </c>
      <c r="F5574" t="s">
        <v>183</v>
      </c>
      <c r="H5574" t="s">
        <v>68</v>
      </c>
    </row>
    <row r="5575" spans="1:10" x14ac:dyDescent="0.3">
      <c r="A5575" t="s">
        <v>11127</v>
      </c>
      <c r="B5575" t="s">
        <v>11128</v>
      </c>
      <c r="D5575">
        <v>4</v>
      </c>
      <c r="E5575" t="s">
        <v>91</v>
      </c>
      <c r="F5575" t="s">
        <v>2197</v>
      </c>
    </row>
    <row r="5576" spans="1:10" x14ac:dyDescent="0.3">
      <c r="A5576" t="s">
        <v>803</v>
      </c>
      <c r="B5576" t="s">
        <v>5701</v>
      </c>
      <c r="D5576">
        <v>2</v>
      </c>
      <c r="E5576" t="s">
        <v>345</v>
      </c>
      <c r="F5576" t="s">
        <v>41</v>
      </c>
    </row>
    <row r="5577" spans="1:10" x14ac:dyDescent="0.3">
      <c r="A5577" t="s">
        <v>6177</v>
      </c>
      <c r="B5577" t="s">
        <v>11129</v>
      </c>
      <c r="D5577">
        <v>1</v>
      </c>
      <c r="E5577" t="s">
        <v>270</v>
      </c>
      <c r="F5577" t="s">
        <v>11130</v>
      </c>
    </row>
    <row r="5578" spans="1:10" x14ac:dyDescent="0.3">
      <c r="A5578" t="s">
        <v>11131</v>
      </c>
      <c r="B5578" t="s">
        <v>4346</v>
      </c>
      <c r="D5578">
        <v>10</v>
      </c>
      <c r="E5578" t="s">
        <v>29</v>
      </c>
      <c r="F5578" t="s">
        <v>423</v>
      </c>
    </row>
    <row r="5579" spans="1:10" x14ac:dyDescent="0.3">
      <c r="A5579" t="s">
        <v>11132</v>
      </c>
      <c r="B5579" t="s">
        <v>233</v>
      </c>
      <c r="F5579" t="s">
        <v>233</v>
      </c>
    </row>
    <row r="5580" spans="1:10" x14ac:dyDescent="0.3">
      <c r="A5580" t="s">
        <v>11133</v>
      </c>
      <c r="B5580" t="s">
        <v>856</v>
      </c>
      <c r="D5580">
        <v>15</v>
      </c>
      <c r="E5580" t="s">
        <v>29</v>
      </c>
      <c r="F5580" t="s">
        <v>857</v>
      </c>
    </row>
    <row r="5581" spans="1:10" x14ac:dyDescent="0.3">
      <c r="A5581" t="s">
        <v>7739</v>
      </c>
      <c r="B5581" t="s">
        <v>11134</v>
      </c>
      <c r="D5581">
        <v>1</v>
      </c>
      <c r="E5581" t="s">
        <v>361</v>
      </c>
      <c r="F5581" t="s">
        <v>11135</v>
      </c>
    </row>
    <row r="5582" spans="1:10" x14ac:dyDescent="0.3">
      <c r="A5582" t="s">
        <v>11136</v>
      </c>
      <c r="B5582" t="s">
        <v>11137</v>
      </c>
      <c r="D5582">
        <v>1</v>
      </c>
      <c r="F5582" t="s">
        <v>11138</v>
      </c>
      <c r="G5582" t="s">
        <v>11139</v>
      </c>
      <c r="J5582" t="s">
        <v>11140</v>
      </c>
    </row>
    <row r="5583" spans="1:10" x14ac:dyDescent="0.3">
      <c r="A5583" t="s">
        <v>11141</v>
      </c>
      <c r="B5583" t="s">
        <v>11142</v>
      </c>
      <c r="D5583">
        <v>0.5</v>
      </c>
      <c r="E5583" t="s">
        <v>23</v>
      </c>
      <c r="F5583" t="s">
        <v>575</v>
      </c>
    </row>
    <row r="5584" spans="1:10" x14ac:dyDescent="0.3">
      <c r="A5584" t="s">
        <v>3343</v>
      </c>
      <c r="B5584" t="s">
        <v>11143</v>
      </c>
      <c r="E5584" t="s">
        <v>33</v>
      </c>
      <c r="F5584" t="s">
        <v>377</v>
      </c>
      <c r="J5584" t="s">
        <v>1124</v>
      </c>
    </row>
    <row r="5585" spans="1:10" x14ac:dyDescent="0.3">
      <c r="A5585" t="s">
        <v>11144</v>
      </c>
      <c r="B5585" t="s">
        <v>11145</v>
      </c>
      <c r="D5585">
        <v>0.3</v>
      </c>
      <c r="E5585" t="s">
        <v>23</v>
      </c>
      <c r="F5585" t="s">
        <v>11146</v>
      </c>
    </row>
    <row r="5586" spans="1:10" x14ac:dyDescent="0.3">
      <c r="A5586" t="s">
        <v>11147</v>
      </c>
      <c r="B5586" t="s">
        <v>159</v>
      </c>
      <c r="D5586">
        <v>0.75</v>
      </c>
      <c r="E5586" t="s">
        <v>23</v>
      </c>
      <c r="F5586" t="s">
        <v>160</v>
      </c>
      <c r="H5586" t="s">
        <v>68</v>
      </c>
    </row>
    <row r="5587" spans="1:10" x14ac:dyDescent="0.3">
      <c r="A5587" t="s">
        <v>829</v>
      </c>
      <c r="B5587" t="s">
        <v>11148</v>
      </c>
      <c r="J5587" t="s">
        <v>11148</v>
      </c>
    </row>
    <row r="5588" spans="1:10" x14ac:dyDescent="0.3">
      <c r="A5588" t="s">
        <v>11149</v>
      </c>
      <c r="B5588" t="s">
        <v>11150</v>
      </c>
      <c r="D5588">
        <v>1</v>
      </c>
      <c r="E5588" t="s">
        <v>23</v>
      </c>
      <c r="F5588" t="s">
        <v>11151</v>
      </c>
    </row>
    <row r="5589" spans="1:10" x14ac:dyDescent="0.3">
      <c r="A5589" t="s">
        <v>11152</v>
      </c>
      <c r="B5589" t="s">
        <v>11153</v>
      </c>
      <c r="D5589">
        <v>0.75</v>
      </c>
      <c r="E5589" t="s">
        <v>23</v>
      </c>
      <c r="F5589" t="s">
        <v>11154</v>
      </c>
    </row>
    <row r="5590" spans="1:10" x14ac:dyDescent="0.3">
      <c r="A5590" t="s">
        <v>11155</v>
      </c>
      <c r="B5590" t="s">
        <v>11156</v>
      </c>
      <c r="D5590">
        <v>1</v>
      </c>
      <c r="E5590" t="s">
        <v>1785</v>
      </c>
      <c r="F5590" t="s">
        <v>183</v>
      </c>
    </row>
    <row r="5591" spans="1:10" x14ac:dyDescent="0.3">
      <c r="A5591" t="s">
        <v>9735</v>
      </c>
      <c r="B5591" t="s">
        <v>11157</v>
      </c>
      <c r="F5591" t="s">
        <v>11158</v>
      </c>
      <c r="J5591" t="s">
        <v>7695</v>
      </c>
    </row>
    <row r="5592" spans="1:10" x14ac:dyDescent="0.3">
      <c r="A5592" t="s">
        <v>161</v>
      </c>
      <c r="B5592" t="s">
        <v>11159</v>
      </c>
      <c r="D5592">
        <v>0.5</v>
      </c>
      <c r="E5592" t="s">
        <v>37</v>
      </c>
      <c r="F5592" t="s">
        <v>41</v>
      </c>
    </row>
    <row r="5593" spans="1:10" x14ac:dyDescent="0.3">
      <c r="A5593" t="s">
        <v>11160</v>
      </c>
      <c r="B5593" t="s">
        <v>1711</v>
      </c>
      <c r="D5593">
        <v>0.75</v>
      </c>
      <c r="E5593" t="s">
        <v>23</v>
      </c>
      <c r="F5593" t="s">
        <v>81</v>
      </c>
    </row>
    <row r="5594" spans="1:10" x14ac:dyDescent="0.3">
      <c r="A5594" t="s">
        <v>11161</v>
      </c>
      <c r="B5594" t="s">
        <v>11162</v>
      </c>
      <c r="D5594">
        <v>1.5</v>
      </c>
      <c r="E5594" t="s">
        <v>23</v>
      </c>
      <c r="F5594" t="s">
        <v>95</v>
      </c>
    </row>
    <row r="5595" spans="1:10" x14ac:dyDescent="0.3">
      <c r="A5595" t="s">
        <v>11163</v>
      </c>
      <c r="B5595" t="s">
        <v>11164</v>
      </c>
      <c r="D5595">
        <v>1</v>
      </c>
      <c r="F5595" t="s">
        <v>11165</v>
      </c>
      <c r="G5595" t="s">
        <v>11166</v>
      </c>
      <c r="J5595" t="s">
        <v>325</v>
      </c>
    </row>
    <row r="5596" spans="1:10" x14ac:dyDescent="0.3">
      <c r="A5596" t="s">
        <v>11167</v>
      </c>
      <c r="B5596" t="s">
        <v>11168</v>
      </c>
      <c r="D5596">
        <v>50</v>
      </c>
      <c r="E5596" t="s">
        <v>29</v>
      </c>
      <c r="F5596" t="s">
        <v>11169</v>
      </c>
    </row>
    <row r="5597" spans="1:10" x14ac:dyDescent="0.3">
      <c r="A5597" t="s">
        <v>11170</v>
      </c>
      <c r="B5597" t="s">
        <v>11171</v>
      </c>
      <c r="D5597">
        <v>12</v>
      </c>
      <c r="E5597" t="s">
        <v>23</v>
      </c>
      <c r="F5597" t="s">
        <v>4510</v>
      </c>
    </row>
    <row r="5598" spans="1:10" x14ac:dyDescent="0.3">
      <c r="A5598" t="s">
        <v>11172</v>
      </c>
      <c r="B5598" t="s">
        <v>1193</v>
      </c>
      <c r="F5598" t="s">
        <v>1193</v>
      </c>
    </row>
    <row r="5599" spans="1:10" x14ac:dyDescent="0.3">
      <c r="A5599" t="s">
        <v>11173</v>
      </c>
      <c r="B5599" t="s">
        <v>792</v>
      </c>
      <c r="D5599">
        <v>0.5</v>
      </c>
      <c r="E5599" t="s">
        <v>11</v>
      </c>
      <c r="F5599" t="s">
        <v>793</v>
      </c>
    </row>
    <row r="5600" spans="1:10" x14ac:dyDescent="0.3">
      <c r="A5600" t="s">
        <v>11174</v>
      </c>
      <c r="B5600" t="s">
        <v>11175</v>
      </c>
      <c r="D5600">
        <v>0.75</v>
      </c>
      <c r="E5600" t="s">
        <v>23</v>
      </c>
      <c r="F5600" t="s">
        <v>423</v>
      </c>
    </row>
    <row r="5601" spans="1:6" x14ac:dyDescent="0.3">
      <c r="A5601" t="s">
        <v>11176</v>
      </c>
      <c r="B5601" t="s">
        <v>11177</v>
      </c>
      <c r="D5601">
        <v>1</v>
      </c>
      <c r="E5601" t="s">
        <v>11178</v>
      </c>
      <c r="F5601" t="s">
        <v>333</v>
      </c>
    </row>
    <row r="5602" spans="1:6" x14ac:dyDescent="0.3">
      <c r="A5602" t="s">
        <v>11179</v>
      </c>
      <c r="B5602" t="s">
        <v>11180</v>
      </c>
      <c r="D5602">
        <v>2</v>
      </c>
      <c r="E5602" t="s">
        <v>345</v>
      </c>
      <c r="F5602" t="s">
        <v>11181</v>
      </c>
    </row>
    <row r="5603" spans="1:6" x14ac:dyDescent="0.3">
      <c r="A5603" t="s">
        <v>2806</v>
      </c>
      <c r="B5603" t="s">
        <v>9028</v>
      </c>
      <c r="D5603">
        <v>50</v>
      </c>
      <c r="E5603" t="s">
        <v>29</v>
      </c>
      <c r="F5603" t="s">
        <v>9029</v>
      </c>
    </row>
    <row r="5604" spans="1:6" x14ac:dyDescent="0.3">
      <c r="A5604" t="s">
        <v>11182</v>
      </c>
      <c r="B5604" t="s">
        <v>6189</v>
      </c>
      <c r="D5604">
        <v>1</v>
      </c>
      <c r="E5604" t="s">
        <v>11</v>
      </c>
      <c r="F5604" t="s">
        <v>2446</v>
      </c>
    </row>
    <row r="5605" spans="1:6" x14ac:dyDescent="0.3">
      <c r="A5605" t="s">
        <v>11183</v>
      </c>
      <c r="B5605" t="s">
        <v>11184</v>
      </c>
      <c r="D5605">
        <v>3</v>
      </c>
      <c r="E5605" t="s">
        <v>23</v>
      </c>
      <c r="F5605" t="s">
        <v>1204</v>
      </c>
    </row>
    <row r="5606" spans="1:6" x14ac:dyDescent="0.3">
      <c r="A5606" t="s">
        <v>11185</v>
      </c>
      <c r="B5606" t="s">
        <v>11186</v>
      </c>
      <c r="D5606">
        <v>50</v>
      </c>
      <c r="E5606" t="s">
        <v>29</v>
      </c>
      <c r="F5606" t="s">
        <v>11187</v>
      </c>
    </row>
    <row r="5607" spans="1:6" x14ac:dyDescent="0.3">
      <c r="A5607" t="s">
        <v>11188</v>
      </c>
      <c r="B5607" t="s">
        <v>10027</v>
      </c>
      <c r="D5607">
        <v>0.5</v>
      </c>
      <c r="E5607" t="s">
        <v>23</v>
      </c>
      <c r="F5607" t="s">
        <v>299</v>
      </c>
    </row>
    <row r="5608" spans="1:6" x14ac:dyDescent="0.3">
      <c r="A5608" t="s">
        <v>6094</v>
      </c>
      <c r="B5608" t="s">
        <v>8535</v>
      </c>
      <c r="D5608">
        <v>1</v>
      </c>
      <c r="E5608" t="s">
        <v>23</v>
      </c>
      <c r="F5608" t="s">
        <v>2602</v>
      </c>
    </row>
    <row r="5609" spans="1:6" x14ac:dyDescent="0.3">
      <c r="A5609" t="s">
        <v>11189</v>
      </c>
      <c r="B5609" t="s">
        <v>5109</v>
      </c>
      <c r="D5609">
        <v>1</v>
      </c>
      <c r="E5609" t="s">
        <v>11</v>
      </c>
      <c r="F5609" t="s">
        <v>597</v>
      </c>
    </row>
    <row r="5610" spans="1:6" x14ac:dyDescent="0.3">
      <c r="A5610" t="s">
        <v>6889</v>
      </c>
      <c r="B5610" t="s">
        <v>1596</v>
      </c>
      <c r="D5610">
        <v>1</v>
      </c>
      <c r="E5610" t="s">
        <v>18</v>
      </c>
      <c r="F5610" t="s">
        <v>190</v>
      </c>
    </row>
    <row r="5611" spans="1:6" x14ac:dyDescent="0.3">
      <c r="A5611" t="s">
        <v>11190</v>
      </c>
      <c r="B5611" t="s">
        <v>11191</v>
      </c>
      <c r="D5611">
        <v>1</v>
      </c>
      <c r="E5611" t="s">
        <v>23</v>
      </c>
      <c r="F5611" t="s">
        <v>11192</v>
      </c>
    </row>
    <row r="5612" spans="1:6" x14ac:dyDescent="0.3">
      <c r="A5612" t="s">
        <v>11193</v>
      </c>
      <c r="B5612" t="s">
        <v>152</v>
      </c>
      <c r="F5612" t="s">
        <v>152</v>
      </c>
    </row>
    <row r="5613" spans="1:6" x14ac:dyDescent="0.3">
      <c r="A5613" t="s">
        <v>2048</v>
      </c>
      <c r="B5613" t="s">
        <v>2445</v>
      </c>
      <c r="D5613">
        <v>10.5</v>
      </c>
      <c r="E5613" t="s">
        <v>91</v>
      </c>
      <c r="F5613" t="s">
        <v>2446</v>
      </c>
    </row>
    <row r="5614" spans="1:6" x14ac:dyDescent="0.3">
      <c r="A5614" t="s">
        <v>1814</v>
      </c>
      <c r="B5614" t="s">
        <v>11194</v>
      </c>
      <c r="D5614">
        <v>0.5</v>
      </c>
      <c r="F5614" t="s">
        <v>299</v>
      </c>
    </row>
    <row r="5615" spans="1:6" x14ac:dyDescent="0.3">
      <c r="A5615" t="s">
        <v>11195</v>
      </c>
      <c r="B5615" t="s">
        <v>1979</v>
      </c>
      <c r="D5615">
        <v>50</v>
      </c>
      <c r="E5615" t="s">
        <v>29</v>
      </c>
      <c r="F5615" t="s">
        <v>1980</v>
      </c>
    </row>
    <row r="5616" spans="1:6" x14ac:dyDescent="0.3">
      <c r="A5616" t="s">
        <v>6056</v>
      </c>
      <c r="B5616" t="s">
        <v>7306</v>
      </c>
      <c r="D5616">
        <v>1</v>
      </c>
      <c r="E5616" t="s">
        <v>3648</v>
      </c>
      <c r="F5616" t="s">
        <v>575</v>
      </c>
    </row>
    <row r="5617" spans="1:10" x14ac:dyDescent="0.3">
      <c r="A5617" t="s">
        <v>11196</v>
      </c>
      <c r="B5617" t="s">
        <v>11197</v>
      </c>
      <c r="D5617">
        <v>50</v>
      </c>
      <c r="E5617" t="s">
        <v>29</v>
      </c>
      <c r="F5617" t="s">
        <v>11198</v>
      </c>
    </row>
    <row r="5618" spans="1:10" x14ac:dyDescent="0.3">
      <c r="A5618" t="s">
        <v>11199</v>
      </c>
      <c r="B5618" t="s">
        <v>953</v>
      </c>
      <c r="D5618">
        <v>2</v>
      </c>
      <c r="E5618" t="s">
        <v>23</v>
      </c>
      <c r="F5618" t="s">
        <v>738</v>
      </c>
    </row>
    <row r="5619" spans="1:10" x14ac:dyDescent="0.3">
      <c r="A5619" t="s">
        <v>7954</v>
      </c>
      <c r="B5619" t="s">
        <v>11200</v>
      </c>
      <c r="D5619">
        <v>5</v>
      </c>
      <c r="E5619" t="s">
        <v>23</v>
      </c>
      <c r="F5619" t="s">
        <v>716</v>
      </c>
    </row>
    <row r="5620" spans="1:10" x14ac:dyDescent="0.3">
      <c r="A5620" t="s">
        <v>9292</v>
      </c>
      <c r="B5620" t="s">
        <v>6380</v>
      </c>
      <c r="D5620">
        <v>2</v>
      </c>
      <c r="E5620" t="s">
        <v>23</v>
      </c>
      <c r="F5620" t="s">
        <v>6381</v>
      </c>
    </row>
    <row r="5621" spans="1:10" x14ac:dyDescent="0.3">
      <c r="A5621" t="s">
        <v>11201</v>
      </c>
      <c r="B5621" t="s">
        <v>11202</v>
      </c>
      <c r="D5621">
        <v>3</v>
      </c>
      <c r="E5621" t="s">
        <v>189</v>
      </c>
      <c r="F5621" t="s">
        <v>3420</v>
      </c>
    </row>
    <row r="5622" spans="1:10" x14ac:dyDescent="0.3">
      <c r="A5622" t="s">
        <v>11203</v>
      </c>
      <c r="B5622" t="s">
        <v>953</v>
      </c>
      <c r="D5622">
        <v>2</v>
      </c>
      <c r="E5622" t="s">
        <v>23</v>
      </c>
      <c r="F5622" t="s">
        <v>738</v>
      </c>
    </row>
    <row r="5623" spans="1:10" x14ac:dyDescent="0.3">
      <c r="A5623" t="s">
        <v>1114</v>
      </c>
      <c r="B5623" t="s">
        <v>11204</v>
      </c>
      <c r="D5623">
        <v>3</v>
      </c>
      <c r="E5623" t="s">
        <v>23</v>
      </c>
      <c r="F5623" t="s">
        <v>547</v>
      </c>
      <c r="I5623" t="s">
        <v>11205</v>
      </c>
    </row>
    <row r="5624" spans="1:10" x14ac:dyDescent="0.3">
      <c r="A5624" t="s">
        <v>11206</v>
      </c>
      <c r="B5624" t="s">
        <v>1235</v>
      </c>
      <c r="D5624">
        <v>0.5</v>
      </c>
      <c r="E5624" t="s">
        <v>11</v>
      </c>
      <c r="F5624" t="s">
        <v>88</v>
      </c>
    </row>
    <row r="5625" spans="1:10" x14ac:dyDescent="0.3">
      <c r="A5625" t="s">
        <v>11207</v>
      </c>
      <c r="B5625" t="s">
        <v>11208</v>
      </c>
      <c r="D5625">
        <v>7</v>
      </c>
      <c r="F5625" t="s">
        <v>813</v>
      </c>
    </row>
    <row r="5626" spans="1:10" x14ac:dyDescent="0.3">
      <c r="A5626" t="s">
        <v>9319</v>
      </c>
      <c r="B5626" t="s">
        <v>11209</v>
      </c>
      <c r="D5626">
        <v>1</v>
      </c>
      <c r="E5626" t="s">
        <v>23</v>
      </c>
      <c r="F5626" t="s">
        <v>11210</v>
      </c>
    </row>
    <row r="5627" spans="1:10" x14ac:dyDescent="0.3">
      <c r="A5627" t="s">
        <v>6436</v>
      </c>
      <c r="B5627" t="s">
        <v>11211</v>
      </c>
      <c r="D5627">
        <v>3</v>
      </c>
      <c r="E5627" t="s">
        <v>91</v>
      </c>
      <c r="F5627" t="s">
        <v>3981</v>
      </c>
    </row>
    <row r="5628" spans="1:10" x14ac:dyDescent="0.3">
      <c r="A5628" t="s">
        <v>11212</v>
      </c>
      <c r="B5628" t="s">
        <v>11213</v>
      </c>
      <c r="D5628">
        <v>6</v>
      </c>
      <c r="E5628" t="s">
        <v>345</v>
      </c>
      <c r="F5628" t="s">
        <v>11214</v>
      </c>
    </row>
    <row r="5629" spans="1:10" x14ac:dyDescent="0.3">
      <c r="A5629" t="s">
        <v>11215</v>
      </c>
      <c r="B5629" t="s">
        <v>11216</v>
      </c>
      <c r="D5629">
        <v>1.5</v>
      </c>
      <c r="E5629" t="s">
        <v>11217</v>
      </c>
      <c r="F5629" t="s">
        <v>220</v>
      </c>
    </row>
    <row r="5630" spans="1:10" x14ac:dyDescent="0.3">
      <c r="A5630" t="s">
        <v>4462</v>
      </c>
      <c r="B5630" t="s">
        <v>8636</v>
      </c>
      <c r="D5630">
        <v>6</v>
      </c>
      <c r="E5630" t="s">
        <v>10199</v>
      </c>
      <c r="F5630" t="s">
        <v>2138</v>
      </c>
    </row>
    <row r="5631" spans="1:10" x14ac:dyDescent="0.3">
      <c r="A5631" t="s">
        <v>11218</v>
      </c>
      <c r="B5631" t="s">
        <v>11219</v>
      </c>
      <c r="D5631">
        <v>0.5</v>
      </c>
      <c r="E5631" t="s">
        <v>23</v>
      </c>
      <c r="F5631" t="s">
        <v>587</v>
      </c>
      <c r="J5631" t="s">
        <v>289</v>
      </c>
    </row>
    <row r="5632" spans="1:10" x14ac:dyDescent="0.3">
      <c r="A5632" t="s">
        <v>11220</v>
      </c>
      <c r="B5632" t="s">
        <v>11221</v>
      </c>
      <c r="D5632">
        <v>1.5</v>
      </c>
      <c r="E5632" t="s">
        <v>91</v>
      </c>
      <c r="F5632" t="s">
        <v>11222</v>
      </c>
    </row>
    <row r="5633" spans="1:10" x14ac:dyDescent="0.3">
      <c r="A5633" t="s">
        <v>11223</v>
      </c>
      <c r="B5633" t="s">
        <v>11224</v>
      </c>
      <c r="D5633">
        <v>1</v>
      </c>
      <c r="E5633" t="s">
        <v>4524</v>
      </c>
      <c r="F5633" t="s">
        <v>883</v>
      </c>
    </row>
    <row r="5634" spans="1:10" x14ac:dyDescent="0.3">
      <c r="A5634" t="s">
        <v>11225</v>
      </c>
      <c r="B5634" t="s">
        <v>11226</v>
      </c>
      <c r="D5634">
        <v>50</v>
      </c>
      <c r="E5634" t="s">
        <v>29</v>
      </c>
      <c r="F5634" t="s">
        <v>11227</v>
      </c>
    </row>
    <row r="5635" spans="1:10" x14ac:dyDescent="0.3">
      <c r="A5635" t="s">
        <v>769</v>
      </c>
      <c r="B5635" t="s">
        <v>11228</v>
      </c>
      <c r="D5635">
        <v>2</v>
      </c>
      <c r="E5635" t="s">
        <v>23</v>
      </c>
      <c r="F5635" t="s">
        <v>253</v>
      </c>
    </row>
    <row r="5636" spans="1:10" x14ac:dyDescent="0.3">
      <c r="A5636" t="s">
        <v>11229</v>
      </c>
      <c r="B5636" t="s">
        <v>9537</v>
      </c>
      <c r="D5636">
        <v>1</v>
      </c>
      <c r="E5636" t="s">
        <v>23</v>
      </c>
      <c r="F5636" t="s">
        <v>7403</v>
      </c>
    </row>
    <row r="5637" spans="1:10" x14ac:dyDescent="0.3">
      <c r="A5637" t="s">
        <v>11230</v>
      </c>
      <c r="B5637" t="s">
        <v>11231</v>
      </c>
      <c r="D5637">
        <v>2</v>
      </c>
      <c r="E5637" t="s">
        <v>91</v>
      </c>
      <c r="F5637" t="s">
        <v>11232</v>
      </c>
    </row>
    <row r="5638" spans="1:10" x14ac:dyDescent="0.3">
      <c r="A5638" t="s">
        <v>11233</v>
      </c>
      <c r="B5638" t="s">
        <v>11234</v>
      </c>
      <c r="D5638">
        <v>0.5</v>
      </c>
      <c r="E5638" t="s">
        <v>11235</v>
      </c>
      <c r="F5638" t="s">
        <v>413</v>
      </c>
    </row>
    <row r="5639" spans="1:10" x14ac:dyDescent="0.3">
      <c r="A5639" t="s">
        <v>9522</v>
      </c>
      <c r="B5639" t="s">
        <v>11236</v>
      </c>
      <c r="D5639">
        <v>12.5</v>
      </c>
      <c r="E5639" t="s">
        <v>29</v>
      </c>
      <c r="F5639" t="s">
        <v>11237</v>
      </c>
    </row>
    <row r="5640" spans="1:10" x14ac:dyDescent="0.3">
      <c r="A5640" t="s">
        <v>11238</v>
      </c>
      <c r="B5640" t="s">
        <v>11239</v>
      </c>
      <c r="D5640">
        <v>0.5</v>
      </c>
      <c r="E5640" t="s">
        <v>37</v>
      </c>
      <c r="F5640" t="s">
        <v>11240</v>
      </c>
      <c r="J5640" t="s">
        <v>11241</v>
      </c>
    </row>
    <row r="5641" spans="1:10" x14ac:dyDescent="0.3">
      <c r="A5641" t="s">
        <v>11242</v>
      </c>
      <c r="B5641" t="s">
        <v>11243</v>
      </c>
      <c r="D5641">
        <v>2</v>
      </c>
      <c r="E5641" t="s">
        <v>189</v>
      </c>
      <c r="F5641" t="s">
        <v>11244</v>
      </c>
    </row>
    <row r="5642" spans="1:10" x14ac:dyDescent="0.3">
      <c r="A5642" t="s">
        <v>11245</v>
      </c>
      <c r="B5642" t="s">
        <v>11246</v>
      </c>
      <c r="D5642">
        <v>0.5</v>
      </c>
      <c r="E5642" t="s">
        <v>23</v>
      </c>
      <c r="F5642" t="s">
        <v>6276</v>
      </c>
    </row>
    <row r="5643" spans="1:10" x14ac:dyDescent="0.3">
      <c r="A5643" t="s">
        <v>11247</v>
      </c>
      <c r="B5643" t="s">
        <v>11248</v>
      </c>
      <c r="D5643">
        <v>0.5</v>
      </c>
      <c r="E5643" t="s">
        <v>460</v>
      </c>
      <c r="F5643" t="s">
        <v>11249</v>
      </c>
      <c r="J5643" t="s">
        <v>289</v>
      </c>
    </row>
    <row r="5644" spans="1:10" x14ac:dyDescent="0.3">
      <c r="A5644" t="s">
        <v>9221</v>
      </c>
      <c r="B5644" t="s">
        <v>8195</v>
      </c>
      <c r="D5644">
        <v>10.5</v>
      </c>
      <c r="E5644" t="s">
        <v>91</v>
      </c>
      <c r="F5644" t="s">
        <v>793</v>
      </c>
    </row>
    <row r="5645" spans="1:10" x14ac:dyDescent="0.3">
      <c r="A5645" t="s">
        <v>11250</v>
      </c>
      <c r="B5645" t="s">
        <v>10857</v>
      </c>
      <c r="D5645">
        <v>12</v>
      </c>
      <c r="E5645" t="s">
        <v>23</v>
      </c>
      <c r="F5645" t="s">
        <v>1971</v>
      </c>
    </row>
    <row r="5646" spans="1:10" x14ac:dyDescent="0.3">
      <c r="A5646" t="s">
        <v>10512</v>
      </c>
      <c r="B5646" t="s">
        <v>11251</v>
      </c>
      <c r="D5646">
        <v>1</v>
      </c>
      <c r="F5646" t="s">
        <v>11252</v>
      </c>
    </row>
    <row r="5647" spans="1:10" x14ac:dyDescent="0.3">
      <c r="A5647" t="s">
        <v>11253</v>
      </c>
      <c r="B5647" t="s">
        <v>11254</v>
      </c>
      <c r="D5647">
        <v>0.5</v>
      </c>
      <c r="E5647" t="s">
        <v>11</v>
      </c>
      <c r="F5647" t="s">
        <v>2544</v>
      </c>
    </row>
    <row r="5648" spans="1:10" x14ac:dyDescent="0.3">
      <c r="A5648" t="s">
        <v>11255</v>
      </c>
      <c r="B5648" t="s">
        <v>11256</v>
      </c>
      <c r="D5648">
        <v>2.5</v>
      </c>
      <c r="E5648" t="s">
        <v>23</v>
      </c>
      <c r="F5648" t="s">
        <v>262</v>
      </c>
    </row>
    <row r="5649" spans="1:10" x14ac:dyDescent="0.3">
      <c r="A5649" t="s">
        <v>7956</v>
      </c>
      <c r="B5649" t="s">
        <v>11257</v>
      </c>
      <c r="D5649">
        <v>3</v>
      </c>
      <c r="E5649" t="s">
        <v>91</v>
      </c>
      <c r="F5649" t="s">
        <v>1030</v>
      </c>
    </row>
    <row r="5650" spans="1:10" x14ac:dyDescent="0.3">
      <c r="A5650" t="s">
        <v>11258</v>
      </c>
      <c r="B5650" t="s">
        <v>11259</v>
      </c>
      <c r="D5650">
        <v>2</v>
      </c>
      <c r="E5650" t="s">
        <v>270</v>
      </c>
      <c r="F5650" t="s">
        <v>11260</v>
      </c>
    </row>
    <row r="5651" spans="1:10" x14ac:dyDescent="0.3">
      <c r="A5651" t="s">
        <v>11261</v>
      </c>
      <c r="B5651" t="s">
        <v>11262</v>
      </c>
      <c r="D5651">
        <v>0.5</v>
      </c>
      <c r="E5651" t="s">
        <v>23</v>
      </c>
      <c r="F5651" t="s">
        <v>4904</v>
      </c>
    </row>
    <row r="5652" spans="1:10" x14ac:dyDescent="0.3">
      <c r="A5652" t="s">
        <v>5861</v>
      </c>
      <c r="B5652" t="s">
        <v>11263</v>
      </c>
      <c r="D5652">
        <v>1.5</v>
      </c>
      <c r="E5652" t="s">
        <v>23</v>
      </c>
      <c r="F5652" t="s">
        <v>383</v>
      </c>
    </row>
    <row r="5653" spans="1:10" x14ac:dyDescent="0.3">
      <c r="A5653" t="s">
        <v>4810</v>
      </c>
      <c r="B5653" t="s">
        <v>1977</v>
      </c>
      <c r="F5653" t="s">
        <v>1977</v>
      </c>
    </row>
    <row r="5654" spans="1:10" x14ac:dyDescent="0.3">
      <c r="A5654" t="s">
        <v>11264</v>
      </c>
      <c r="B5654" t="s">
        <v>422</v>
      </c>
      <c r="D5654">
        <v>0.25</v>
      </c>
      <c r="E5654" t="s">
        <v>11</v>
      </c>
      <c r="F5654" t="s">
        <v>423</v>
      </c>
    </row>
    <row r="5655" spans="1:10" x14ac:dyDescent="0.3">
      <c r="A5655" t="s">
        <v>11265</v>
      </c>
      <c r="B5655" t="s">
        <v>11266</v>
      </c>
      <c r="D5655">
        <v>1.75</v>
      </c>
      <c r="E5655" t="s">
        <v>227</v>
      </c>
      <c r="F5655" t="s">
        <v>41</v>
      </c>
    </row>
    <row r="5656" spans="1:10" x14ac:dyDescent="0.3">
      <c r="A5656" t="s">
        <v>5188</v>
      </c>
      <c r="B5656" t="s">
        <v>1670</v>
      </c>
      <c r="D5656">
        <v>1</v>
      </c>
      <c r="E5656" t="s">
        <v>1671</v>
      </c>
      <c r="F5656" t="s">
        <v>163</v>
      </c>
      <c r="J5656" t="s">
        <v>248</v>
      </c>
    </row>
    <row r="5657" spans="1:10" x14ac:dyDescent="0.3">
      <c r="A5657" t="s">
        <v>11267</v>
      </c>
      <c r="B5657" t="s">
        <v>11268</v>
      </c>
      <c r="D5657">
        <v>1</v>
      </c>
      <c r="E5657" t="s">
        <v>227</v>
      </c>
      <c r="F5657" t="s">
        <v>581</v>
      </c>
      <c r="I5657" t="s">
        <v>3058</v>
      </c>
    </row>
    <row r="5658" spans="1:10" x14ac:dyDescent="0.3">
      <c r="A5658" t="s">
        <v>9979</v>
      </c>
      <c r="B5658" t="s">
        <v>11269</v>
      </c>
      <c r="D5658">
        <v>14</v>
      </c>
      <c r="E5658" t="s">
        <v>345</v>
      </c>
      <c r="F5658" t="s">
        <v>4111</v>
      </c>
    </row>
    <row r="5659" spans="1:10" x14ac:dyDescent="0.3">
      <c r="A5659" t="s">
        <v>11270</v>
      </c>
      <c r="B5659" t="s">
        <v>11271</v>
      </c>
      <c r="D5659">
        <v>0.25</v>
      </c>
      <c r="E5659" t="s">
        <v>11</v>
      </c>
      <c r="F5659" t="s">
        <v>6976</v>
      </c>
    </row>
    <row r="5660" spans="1:10" x14ac:dyDescent="0.3">
      <c r="A5660" t="s">
        <v>11272</v>
      </c>
      <c r="B5660" t="s">
        <v>5394</v>
      </c>
      <c r="D5660">
        <v>4</v>
      </c>
      <c r="E5660" t="s">
        <v>23</v>
      </c>
      <c r="F5660" t="s">
        <v>2211</v>
      </c>
    </row>
    <row r="5661" spans="1:10" x14ac:dyDescent="0.3">
      <c r="A5661" t="s">
        <v>11273</v>
      </c>
      <c r="B5661" t="s">
        <v>11274</v>
      </c>
      <c r="D5661">
        <v>6</v>
      </c>
      <c r="E5661" t="s">
        <v>71</v>
      </c>
      <c r="F5661" t="s">
        <v>11275</v>
      </c>
      <c r="J5661" t="s">
        <v>11276</v>
      </c>
    </row>
    <row r="5662" spans="1:10" x14ac:dyDescent="0.3">
      <c r="A5662" t="s">
        <v>11277</v>
      </c>
      <c r="B5662" t="s">
        <v>11278</v>
      </c>
      <c r="D5662">
        <v>0.75</v>
      </c>
      <c r="E5662" t="s">
        <v>37</v>
      </c>
      <c r="F5662" t="s">
        <v>11279</v>
      </c>
    </row>
    <row r="5663" spans="1:10" x14ac:dyDescent="0.3">
      <c r="A5663" t="s">
        <v>11280</v>
      </c>
      <c r="B5663" t="s">
        <v>11281</v>
      </c>
      <c r="D5663">
        <v>1</v>
      </c>
      <c r="E5663" t="s">
        <v>23</v>
      </c>
      <c r="F5663" t="s">
        <v>11282</v>
      </c>
    </row>
    <row r="5664" spans="1:10" x14ac:dyDescent="0.3">
      <c r="A5664" t="s">
        <v>2212</v>
      </c>
      <c r="B5664" t="s">
        <v>11283</v>
      </c>
      <c r="D5664">
        <v>0.12</v>
      </c>
      <c r="E5664" t="s">
        <v>11</v>
      </c>
      <c r="F5664" t="s">
        <v>6932</v>
      </c>
      <c r="H5664" t="s">
        <v>68</v>
      </c>
    </row>
    <row r="5665" spans="1:10" x14ac:dyDescent="0.3">
      <c r="A5665" t="s">
        <v>11284</v>
      </c>
      <c r="B5665" t="s">
        <v>703</v>
      </c>
      <c r="D5665">
        <v>1</v>
      </c>
      <c r="E5665" t="s">
        <v>469</v>
      </c>
      <c r="F5665" t="s">
        <v>704</v>
      </c>
    </row>
    <row r="5666" spans="1:10" x14ac:dyDescent="0.3">
      <c r="A5666" t="s">
        <v>9646</v>
      </c>
      <c r="B5666" t="s">
        <v>11285</v>
      </c>
      <c r="D5666">
        <v>1</v>
      </c>
      <c r="E5666" t="s">
        <v>23</v>
      </c>
      <c r="F5666" t="s">
        <v>857</v>
      </c>
      <c r="J5666" t="s">
        <v>289</v>
      </c>
    </row>
    <row r="5667" spans="1:10" x14ac:dyDescent="0.3">
      <c r="A5667" t="s">
        <v>11286</v>
      </c>
      <c r="B5667" t="s">
        <v>11287</v>
      </c>
      <c r="E5667" t="s">
        <v>2397</v>
      </c>
      <c r="F5667" t="s">
        <v>237</v>
      </c>
    </row>
    <row r="5668" spans="1:10" x14ac:dyDescent="0.3">
      <c r="A5668" t="s">
        <v>11288</v>
      </c>
      <c r="B5668" t="s">
        <v>11289</v>
      </c>
      <c r="D5668">
        <v>1</v>
      </c>
      <c r="F5668" t="s">
        <v>2413</v>
      </c>
      <c r="J5668" t="s">
        <v>248</v>
      </c>
    </row>
    <row r="5669" spans="1:10" x14ac:dyDescent="0.3">
      <c r="A5669" t="s">
        <v>11290</v>
      </c>
      <c r="B5669" t="s">
        <v>51</v>
      </c>
      <c r="F5669" t="s">
        <v>51</v>
      </c>
    </row>
    <row r="5670" spans="1:10" x14ac:dyDescent="0.3">
      <c r="A5670" t="s">
        <v>11291</v>
      </c>
      <c r="B5670" t="s">
        <v>11292</v>
      </c>
      <c r="D5670">
        <v>1</v>
      </c>
      <c r="E5670" t="s">
        <v>23</v>
      </c>
      <c r="F5670" t="s">
        <v>758</v>
      </c>
    </row>
    <row r="5671" spans="1:10" x14ac:dyDescent="0.3">
      <c r="A5671" t="s">
        <v>11293</v>
      </c>
      <c r="B5671" t="s">
        <v>841</v>
      </c>
      <c r="D5671">
        <v>1</v>
      </c>
      <c r="E5671" t="s">
        <v>23</v>
      </c>
      <c r="F5671" t="s">
        <v>793</v>
      </c>
    </row>
    <row r="5672" spans="1:10" x14ac:dyDescent="0.3">
      <c r="A5672" t="s">
        <v>11294</v>
      </c>
      <c r="B5672" t="s">
        <v>4558</v>
      </c>
      <c r="D5672">
        <v>150</v>
      </c>
      <c r="E5672" t="s">
        <v>29</v>
      </c>
      <c r="F5672" t="s">
        <v>765</v>
      </c>
    </row>
    <row r="5673" spans="1:10" x14ac:dyDescent="0.3">
      <c r="A5673" t="s">
        <v>11295</v>
      </c>
      <c r="B5673" t="s">
        <v>11296</v>
      </c>
      <c r="D5673">
        <v>4</v>
      </c>
      <c r="E5673" t="s">
        <v>23</v>
      </c>
      <c r="F5673" t="s">
        <v>1506</v>
      </c>
    </row>
    <row r="5674" spans="1:10" x14ac:dyDescent="0.3">
      <c r="A5674" t="s">
        <v>8771</v>
      </c>
      <c r="B5674" t="s">
        <v>11297</v>
      </c>
      <c r="D5674">
        <v>2</v>
      </c>
      <c r="E5674" t="s">
        <v>91</v>
      </c>
      <c r="F5674" t="s">
        <v>8241</v>
      </c>
    </row>
    <row r="5675" spans="1:10" x14ac:dyDescent="0.3">
      <c r="A5675" t="s">
        <v>11298</v>
      </c>
      <c r="B5675" t="s">
        <v>11299</v>
      </c>
      <c r="D5675">
        <v>2</v>
      </c>
      <c r="E5675" t="s">
        <v>11300</v>
      </c>
      <c r="F5675" t="s">
        <v>11301</v>
      </c>
    </row>
    <row r="5676" spans="1:10" x14ac:dyDescent="0.3">
      <c r="A5676" t="s">
        <v>11302</v>
      </c>
      <c r="B5676" t="s">
        <v>11303</v>
      </c>
      <c r="D5676">
        <v>0.5</v>
      </c>
      <c r="E5676" t="s">
        <v>23</v>
      </c>
      <c r="F5676" t="s">
        <v>1003</v>
      </c>
    </row>
    <row r="5677" spans="1:10" x14ac:dyDescent="0.3">
      <c r="A5677" t="s">
        <v>11304</v>
      </c>
      <c r="B5677" t="s">
        <v>2815</v>
      </c>
      <c r="F5677" t="s">
        <v>2815</v>
      </c>
    </row>
    <row r="5678" spans="1:10" x14ac:dyDescent="0.3">
      <c r="A5678" t="s">
        <v>5294</v>
      </c>
      <c r="B5678" t="s">
        <v>11305</v>
      </c>
      <c r="D5678">
        <v>1</v>
      </c>
      <c r="E5678" t="s">
        <v>368</v>
      </c>
      <c r="F5678" t="s">
        <v>1097</v>
      </c>
    </row>
    <row r="5679" spans="1:10" x14ac:dyDescent="0.3">
      <c r="A5679" t="s">
        <v>8761</v>
      </c>
      <c r="B5679" t="s">
        <v>1278</v>
      </c>
      <c r="D5679">
        <v>3</v>
      </c>
      <c r="E5679" t="s">
        <v>23</v>
      </c>
      <c r="F5679" t="s">
        <v>738</v>
      </c>
    </row>
    <row r="5680" spans="1:10" x14ac:dyDescent="0.3">
      <c r="A5680" t="s">
        <v>2076</v>
      </c>
      <c r="B5680" t="s">
        <v>11306</v>
      </c>
      <c r="D5680">
        <v>1.5</v>
      </c>
      <c r="E5680" t="s">
        <v>227</v>
      </c>
      <c r="F5680" t="s">
        <v>538</v>
      </c>
      <c r="H5680" t="s">
        <v>68</v>
      </c>
      <c r="J5680" t="s">
        <v>11307</v>
      </c>
    </row>
    <row r="5681" spans="1:10" x14ac:dyDescent="0.3">
      <c r="A5681" t="s">
        <v>3486</v>
      </c>
      <c r="B5681" t="s">
        <v>11308</v>
      </c>
      <c r="D5681">
        <v>1</v>
      </c>
      <c r="F5681" t="s">
        <v>295</v>
      </c>
      <c r="J5681" t="s">
        <v>2995</v>
      </c>
    </row>
    <row r="5682" spans="1:10" x14ac:dyDescent="0.3">
      <c r="A5682" t="s">
        <v>11309</v>
      </c>
      <c r="B5682" t="s">
        <v>7005</v>
      </c>
      <c r="D5682">
        <v>2</v>
      </c>
      <c r="E5682" t="s">
        <v>23</v>
      </c>
      <c r="F5682" t="s">
        <v>262</v>
      </c>
    </row>
    <row r="5683" spans="1:10" x14ac:dyDescent="0.3">
      <c r="A5683" t="s">
        <v>11310</v>
      </c>
      <c r="B5683" t="s">
        <v>11311</v>
      </c>
      <c r="D5683">
        <v>0.33</v>
      </c>
      <c r="E5683" t="s">
        <v>37</v>
      </c>
      <c r="F5683" t="s">
        <v>11312</v>
      </c>
    </row>
    <row r="5684" spans="1:10" x14ac:dyDescent="0.3">
      <c r="A5684" t="s">
        <v>11313</v>
      </c>
      <c r="B5684" t="s">
        <v>4919</v>
      </c>
      <c r="D5684">
        <v>0.5</v>
      </c>
      <c r="E5684" t="s">
        <v>23</v>
      </c>
      <c r="F5684" t="s">
        <v>30</v>
      </c>
    </row>
    <row r="5685" spans="1:10" x14ac:dyDescent="0.3">
      <c r="A5685" t="s">
        <v>11314</v>
      </c>
      <c r="B5685" t="s">
        <v>11315</v>
      </c>
      <c r="D5685">
        <v>0.5</v>
      </c>
      <c r="E5685" t="s">
        <v>37</v>
      </c>
      <c r="F5685" t="s">
        <v>11316</v>
      </c>
      <c r="J5685" t="s">
        <v>11317</v>
      </c>
    </row>
    <row r="5686" spans="1:10" x14ac:dyDescent="0.3">
      <c r="A5686" t="s">
        <v>11318</v>
      </c>
      <c r="B5686" t="s">
        <v>4467</v>
      </c>
      <c r="D5686">
        <v>0.5</v>
      </c>
      <c r="E5686" t="s">
        <v>23</v>
      </c>
      <c r="F5686" t="s">
        <v>936</v>
      </c>
    </row>
    <row r="5687" spans="1:10" x14ac:dyDescent="0.3">
      <c r="A5687" t="s">
        <v>11319</v>
      </c>
      <c r="B5687" t="s">
        <v>11320</v>
      </c>
      <c r="D5687">
        <v>0.75</v>
      </c>
      <c r="E5687" t="s">
        <v>23</v>
      </c>
      <c r="F5687" t="s">
        <v>1003</v>
      </c>
    </row>
    <row r="5688" spans="1:10" x14ac:dyDescent="0.3">
      <c r="A5688" t="s">
        <v>11321</v>
      </c>
      <c r="B5688" t="s">
        <v>11322</v>
      </c>
      <c r="D5688">
        <v>1.5</v>
      </c>
      <c r="E5688" t="s">
        <v>23</v>
      </c>
      <c r="F5688" t="s">
        <v>11323</v>
      </c>
    </row>
    <row r="5689" spans="1:10" x14ac:dyDescent="0.3">
      <c r="A5689" t="s">
        <v>11324</v>
      </c>
      <c r="B5689" t="s">
        <v>11325</v>
      </c>
      <c r="D5689">
        <v>25</v>
      </c>
      <c r="E5689" t="s">
        <v>29</v>
      </c>
      <c r="F5689" t="s">
        <v>6468</v>
      </c>
    </row>
    <row r="5690" spans="1:10" x14ac:dyDescent="0.3">
      <c r="A5690" t="s">
        <v>5886</v>
      </c>
      <c r="B5690" t="s">
        <v>11326</v>
      </c>
      <c r="D5690">
        <v>0.25</v>
      </c>
      <c r="E5690" t="s">
        <v>361</v>
      </c>
      <c r="F5690" t="s">
        <v>11327</v>
      </c>
    </row>
    <row r="5691" spans="1:10" x14ac:dyDescent="0.3">
      <c r="A5691" t="s">
        <v>11328</v>
      </c>
      <c r="B5691" t="s">
        <v>11329</v>
      </c>
      <c r="D5691">
        <v>1</v>
      </c>
      <c r="E5691" t="s">
        <v>612</v>
      </c>
      <c r="F5691" t="s">
        <v>11330</v>
      </c>
      <c r="G5691" t="s">
        <v>11331</v>
      </c>
    </row>
    <row r="5692" spans="1:10" x14ac:dyDescent="0.3">
      <c r="A5692" t="s">
        <v>11332</v>
      </c>
      <c r="B5692" t="s">
        <v>11333</v>
      </c>
      <c r="D5692">
        <v>2</v>
      </c>
      <c r="E5692" t="s">
        <v>345</v>
      </c>
      <c r="F5692" t="s">
        <v>11334</v>
      </c>
      <c r="J5692" t="s">
        <v>11335</v>
      </c>
    </row>
    <row r="5693" spans="1:10" x14ac:dyDescent="0.3">
      <c r="A5693" t="s">
        <v>11336</v>
      </c>
      <c r="B5693" t="s">
        <v>11337</v>
      </c>
      <c r="D5693">
        <v>2</v>
      </c>
      <c r="E5693" t="s">
        <v>23</v>
      </c>
      <c r="F5693" t="s">
        <v>1050</v>
      </c>
    </row>
    <row r="5694" spans="1:10" x14ac:dyDescent="0.3">
      <c r="A5694" t="s">
        <v>11338</v>
      </c>
      <c r="B5694" t="s">
        <v>11339</v>
      </c>
      <c r="D5694">
        <v>1</v>
      </c>
      <c r="E5694" t="s">
        <v>37</v>
      </c>
      <c r="F5694" t="s">
        <v>209</v>
      </c>
    </row>
    <row r="5695" spans="1:10" x14ac:dyDescent="0.3">
      <c r="A5695" t="s">
        <v>11340</v>
      </c>
      <c r="B5695" t="s">
        <v>4179</v>
      </c>
      <c r="D5695">
        <v>0.75</v>
      </c>
      <c r="E5695" t="s">
        <v>23</v>
      </c>
      <c r="F5695" t="s">
        <v>380</v>
      </c>
    </row>
    <row r="5696" spans="1:10" x14ac:dyDescent="0.3">
      <c r="A5696" t="s">
        <v>11341</v>
      </c>
      <c r="B5696" t="s">
        <v>11292</v>
      </c>
      <c r="D5696">
        <v>1</v>
      </c>
      <c r="E5696" t="s">
        <v>23</v>
      </c>
      <c r="F5696" t="s">
        <v>758</v>
      </c>
    </row>
    <row r="5697" spans="1:10" x14ac:dyDescent="0.3">
      <c r="A5697" t="s">
        <v>3354</v>
      </c>
      <c r="B5697" t="s">
        <v>6402</v>
      </c>
      <c r="D5697">
        <v>1</v>
      </c>
      <c r="E5697" t="s">
        <v>23</v>
      </c>
      <c r="F5697" t="s">
        <v>3269</v>
      </c>
    </row>
    <row r="5698" spans="1:10" x14ac:dyDescent="0.3">
      <c r="A5698" t="s">
        <v>11342</v>
      </c>
      <c r="B5698" t="s">
        <v>333</v>
      </c>
      <c r="F5698" t="s">
        <v>333</v>
      </c>
    </row>
    <row r="5699" spans="1:10" x14ac:dyDescent="0.3">
      <c r="A5699" t="s">
        <v>11343</v>
      </c>
      <c r="B5699" t="s">
        <v>11344</v>
      </c>
      <c r="D5699">
        <v>6</v>
      </c>
      <c r="E5699" t="s">
        <v>23</v>
      </c>
      <c r="F5699" t="s">
        <v>64</v>
      </c>
    </row>
    <row r="5700" spans="1:10" x14ac:dyDescent="0.3">
      <c r="A5700" t="s">
        <v>11345</v>
      </c>
      <c r="B5700" t="s">
        <v>11346</v>
      </c>
      <c r="D5700">
        <v>2</v>
      </c>
      <c r="E5700" t="s">
        <v>23</v>
      </c>
      <c r="F5700" t="s">
        <v>11347</v>
      </c>
    </row>
    <row r="5701" spans="1:10" x14ac:dyDescent="0.3">
      <c r="A5701" t="s">
        <v>8001</v>
      </c>
      <c r="B5701" t="s">
        <v>11348</v>
      </c>
      <c r="D5701">
        <v>1</v>
      </c>
      <c r="E5701" t="s">
        <v>2646</v>
      </c>
      <c r="F5701" t="s">
        <v>877</v>
      </c>
    </row>
    <row r="5702" spans="1:10" x14ac:dyDescent="0.3">
      <c r="A5702" t="s">
        <v>5545</v>
      </c>
      <c r="B5702" t="s">
        <v>4793</v>
      </c>
      <c r="D5702">
        <v>1.5</v>
      </c>
      <c r="E5702" t="s">
        <v>23</v>
      </c>
      <c r="F5702" t="s">
        <v>11349</v>
      </c>
    </row>
    <row r="5703" spans="1:10" x14ac:dyDescent="0.3">
      <c r="A5703" t="s">
        <v>5255</v>
      </c>
      <c r="B5703" t="s">
        <v>11350</v>
      </c>
      <c r="D5703">
        <v>0.38</v>
      </c>
      <c r="E5703" t="s">
        <v>37</v>
      </c>
      <c r="F5703" t="s">
        <v>11351</v>
      </c>
      <c r="J5703" t="s">
        <v>11352</v>
      </c>
    </row>
    <row r="5704" spans="1:10" x14ac:dyDescent="0.3">
      <c r="A5704" t="s">
        <v>11353</v>
      </c>
      <c r="B5704" t="s">
        <v>11354</v>
      </c>
      <c r="D5704">
        <v>1.5</v>
      </c>
      <c r="E5704" t="s">
        <v>345</v>
      </c>
      <c r="F5704" t="s">
        <v>11355</v>
      </c>
      <c r="J5704" t="s">
        <v>2028</v>
      </c>
    </row>
    <row r="5705" spans="1:10" x14ac:dyDescent="0.3">
      <c r="A5705" t="s">
        <v>11356</v>
      </c>
      <c r="B5705" t="s">
        <v>11357</v>
      </c>
      <c r="D5705">
        <v>10</v>
      </c>
      <c r="E5705" t="s">
        <v>29</v>
      </c>
      <c r="F5705" t="s">
        <v>716</v>
      </c>
    </row>
    <row r="5706" spans="1:10" x14ac:dyDescent="0.3">
      <c r="A5706" t="s">
        <v>11358</v>
      </c>
      <c r="B5706" t="s">
        <v>11359</v>
      </c>
      <c r="D5706">
        <v>1</v>
      </c>
      <c r="E5706" t="s">
        <v>11360</v>
      </c>
      <c r="F5706" t="s">
        <v>5161</v>
      </c>
    </row>
    <row r="5707" spans="1:10" x14ac:dyDescent="0.3">
      <c r="A5707" t="s">
        <v>11361</v>
      </c>
      <c r="B5707" t="s">
        <v>11362</v>
      </c>
      <c r="D5707">
        <v>0.5</v>
      </c>
      <c r="E5707" t="s">
        <v>23</v>
      </c>
      <c r="F5707" t="s">
        <v>1126</v>
      </c>
    </row>
    <row r="5708" spans="1:10" x14ac:dyDescent="0.3">
      <c r="A5708" t="s">
        <v>11363</v>
      </c>
      <c r="B5708" t="s">
        <v>11364</v>
      </c>
      <c r="D5708">
        <v>1</v>
      </c>
      <c r="E5708" t="s">
        <v>37</v>
      </c>
      <c r="F5708" t="s">
        <v>11365</v>
      </c>
    </row>
    <row r="5709" spans="1:10" x14ac:dyDescent="0.3">
      <c r="A5709" t="s">
        <v>488</v>
      </c>
      <c r="B5709" t="s">
        <v>1413</v>
      </c>
      <c r="D5709">
        <v>1</v>
      </c>
      <c r="E5709" t="s">
        <v>23</v>
      </c>
      <c r="F5709" t="s">
        <v>292</v>
      </c>
    </row>
    <row r="5710" spans="1:10" x14ac:dyDescent="0.3">
      <c r="A5710" t="s">
        <v>11366</v>
      </c>
      <c r="B5710" t="s">
        <v>1480</v>
      </c>
      <c r="D5710">
        <v>0.75</v>
      </c>
      <c r="E5710" t="s">
        <v>23</v>
      </c>
      <c r="F5710" t="s">
        <v>233</v>
      </c>
      <c r="J5710" t="s">
        <v>289</v>
      </c>
    </row>
    <row r="5711" spans="1:10" x14ac:dyDescent="0.3">
      <c r="A5711" t="s">
        <v>11367</v>
      </c>
      <c r="B5711" t="s">
        <v>11368</v>
      </c>
      <c r="D5711" t="s">
        <v>1577</v>
      </c>
      <c r="E5711" t="s">
        <v>345</v>
      </c>
      <c r="F5711" t="s">
        <v>11369</v>
      </c>
      <c r="G5711" t="s">
        <v>1078</v>
      </c>
      <c r="J5711" t="s">
        <v>6360</v>
      </c>
    </row>
    <row r="5712" spans="1:10" x14ac:dyDescent="0.3">
      <c r="A5712" t="s">
        <v>11370</v>
      </c>
      <c r="B5712" t="s">
        <v>953</v>
      </c>
      <c r="D5712">
        <v>2</v>
      </c>
      <c r="E5712" t="s">
        <v>23</v>
      </c>
      <c r="F5712" t="s">
        <v>738</v>
      </c>
    </row>
    <row r="5713" spans="1:10" x14ac:dyDescent="0.3">
      <c r="A5713" t="s">
        <v>11371</v>
      </c>
      <c r="B5713" t="s">
        <v>11372</v>
      </c>
      <c r="D5713">
        <v>1</v>
      </c>
      <c r="E5713" t="s">
        <v>460</v>
      </c>
      <c r="F5713" t="s">
        <v>11373</v>
      </c>
      <c r="J5713" t="s">
        <v>10925</v>
      </c>
    </row>
    <row r="5714" spans="1:10" x14ac:dyDescent="0.3">
      <c r="A5714" t="s">
        <v>10317</v>
      </c>
      <c r="B5714" t="s">
        <v>11374</v>
      </c>
      <c r="D5714">
        <v>1.75</v>
      </c>
      <c r="E5714" t="s">
        <v>227</v>
      </c>
      <c r="F5714" t="s">
        <v>7114</v>
      </c>
      <c r="J5714" t="s">
        <v>2028</v>
      </c>
    </row>
    <row r="5715" spans="1:10" x14ac:dyDescent="0.3">
      <c r="A5715" t="s">
        <v>8048</v>
      </c>
      <c r="B5715" t="s">
        <v>11375</v>
      </c>
      <c r="D5715">
        <v>2</v>
      </c>
      <c r="E5715" t="s">
        <v>460</v>
      </c>
      <c r="F5715" t="s">
        <v>3447</v>
      </c>
    </row>
    <row r="5716" spans="1:10" x14ac:dyDescent="0.3">
      <c r="A5716" t="s">
        <v>11376</v>
      </c>
      <c r="B5716" t="s">
        <v>11377</v>
      </c>
      <c r="D5716">
        <v>20</v>
      </c>
      <c r="E5716" t="s">
        <v>29</v>
      </c>
      <c r="F5716" t="s">
        <v>712</v>
      </c>
    </row>
    <row r="5717" spans="1:10" x14ac:dyDescent="0.3">
      <c r="A5717" t="s">
        <v>11378</v>
      </c>
      <c r="B5717" t="s">
        <v>1838</v>
      </c>
      <c r="D5717">
        <v>1.5</v>
      </c>
      <c r="E5717" t="s">
        <v>345</v>
      </c>
      <c r="F5717" t="s">
        <v>41</v>
      </c>
    </row>
    <row r="5718" spans="1:10" x14ac:dyDescent="0.3">
      <c r="A5718" t="s">
        <v>11379</v>
      </c>
      <c r="B5718" t="s">
        <v>711</v>
      </c>
      <c r="D5718">
        <v>1</v>
      </c>
      <c r="E5718" t="s">
        <v>23</v>
      </c>
      <c r="F5718" t="s">
        <v>712</v>
      </c>
    </row>
    <row r="5719" spans="1:10" x14ac:dyDescent="0.3">
      <c r="A5719" t="s">
        <v>11380</v>
      </c>
      <c r="B5719" t="s">
        <v>7759</v>
      </c>
      <c r="D5719">
        <v>0.5</v>
      </c>
      <c r="E5719" t="s">
        <v>23</v>
      </c>
      <c r="F5719" t="s">
        <v>7760</v>
      </c>
    </row>
    <row r="5720" spans="1:10" x14ac:dyDescent="0.3">
      <c r="A5720" t="s">
        <v>4417</v>
      </c>
      <c r="B5720" t="s">
        <v>4458</v>
      </c>
      <c r="D5720">
        <v>0.5</v>
      </c>
      <c r="E5720" t="s">
        <v>37</v>
      </c>
      <c r="F5720" t="s">
        <v>38</v>
      </c>
    </row>
    <row r="5721" spans="1:10" x14ac:dyDescent="0.3">
      <c r="A5721" t="s">
        <v>6415</v>
      </c>
      <c r="B5721" t="s">
        <v>11381</v>
      </c>
      <c r="D5721">
        <v>0.75</v>
      </c>
      <c r="E5721" t="s">
        <v>37</v>
      </c>
      <c r="F5721" t="s">
        <v>160</v>
      </c>
      <c r="G5721" t="s">
        <v>167</v>
      </c>
      <c r="H5721" t="s">
        <v>168</v>
      </c>
      <c r="J5721" t="s">
        <v>325</v>
      </c>
    </row>
    <row r="5722" spans="1:10" x14ac:dyDescent="0.3">
      <c r="A5722" t="s">
        <v>11382</v>
      </c>
      <c r="B5722" t="s">
        <v>3600</v>
      </c>
      <c r="D5722">
        <v>1</v>
      </c>
      <c r="E5722" t="s">
        <v>11</v>
      </c>
      <c r="F5722" t="s">
        <v>2211</v>
      </c>
    </row>
    <row r="5723" spans="1:10" x14ac:dyDescent="0.3">
      <c r="A5723" t="s">
        <v>11383</v>
      </c>
      <c r="B5723" t="s">
        <v>3488</v>
      </c>
      <c r="E5723" t="s">
        <v>33</v>
      </c>
      <c r="F5723" t="s">
        <v>1056</v>
      </c>
    </row>
    <row r="5724" spans="1:10" x14ac:dyDescent="0.3">
      <c r="A5724" t="s">
        <v>2489</v>
      </c>
      <c r="B5724" t="s">
        <v>2700</v>
      </c>
      <c r="D5724">
        <v>0.5</v>
      </c>
      <c r="E5724" t="s">
        <v>23</v>
      </c>
      <c r="F5724" t="s">
        <v>233</v>
      </c>
    </row>
    <row r="5725" spans="1:10" x14ac:dyDescent="0.3">
      <c r="A5725" t="s">
        <v>6325</v>
      </c>
      <c r="B5725" t="s">
        <v>2011</v>
      </c>
      <c r="D5725">
        <v>2</v>
      </c>
      <c r="E5725" t="s">
        <v>189</v>
      </c>
      <c r="F5725" t="s">
        <v>61</v>
      </c>
    </row>
    <row r="5726" spans="1:10" x14ac:dyDescent="0.3">
      <c r="A5726" t="s">
        <v>11384</v>
      </c>
      <c r="B5726" t="s">
        <v>11385</v>
      </c>
      <c r="D5726">
        <v>1</v>
      </c>
      <c r="E5726" t="s">
        <v>18</v>
      </c>
      <c r="F5726" t="s">
        <v>11386</v>
      </c>
      <c r="J5726" t="s">
        <v>11387</v>
      </c>
    </row>
    <row r="5727" spans="1:10" x14ac:dyDescent="0.3">
      <c r="A5727" t="s">
        <v>11388</v>
      </c>
      <c r="B5727" t="s">
        <v>11389</v>
      </c>
      <c r="D5727">
        <v>1</v>
      </c>
      <c r="E5727" t="s">
        <v>23</v>
      </c>
      <c r="F5727" t="s">
        <v>11390</v>
      </c>
      <c r="J5727" t="s">
        <v>289</v>
      </c>
    </row>
    <row r="5728" spans="1:10" x14ac:dyDescent="0.3">
      <c r="A5728" t="s">
        <v>485</v>
      </c>
      <c r="B5728" t="s">
        <v>2021</v>
      </c>
      <c r="D5728">
        <v>0.5</v>
      </c>
      <c r="E5728" t="s">
        <v>23</v>
      </c>
      <c r="F5728" t="s">
        <v>183</v>
      </c>
    </row>
    <row r="5729" spans="1:10" x14ac:dyDescent="0.3">
      <c r="A5729" t="s">
        <v>11391</v>
      </c>
      <c r="B5729" t="s">
        <v>11392</v>
      </c>
      <c r="D5729">
        <v>3.25</v>
      </c>
      <c r="E5729" t="s">
        <v>345</v>
      </c>
      <c r="F5729" t="s">
        <v>1116</v>
      </c>
      <c r="J5729" t="s">
        <v>11393</v>
      </c>
    </row>
    <row r="5730" spans="1:10" x14ac:dyDescent="0.3">
      <c r="A5730" t="s">
        <v>11394</v>
      </c>
      <c r="B5730" t="s">
        <v>59</v>
      </c>
      <c r="D5730">
        <v>1</v>
      </c>
      <c r="E5730" t="s">
        <v>60</v>
      </c>
      <c r="F5730" t="s">
        <v>61</v>
      </c>
    </row>
    <row r="5731" spans="1:10" x14ac:dyDescent="0.3">
      <c r="A5731" t="s">
        <v>8589</v>
      </c>
      <c r="B5731" t="s">
        <v>11395</v>
      </c>
      <c r="D5731">
        <v>1</v>
      </c>
      <c r="E5731" t="s">
        <v>11</v>
      </c>
      <c r="F5731" t="s">
        <v>11222</v>
      </c>
    </row>
    <row r="5732" spans="1:10" x14ac:dyDescent="0.3">
      <c r="A5732" t="s">
        <v>2664</v>
      </c>
      <c r="B5732" t="s">
        <v>11396</v>
      </c>
      <c r="D5732">
        <v>0.9</v>
      </c>
      <c r="E5732" t="s">
        <v>23</v>
      </c>
      <c r="F5732" t="s">
        <v>183</v>
      </c>
      <c r="H5732" t="s">
        <v>814</v>
      </c>
    </row>
    <row r="5733" spans="1:10" x14ac:dyDescent="0.3">
      <c r="A5733" t="s">
        <v>11397</v>
      </c>
      <c r="B5733" t="s">
        <v>3471</v>
      </c>
      <c r="F5733" t="s">
        <v>3471</v>
      </c>
    </row>
    <row r="5734" spans="1:10" x14ac:dyDescent="0.3">
      <c r="A5734" t="s">
        <v>11398</v>
      </c>
      <c r="B5734" t="s">
        <v>11399</v>
      </c>
      <c r="D5734">
        <v>1</v>
      </c>
      <c r="E5734" t="s">
        <v>37</v>
      </c>
      <c r="F5734" t="s">
        <v>11400</v>
      </c>
      <c r="J5734" t="s">
        <v>1470</v>
      </c>
    </row>
    <row r="5735" spans="1:10" x14ac:dyDescent="0.3">
      <c r="A5735" t="s">
        <v>11401</v>
      </c>
      <c r="B5735" t="s">
        <v>1704</v>
      </c>
      <c r="D5735">
        <v>0.5</v>
      </c>
      <c r="E5735" t="s">
        <v>37</v>
      </c>
      <c r="F5735" t="s">
        <v>880</v>
      </c>
    </row>
    <row r="5736" spans="1:10" x14ac:dyDescent="0.3">
      <c r="A5736" t="s">
        <v>10563</v>
      </c>
      <c r="B5736" t="s">
        <v>11402</v>
      </c>
      <c r="D5736">
        <v>0.75</v>
      </c>
      <c r="E5736" t="s">
        <v>23</v>
      </c>
      <c r="F5736" t="s">
        <v>11403</v>
      </c>
    </row>
    <row r="5737" spans="1:10" x14ac:dyDescent="0.3">
      <c r="A5737" t="s">
        <v>11404</v>
      </c>
      <c r="B5737" t="s">
        <v>11405</v>
      </c>
      <c r="D5737">
        <v>0.5</v>
      </c>
      <c r="E5737" t="s">
        <v>37</v>
      </c>
      <c r="F5737" t="s">
        <v>11406</v>
      </c>
    </row>
    <row r="5738" spans="1:10" x14ac:dyDescent="0.3">
      <c r="A5738" t="s">
        <v>11407</v>
      </c>
      <c r="B5738" t="s">
        <v>11408</v>
      </c>
      <c r="D5738">
        <v>1.5</v>
      </c>
      <c r="E5738" t="s">
        <v>23</v>
      </c>
      <c r="F5738" t="s">
        <v>2410</v>
      </c>
    </row>
    <row r="5739" spans="1:10" x14ac:dyDescent="0.3">
      <c r="A5739" t="s">
        <v>11409</v>
      </c>
      <c r="B5739" t="s">
        <v>2881</v>
      </c>
      <c r="D5739">
        <v>1</v>
      </c>
      <c r="F5739" t="s">
        <v>2882</v>
      </c>
    </row>
    <row r="5740" spans="1:10" x14ac:dyDescent="0.3">
      <c r="A5740" t="s">
        <v>11410</v>
      </c>
      <c r="B5740" t="s">
        <v>11411</v>
      </c>
      <c r="F5740" t="s">
        <v>402</v>
      </c>
      <c r="J5740" t="s">
        <v>65</v>
      </c>
    </row>
    <row r="5741" spans="1:10" x14ac:dyDescent="0.3">
      <c r="A5741" t="s">
        <v>8109</v>
      </c>
      <c r="B5741" t="s">
        <v>11412</v>
      </c>
      <c r="D5741">
        <v>0.25</v>
      </c>
      <c r="E5741" t="s">
        <v>37</v>
      </c>
      <c r="F5741" t="s">
        <v>8428</v>
      </c>
    </row>
    <row r="5742" spans="1:10" x14ac:dyDescent="0.3">
      <c r="A5742" t="s">
        <v>11413</v>
      </c>
      <c r="B5742" t="s">
        <v>11414</v>
      </c>
      <c r="D5742">
        <v>1</v>
      </c>
      <c r="E5742" t="s">
        <v>752</v>
      </c>
      <c r="F5742" t="s">
        <v>979</v>
      </c>
    </row>
    <row r="5743" spans="1:10" x14ac:dyDescent="0.3">
      <c r="A5743" t="s">
        <v>11415</v>
      </c>
      <c r="B5743" t="s">
        <v>7005</v>
      </c>
      <c r="D5743">
        <v>2</v>
      </c>
      <c r="E5743" t="s">
        <v>23</v>
      </c>
      <c r="F5743" t="s">
        <v>262</v>
      </c>
    </row>
    <row r="5744" spans="1:10" x14ac:dyDescent="0.3">
      <c r="A5744" t="s">
        <v>11416</v>
      </c>
      <c r="B5744" t="s">
        <v>11417</v>
      </c>
      <c r="D5744">
        <v>0.75</v>
      </c>
      <c r="E5744" t="s">
        <v>23</v>
      </c>
      <c r="F5744" t="s">
        <v>547</v>
      </c>
      <c r="J5744" t="s">
        <v>1146</v>
      </c>
    </row>
    <row r="5745" spans="1:10" x14ac:dyDescent="0.3">
      <c r="A5745" t="s">
        <v>7706</v>
      </c>
      <c r="B5745" t="s">
        <v>2879</v>
      </c>
      <c r="D5745">
        <v>10.5</v>
      </c>
      <c r="E5745" t="s">
        <v>91</v>
      </c>
      <c r="F5745" t="s">
        <v>524</v>
      </c>
    </row>
    <row r="5746" spans="1:10" x14ac:dyDescent="0.3">
      <c r="A5746" t="s">
        <v>9622</v>
      </c>
      <c r="B5746" t="s">
        <v>11418</v>
      </c>
      <c r="D5746">
        <v>1</v>
      </c>
      <c r="E5746" t="s">
        <v>37</v>
      </c>
      <c r="F5746" t="s">
        <v>11419</v>
      </c>
      <c r="J5746" t="s">
        <v>11420</v>
      </c>
    </row>
    <row r="5747" spans="1:10" x14ac:dyDescent="0.3">
      <c r="A5747" t="s">
        <v>668</v>
      </c>
      <c r="B5747" t="s">
        <v>11421</v>
      </c>
      <c r="D5747">
        <v>3</v>
      </c>
      <c r="E5747" t="s">
        <v>11422</v>
      </c>
      <c r="F5747" t="s">
        <v>1816</v>
      </c>
    </row>
    <row r="5748" spans="1:10" x14ac:dyDescent="0.3">
      <c r="A5748" t="s">
        <v>11423</v>
      </c>
      <c r="B5748" t="s">
        <v>4919</v>
      </c>
      <c r="D5748">
        <v>0.5</v>
      </c>
      <c r="E5748" t="s">
        <v>23</v>
      </c>
      <c r="F5748" t="s">
        <v>30</v>
      </c>
    </row>
    <row r="5749" spans="1:10" x14ac:dyDescent="0.3">
      <c r="A5749" t="s">
        <v>11424</v>
      </c>
      <c r="B5749" t="s">
        <v>11425</v>
      </c>
      <c r="D5749">
        <v>0.25</v>
      </c>
      <c r="E5749" t="s">
        <v>284</v>
      </c>
      <c r="F5749" t="s">
        <v>2078</v>
      </c>
      <c r="G5749" t="s">
        <v>11426</v>
      </c>
    </row>
    <row r="5750" spans="1:10" x14ac:dyDescent="0.3">
      <c r="A5750" t="s">
        <v>11427</v>
      </c>
      <c r="B5750" t="s">
        <v>1317</v>
      </c>
      <c r="D5750">
        <v>1</v>
      </c>
      <c r="E5750" t="s">
        <v>11</v>
      </c>
      <c r="F5750" t="s">
        <v>524</v>
      </c>
    </row>
    <row r="5751" spans="1:10" x14ac:dyDescent="0.3">
      <c r="A5751" t="s">
        <v>1183</v>
      </c>
      <c r="B5751" t="s">
        <v>4394</v>
      </c>
      <c r="D5751">
        <v>1</v>
      </c>
      <c r="E5751" t="s">
        <v>23</v>
      </c>
      <c r="F5751" t="s">
        <v>355</v>
      </c>
    </row>
    <row r="5752" spans="1:10" x14ac:dyDescent="0.3">
      <c r="A5752" t="s">
        <v>7294</v>
      </c>
      <c r="B5752" t="s">
        <v>3216</v>
      </c>
      <c r="D5752">
        <v>0.75</v>
      </c>
      <c r="E5752" t="s">
        <v>23</v>
      </c>
      <c r="F5752" t="s">
        <v>38</v>
      </c>
      <c r="H5752" t="s">
        <v>68</v>
      </c>
    </row>
    <row r="5753" spans="1:10" x14ac:dyDescent="0.3">
      <c r="A5753" t="s">
        <v>11428</v>
      </c>
      <c r="B5753" t="s">
        <v>163</v>
      </c>
      <c r="F5753" t="s">
        <v>163</v>
      </c>
    </row>
    <row r="5754" spans="1:10" x14ac:dyDescent="0.3">
      <c r="A5754" t="s">
        <v>3377</v>
      </c>
      <c r="B5754" t="s">
        <v>11429</v>
      </c>
      <c r="D5754">
        <v>5</v>
      </c>
      <c r="E5754" t="s">
        <v>29</v>
      </c>
      <c r="F5754" t="s">
        <v>683</v>
      </c>
    </row>
    <row r="5755" spans="1:10" x14ac:dyDescent="0.3">
      <c r="A5755" t="s">
        <v>11430</v>
      </c>
      <c r="B5755" t="s">
        <v>413</v>
      </c>
      <c r="F5755" t="s">
        <v>413</v>
      </c>
    </row>
    <row r="5756" spans="1:10" x14ac:dyDescent="0.3">
      <c r="A5756" t="s">
        <v>1679</v>
      </c>
      <c r="B5756" t="s">
        <v>10216</v>
      </c>
      <c r="D5756">
        <v>0.5</v>
      </c>
      <c r="E5756" t="s">
        <v>23</v>
      </c>
      <c r="F5756" t="s">
        <v>423</v>
      </c>
    </row>
    <row r="5757" spans="1:10" x14ac:dyDescent="0.3">
      <c r="A5757" t="s">
        <v>11431</v>
      </c>
      <c r="B5757" t="s">
        <v>11432</v>
      </c>
      <c r="D5757">
        <v>1</v>
      </c>
      <c r="E5757" t="s">
        <v>37</v>
      </c>
      <c r="F5757" t="s">
        <v>38</v>
      </c>
      <c r="H5757" t="s">
        <v>68</v>
      </c>
    </row>
    <row r="5758" spans="1:10" x14ac:dyDescent="0.3">
      <c r="A5758" t="s">
        <v>10517</v>
      </c>
      <c r="B5758" t="s">
        <v>11433</v>
      </c>
      <c r="D5758">
        <v>2</v>
      </c>
      <c r="E5758" t="s">
        <v>1338</v>
      </c>
      <c r="F5758" t="s">
        <v>1043</v>
      </c>
    </row>
    <row r="5759" spans="1:10" x14ac:dyDescent="0.3">
      <c r="A5759" t="s">
        <v>11434</v>
      </c>
      <c r="B5759" t="s">
        <v>11435</v>
      </c>
      <c r="D5759">
        <v>0.5</v>
      </c>
      <c r="E5759" t="s">
        <v>850</v>
      </c>
      <c r="F5759" t="s">
        <v>11436</v>
      </c>
    </row>
    <row r="5760" spans="1:10" x14ac:dyDescent="0.3">
      <c r="A5760" t="s">
        <v>11437</v>
      </c>
      <c r="B5760" t="s">
        <v>233</v>
      </c>
      <c r="F5760" t="s">
        <v>233</v>
      </c>
    </row>
    <row r="5761" spans="1:10" x14ac:dyDescent="0.3">
      <c r="A5761" t="s">
        <v>7693</v>
      </c>
      <c r="B5761" t="s">
        <v>11438</v>
      </c>
      <c r="D5761">
        <v>1</v>
      </c>
      <c r="E5761" t="s">
        <v>361</v>
      </c>
      <c r="F5761" t="s">
        <v>11439</v>
      </c>
    </row>
    <row r="5762" spans="1:10" x14ac:dyDescent="0.3">
      <c r="A5762" t="s">
        <v>11440</v>
      </c>
      <c r="B5762" t="s">
        <v>11441</v>
      </c>
      <c r="D5762">
        <v>15</v>
      </c>
      <c r="E5762" t="s">
        <v>29</v>
      </c>
      <c r="F5762" t="s">
        <v>1209</v>
      </c>
    </row>
    <row r="5763" spans="1:10" x14ac:dyDescent="0.3">
      <c r="A5763" t="s">
        <v>11442</v>
      </c>
      <c r="B5763" t="s">
        <v>9383</v>
      </c>
      <c r="D5763">
        <v>1</v>
      </c>
      <c r="F5763" t="s">
        <v>1056</v>
      </c>
    </row>
    <row r="5764" spans="1:10" x14ac:dyDescent="0.3">
      <c r="A5764" t="s">
        <v>11058</v>
      </c>
      <c r="B5764" t="s">
        <v>11443</v>
      </c>
      <c r="D5764">
        <v>0.25</v>
      </c>
      <c r="E5764" t="s">
        <v>284</v>
      </c>
      <c r="F5764" t="s">
        <v>1084</v>
      </c>
    </row>
    <row r="5765" spans="1:10" x14ac:dyDescent="0.3">
      <c r="A5765" t="s">
        <v>5553</v>
      </c>
      <c r="B5765" t="s">
        <v>11444</v>
      </c>
      <c r="D5765">
        <v>1</v>
      </c>
      <c r="E5765" t="s">
        <v>37</v>
      </c>
      <c r="F5765" t="s">
        <v>11445</v>
      </c>
    </row>
    <row r="5766" spans="1:10" x14ac:dyDescent="0.3">
      <c r="A5766" t="s">
        <v>11446</v>
      </c>
      <c r="B5766" t="s">
        <v>11447</v>
      </c>
      <c r="D5766">
        <v>1</v>
      </c>
      <c r="E5766" t="s">
        <v>270</v>
      </c>
      <c r="F5766" t="s">
        <v>38</v>
      </c>
    </row>
    <row r="5767" spans="1:10" x14ac:dyDescent="0.3">
      <c r="A5767" t="s">
        <v>11448</v>
      </c>
      <c r="B5767" t="s">
        <v>981</v>
      </c>
      <c r="D5767">
        <v>1</v>
      </c>
      <c r="E5767" t="s">
        <v>151</v>
      </c>
      <c r="F5767" t="s">
        <v>163</v>
      </c>
    </row>
    <row r="5768" spans="1:10" x14ac:dyDescent="0.3">
      <c r="A5768" t="s">
        <v>4628</v>
      </c>
      <c r="B5768" t="s">
        <v>11449</v>
      </c>
      <c r="D5768">
        <v>0.25</v>
      </c>
      <c r="E5768" t="s">
        <v>11</v>
      </c>
      <c r="F5768" t="s">
        <v>4433</v>
      </c>
    </row>
    <row r="5769" spans="1:10" x14ac:dyDescent="0.3">
      <c r="A5769" t="s">
        <v>96</v>
      </c>
      <c r="B5769" t="s">
        <v>879</v>
      </c>
      <c r="D5769">
        <v>1</v>
      </c>
      <c r="E5769" t="s">
        <v>23</v>
      </c>
      <c r="F5769" t="s">
        <v>880</v>
      </c>
    </row>
    <row r="5770" spans="1:10" x14ac:dyDescent="0.3">
      <c r="A5770" t="s">
        <v>11450</v>
      </c>
      <c r="B5770" t="s">
        <v>11451</v>
      </c>
      <c r="D5770">
        <v>0.75</v>
      </c>
      <c r="E5770" t="s">
        <v>11</v>
      </c>
      <c r="F5770" t="s">
        <v>5277</v>
      </c>
    </row>
    <row r="5771" spans="1:10" x14ac:dyDescent="0.3">
      <c r="A5771" t="s">
        <v>11452</v>
      </c>
      <c r="B5771" t="s">
        <v>11453</v>
      </c>
      <c r="D5771">
        <v>10</v>
      </c>
      <c r="E5771" t="s">
        <v>29</v>
      </c>
      <c r="F5771" t="s">
        <v>11454</v>
      </c>
      <c r="J5771" t="s">
        <v>11455</v>
      </c>
    </row>
    <row r="5772" spans="1:10" x14ac:dyDescent="0.3">
      <c r="A5772" t="s">
        <v>11456</v>
      </c>
      <c r="B5772" t="s">
        <v>4919</v>
      </c>
      <c r="D5772">
        <v>0.5</v>
      </c>
      <c r="E5772" t="s">
        <v>23</v>
      </c>
      <c r="F5772" t="s">
        <v>30</v>
      </c>
    </row>
    <row r="5773" spans="1:10" x14ac:dyDescent="0.3">
      <c r="A5773" t="s">
        <v>11457</v>
      </c>
      <c r="B5773" t="s">
        <v>11458</v>
      </c>
      <c r="D5773">
        <v>0.25</v>
      </c>
      <c r="E5773" t="s">
        <v>23</v>
      </c>
      <c r="F5773" t="s">
        <v>1718</v>
      </c>
    </row>
    <row r="5774" spans="1:10" x14ac:dyDescent="0.3">
      <c r="A5774" t="s">
        <v>11459</v>
      </c>
      <c r="B5774" t="s">
        <v>1816</v>
      </c>
      <c r="F5774" t="s">
        <v>1816</v>
      </c>
    </row>
    <row r="5775" spans="1:10" x14ac:dyDescent="0.3">
      <c r="A5775" t="s">
        <v>11460</v>
      </c>
      <c r="B5775" t="s">
        <v>11461</v>
      </c>
      <c r="D5775">
        <v>1</v>
      </c>
      <c r="E5775" t="s">
        <v>11</v>
      </c>
      <c r="F5775" t="s">
        <v>10081</v>
      </c>
    </row>
    <row r="5776" spans="1:10" x14ac:dyDescent="0.3">
      <c r="A5776" t="s">
        <v>5748</v>
      </c>
      <c r="B5776" t="s">
        <v>1244</v>
      </c>
      <c r="D5776">
        <v>2</v>
      </c>
      <c r="E5776" t="s">
        <v>23</v>
      </c>
      <c r="F5776" t="s">
        <v>716</v>
      </c>
    </row>
    <row r="5777" spans="1:10" x14ac:dyDescent="0.3">
      <c r="A5777" t="s">
        <v>2184</v>
      </c>
      <c r="B5777" t="s">
        <v>9862</v>
      </c>
      <c r="D5777">
        <v>0.5</v>
      </c>
      <c r="E5777" t="s">
        <v>11</v>
      </c>
      <c r="F5777" t="s">
        <v>5277</v>
      </c>
    </row>
    <row r="5778" spans="1:10" x14ac:dyDescent="0.3">
      <c r="A5778" t="s">
        <v>11462</v>
      </c>
      <c r="B5778" t="s">
        <v>3153</v>
      </c>
      <c r="D5778">
        <v>2</v>
      </c>
      <c r="E5778" t="s">
        <v>345</v>
      </c>
      <c r="F5778" t="s">
        <v>220</v>
      </c>
    </row>
    <row r="5779" spans="1:10" x14ac:dyDescent="0.3">
      <c r="A5779" t="s">
        <v>11463</v>
      </c>
      <c r="B5779" t="s">
        <v>11464</v>
      </c>
      <c r="D5779">
        <v>1.5</v>
      </c>
      <c r="E5779" t="s">
        <v>23</v>
      </c>
      <c r="F5779" t="s">
        <v>11465</v>
      </c>
    </row>
    <row r="5780" spans="1:10" x14ac:dyDescent="0.3">
      <c r="A5780" t="s">
        <v>11466</v>
      </c>
      <c r="B5780" t="s">
        <v>11467</v>
      </c>
      <c r="D5780">
        <v>0.5</v>
      </c>
      <c r="E5780" t="s">
        <v>11</v>
      </c>
      <c r="F5780" t="s">
        <v>1674</v>
      </c>
    </row>
    <row r="5781" spans="1:10" x14ac:dyDescent="0.3">
      <c r="A5781" t="s">
        <v>1705</v>
      </c>
      <c r="B5781" t="s">
        <v>11468</v>
      </c>
      <c r="D5781">
        <v>0.5</v>
      </c>
      <c r="E5781" t="s">
        <v>11</v>
      </c>
      <c r="F5781" t="s">
        <v>3704</v>
      </c>
    </row>
    <row r="5782" spans="1:10" x14ac:dyDescent="0.3">
      <c r="A5782" t="s">
        <v>11469</v>
      </c>
      <c r="B5782" t="s">
        <v>4380</v>
      </c>
      <c r="D5782">
        <v>3</v>
      </c>
      <c r="E5782" t="s">
        <v>23</v>
      </c>
      <c r="F5782" t="s">
        <v>64</v>
      </c>
    </row>
    <row r="5783" spans="1:10" x14ac:dyDescent="0.3">
      <c r="A5783" t="s">
        <v>11470</v>
      </c>
      <c r="B5783" t="s">
        <v>11471</v>
      </c>
      <c r="D5783">
        <v>4</v>
      </c>
      <c r="F5783" t="s">
        <v>1056</v>
      </c>
    </row>
    <row r="5784" spans="1:10" x14ac:dyDescent="0.3">
      <c r="A5784" t="s">
        <v>11472</v>
      </c>
      <c r="B5784" t="s">
        <v>11473</v>
      </c>
      <c r="D5784">
        <v>4</v>
      </c>
      <c r="E5784" t="s">
        <v>23</v>
      </c>
      <c r="F5784" t="s">
        <v>4212</v>
      </c>
    </row>
    <row r="5785" spans="1:10" x14ac:dyDescent="0.3">
      <c r="A5785" t="s">
        <v>11474</v>
      </c>
      <c r="B5785" t="s">
        <v>11475</v>
      </c>
      <c r="D5785">
        <v>3</v>
      </c>
      <c r="E5785" t="s">
        <v>71</v>
      </c>
      <c r="F5785" t="s">
        <v>11476</v>
      </c>
      <c r="H5785" t="s">
        <v>68</v>
      </c>
      <c r="J5785" t="s">
        <v>11477</v>
      </c>
    </row>
    <row r="5786" spans="1:10" x14ac:dyDescent="0.3">
      <c r="A5786" t="s">
        <v>11478</v>
      </c>
      <c r="B5786" t="s">
        <v>11479</v>
      </c>
      <c r="F5786" t="s">
        <v>1644</v>
      </c>
      <c r="J5786" t="s">
        <v>4067</v>
      </c>
    </row>
    <row r="5787" spans="1:10" x14ac:dyDescent="0.3">
      <c r="A5787" t="s">
        <v>11480</v>
      </c>
      <c r="B5787" t="s">
        <v>11481</v>
      </c>
      <c r="D5787">
        <v>0.5</v>
      </c>
      <c r="E5787" t="s">
        <v>23</v>
      </c>
      <c r="F5787" t="s">
        <v>2146</v>
      </c>
    </row>
    <row r="5788" spans="1:10" x14ac:dyDescent="0.3">
      <c r="A5788" t="s">
        <v>11482</v>
      </c>
      <c r="B5788" t="s">
        <v>11483</v>
      </c>
      <c r="D5788">
        <v>1</v>
      </c>
      <c r="E5788" t="s">
        <v>23</v>
      </c>
      <c r="F5788" t="s">
        <v>11484</v>
      </c>
      <c r="G5788" t="s">
        <v>11485</v>
      </c>
    </row>
    <row r="5789" spans="1:10" x14ac:dyDescent="0.3">
      <c r="A5789" t="s">
        <v>11486</v>
      </c>
      <c r="B5789" t="s">
        <v>11487</v>
      </c>
      <c r="D5789">
        <v>1</v>
      </c>
      <c r="E5789" t="s">
        <v>11</v>
      </c>
      <c r="F5789" t="s">
        <v>11488</v>
      </c>
    </row>
    <row r="5790" spans="1:10" x14ac:dyDescent="0.3">
      <c r="A5790" t="s">
        <v>3339</v>
      </c>
      <c r="B5790" t="s">
        <v>2279</v>
      </c>
      <c r="D5790">
        <v>0.75</v>
      </c>
      <c r="E5790" t="s">
        <v>11</v>
      </c>
      <c r="F5790" t="s">
        <v>793</v>
      </c>
    </row>
    <row r="5791" spans="1:10" x14ac:dyDescent="0.3">
      <c r="A5791" t="s">
        <v>11489</v>
      </c>
      <c r="B5791" t="s">
        <v>11490</v>
      </c>
      <c r="D5791">
        <v>1</v>
      </c>
      <c r="E5791" t="s">
        <v>37</v>
      </c>
      <c r="F5791" t="s">
        <v>558</v>
      </c>
    </row>
    <row r="5792" spans="1:10" x14ac:dyDescent="0.3">
      <c r="A5792" t="s">
        <v>11491</v>
      </c>
      <c r="B5792" t="s">
        <v>11492</v>
      </c>
      <c r="D5792">
        <v>1</v>
      </c>
      <c r="E5792" t="s">
        <v>11</v>
      </c>
      <c r="F5792" t="s">
        <v>11493</v>
      </c>
    </row>
    <row r="5793" spans="1:10" x14ac:dyDescent="0.3">
      <c r="A5793" t="s">
        <v>11494</v>
      </c>
      <c r="B5793" t="s">
        <v>11495</v>
      </c>
      <c r="D5793">
        <v>0.25</v>
      </c>
      <c r="F5793" t="s">
        <v>1436</v>
      </c>
      <c r="J5793" t="s">
        <v>11496</v>
      </c>
    </row>
    <row r="5794" spans="1:10" x14ac:dyDescent="0.3">
      <c r="A5794" t="s">
        <v>7487</v>
      </c>
      <c r="B5794" t="s">
        <v>11497</v>
      </c>
      <c r="D5794">
        <v>1</v>
      </c>
      <c r="E5794" t="s">
        <v>10514</v>
      </c>
      <c r="F5794" t="s">
        <v>741</v>
      </c>
    </row>
    <row r="5795" spans="1:10" x14ac:dyDescent="0.3">
      <c r="A5795" t="s">
        <v>161</v>
      </c>
      <c r="B5795" t="s">
        <v>6851</v>
      </c>
      <c r="D5795">
        <v>1</v>
      </c>
      <c r="E5795" t="s">
        <v>4545</v>
      </c>
      <c r="F5795" t="s">
        <v>41</v>
      </c>
    </row>
    <row r="5796" spans="1:10" x14ac:dyDescent="0.3">
      <c r="A5796" t="s">
        <v>3656</v>
      </c>
      <c r="B5796" t="s">
        <v>11498</v>
      </c>
      <c r="D5796">
        <v>1</v>
      </c>
      <c r="E5796" t="s">
        <v>460</v>
      </c>
      <c r="F5796" t="s">
        <v>1097</v>
      </c>
      <c r="J5796" t="s">
        <v>248</v>
      </c>
    </row>
    <row r="5797" spans="1:10" x14ac:dyDescent="0.3">
      <c r="A5797" t="s">
        <v>11499</v>
      </c>
      <c r="B5797" t="s">
        <v>1545</v>
      </c>
      <c r="F5797" t="s">
        <v>10211</v>
      </c>
      <c r="G5797" t="s">
        <v>1247</v>
      </c>
    </row>
    <row r="5798" spans="1:10" x14ac:dyDescent="0.3">
      <c r="A5798" t="s">
        <v>11500</v>
      </c>
      <c r="B5798" t="s">
        <v>11501</v>
      </c>
      <c r="D5798">
        <v>20</v>
      </c>
      <c r="E5798" t="s">
        <v>29</v>
      </c>
      <c r="F5798" t="s">
        <v>6948</v>
      </c>
    </row>
    <row r="5799" spans="1:10" x14ac:dyDescent="0.3">
      <c r="A5799" t="s">
        <v>11502</v>
      </c>
      <c r="B5799" t="s">
        <v>11503</v>
      </c>
      <c r="D5799">
        <v>1.5</v>
      </c>
      <c r="E5799" t="s">
        <v>11504</v>
      </c>
      <c r="F5799" t="s">
        <v>11505</v>
      </c>
    </row>
    <row r="5800" spans="1:10" x14ac:dyDescent="0.3">
      <c r="A5800" t="s">
        <v>11506</v>
      </c>
      <c r="B5800" t="s">
        <v>4579</v>
      </c>
      <c r="D5800">
        <v>1</v>
      </c>
      <c r="F5800" t="s">
        <v>4580</v>
      </c>
    </row>
    <row r="5801" spans="1:10" x14ac:dyDescent="0.3">
      <c r="A5801" t="s">
        <v>161</v>
      </c>
      <c r="B5801" t="s">
        <v>7274</v>
      </c>
      <c r="D5801">
        <v>1</v>
      </c>
      <c r="E5801" t="s">
        <v>111</v>
      </c>
      <c r="F5801" t="s">
        <v>2138</v>
      </c>
    </row>
    <row r="5802" spans="1:10" x14ac:dyDescent="0.3">
      <c r="A5802" t="s">
        <v>11507</v>
      </c>
      <c r="B5802" t="s">
        <v>11508</v>
      </c>
      <c r="D5802">
        <v>0.75</v>
      </c>
      <c r="E5802" t="s">
        <v>37</v>
      </c>
      <c r="F5802" t="s">
        <v>11509</v>
      </c>
    </row>
    <row r="5803" spans="1:10" x14ac:dyDescent="0.3">
      <c r="A5803" t="s">
        <v>10090</v>
      </c>
      <c r="B5803" t="s">
        <v>11510</v>
      </c>
      <c r="D5803">
        <v>35</v>
      </c>
      <c r="E5803" t="s">
        <v>29</v>
      </c>
      <c r="F5803" t="s">
        <v>7153</v>
      </c>
    </row>
    <row r="5804" spans="1:10" x14ac:dyDescent="0.3">
      <c r="A5804" t="s">
        <v>11511</v>
      </c>
      <c r="B5804" t="s">
        <v>3153</v>
      </c>
      <c r="D5804">
        <v>2</v>
      </c>
      <c r="E5804" t="s">
        <v>345</v>
      </c>
      <c r="F5804" t="s">
        <v>220</v>
      </c>
    </row>
    <row r="5805" spans="1:10" x14ac:dyDescent="0.3">
      <c r="A5805" t="s">
        <v>11512</v>
      </c>
      <c r="B5805" t="s">
        <v>11513</v>
      </c>
      <c r="D5805">
        <v>3</v>
      </c>
      <c r="E5805" t="s">
        <v>23</v>
      </c>
      <c r="F5805" t="s">
        <v>2135</v>
      </c>
    </row>
    <row r="5806" spans="1:10" x14ac:dyDescent="0.3">
      <c r="A5806" t="s">
        <v>9619</v>
      </c>
      <c r="B5806" t="s">
        <v>11514</v>
      </c>
      <c r="D5806">
        <v>0.5</v>
      </c>
      <c r="E5806" t="s">
        <v>37</v>
      </c>
      <c r="F5806" t="s">
        <v>11515</v>
      </c>
    </row>
    <row r="5807" spans="1:10" x14ac:dyDescent="0.3">
      <c r="A5807" t="s">
        <v>11516</v>
      </c>
      <c r="B5807" t="s">
        <v>11517</v>
      </c>
      <c r="D5807">
        <v>1</v>
      </c>
      <c r="E5807" t="s">
        <v>8344</v>
      </c>
      <c r="F5807" t="s">
        <v>8211</v>
      </c>
      <c r="J5807" t="s">
        <v>248</v>
      </c>
    </row>
    <row r="5808" spans="1:10" x14ac:dyDescent="0.3">
      <c r="A5808" t="s">
        <v>11518</v>
      </c>
      <c r="B5808" t="s">
        <v>841</v>
      </c>
      <c r="D5808">
        <v>1</v>
      </c>
      <c r="E5808" t="s">
        <v>23</v>
      </c>
      <c r="F5808" t="s">
        <v>793</v>
      </c>
    </row>
    <row r="5809" spans="1:10" x14ac:dyDescent="0.3">
      <c r="A5809" t="s">
        <v>11519</v>
      </c>
      <c r="B5809" t="s">
        <v>163</v>
      </c>
      <c r="F5809" t="s">
        <v>163</v>
      </c>
    </row>
    <row r="5810" spans="1:10" x14ac:dyDescent="0.3">
      <c r="A5810" t="s">
        <v>11520</v>
      </c>
      <c r="B5810" t="s">
        <v>11521</v>
      </c>
      <c r="D5810">
        <v>3</v>
      </c>
      <c r="E5810" t="s">
        <v>91</v>
      </c>
      <c r="F5810" t="s">
        <v>11522</v>
      </c>
    </row>
    <row r="5811" spans="1:10" x14ac:dyDescent="0.3">
      <c r="A5811" t="s">
        <v>11523</v>
      </c>
      <c r="B5811" t="s">
        <v>5853</v>
      </c>
      <c r="D5811">
        <v>1</v>
      </c>
      <c r="E5811" t="s">
        <v>23</v>
      </c>
      <c r="F5811" t="s">
        <v>847</v>
      </c>
    </row>
    <row r="5812" spans="1:10" x14ac:dyDescent="0.3">
      <c r="A5812" t="s">
        <v>11524</v>
      </c>
      <c r="B5812" t="s">
        <v>11525</v>
      </c>
      <c r="D5812">
        <v>0.75</v>
      </c>
      <c r="E5812" t="s">
        <v>37</v>
      </c>
      <c r="F5812" t="s">
        <v>11526</v>
      </c>
    </row>
    <row r="5813" spans="1:10" x14ac:dyDescent="0.3">
      <c r="A5813" t="s">
        <v>11527</v>
      </c>
      <c r="B5813" t="s">
        <v>8333</v>
      </c>
      <c r="D5813">
        <v>3</v>
      </c>
      <c r="E5813" t="s">
        <v>189</v>
      </c>
      <c r="F5813" t="s">
        <v>6765</v>
      </c>
    </row>
    <row r="5814" spans="1:10" x14ac:dyDescent="0.3">
      <c r="A5814" t="s">
        <v>11528</v>
      </c>
      <c r="B5814" t="s">
        <v>11529</v>
      </c>
      <c r="D5814">
        <v>2</v>
      </c>
      <c r="E5814" t="s">
        <v>18</v>
      </c>
      <c r="F5814" t="s">
        <v>6244</v>
      </c>
      <c r="J5814" t="s">
        <v>289</v>
      </c>
    </row>
    <row r="5815" spans="1:10" x14ac:dyDescent="0.3">
      <c r="A5815" t="s">
        <v>11530</v>
      </c>
      <c r="B5815" t="s">
        <v>11531</v>
      </c>
      <c r="D5815">
        <v>37.5</v>
      </c>
      <c r="E5815" t="s">
        <v>29</v>
      </c>
      <c r="F5815" t="s">
        <v>1050</v>
      </c>
    </row>
    <row r="5816" spans="1:10" x14ac:dyDescent="0.3">
      <c r="A5816" t="s">
        <v>11532</v>
      </c>
      <c r="B5816" t="s">
        <v>11533</v>
      </c>
      <c r="D5816">
        <v>2</v>
      </c>
      <c r="E5816" t="s">
        <v>23</v>
      </c>
      <c r="F5816" t="s">
        <v>11151</v>
      </c>
    </row>
    <row r="5817" spans="1:10" x14ac:dyDescent="0.3">
      <c r="A5817" t="s">
        <v>11534</v>
      </c>
      <c r="B5817" t="s">
        <v>3562</v>
      </c>
      <c r="D5817">
        <v>0.5</v>
      </c>
      <c r="E5817" t="s">
        <v>23</v>
      </c>
      <c r="F5817" t="s">
        <v>233</v>
      </c>
    </row>
    <row r="5818" spans="1:10" x14ac:dyDescent="0.3">
      <c r="A5818" t="s">
        <v>3082</v>
      </c>
      <c r="B5818" t="s">
        <v>11535</v>
      </c>
      <c r="D5818">
        <v>5</v>
      </c>
      <c r="F5818" t="s">
        <v>538</v>
      </c>
      <c r="H5818" t="s">
        <v>814</v>
      </c>
    </row>
    <row r="5819" spans="1:10" x14ac:dyDescent="0.3">
      <c r="A5819" t="s">
        <v>11536</v>
      </c>
      <c r="B5819" t="s">
        <v>5161</v>
      </c>
      <c r="F5819" t="s">
        <v>5161</v>
      </c>
    </row>
    <row r="5820" spans="1:10" x14ac:dyDescent="0.3">
      <c r="A5820" t="s">
        <v>2869</v>
      </c>
      <c r="B5820" t="s">
        <v>11537</v>
      </c>
      <c r="D5820">
        <v>2</v>
      </c>
      <c r="E5820" t="s">
        <v>2210</v>
      </c>
      <c r="F5820" t="s">
        <v>7344</v>
      </c>
      <c r="J5820" t="s">
        <v>289</v>
      </c>
    </row>
    <row r="5821" spans="1:10" x14ac:dyDescent="0.3">
      <c r="A5821" t="s">
        <v>11538</v>
      </c>
      <c r="B5821" t="s">
        <v>11539</v>
      </c>
      <c r="D5821">
        <v>1</v>
      </c>
      <c r="E5821" t="s">
        <v>23</v>
      </c>
      <c r="F5821" t="s">
        <v>11540</v>
      </c>
    </row>
    <row r="5822" spans="1:10" x14ac:dyDescent="0.3">
      <c r="A5822" t="s">
        <v>11541</v>
      </c>
      <c r="B5822" t="s">
        <v>11542</v>
      </c>
      <c r="D5822">
        <v>15</v>
      </c>
      <c r="E5822" t="s">
        <v>29</v>
      </c>
      <c r="F5822" t="s">
        <v>524</v>
      </c>
    </row>
    <row r="5823" spans="1:10" x14ac:dyDescent="0.3">
      <c r="A5823" t="s">
        <v>8134</v>
      </c>
      <c r="B5823" t="s">
        <v>7150</v>
      </c>
      <c r="D5823">
        <v>1</v>
      </c>
      <c r="E5823" t="s">
        <v>23</v>
      </c>
      <c r="F5823" t="s">
        <v>5448</v>
      </c>
    </row>
    <row r="5824" spans="1:10" x14ac:dyDescent="0.3">
      <c r="A5824" t="s">
        <v>11543</v>
      </c>
      <c r="B5824" t="s">
        <v>11544</v>
      </c>
      <c r="D5824">
        <v>0.25</v>
      </c>
      <c r="E5824" t="s">
        <v>37</v>
      </c>
      <c r="F5824" t="s">
        <v>1328</v>
      </c>
    </row>
    <row r="5825" spans="1:10" x14ac:dyDescent="0.3">
      <c r="A5825" t="s">
        <v>11545</v>
      </c>
      <c r="B5825" t="s">
        <v>11546</v>
      </c>
      <c r="D5825">
        <v>1</v>
      </c>
      <c r="E5825" t="s">
        <v>11</v>
      </c>
      <c r="F5825" t="s">
        <v>11547</v>
      </c>
    </row>
    <row r="5826" spans="1:10" x14ac:dyDescent="0.3">
      <c r="A5826" t="s">
        <v>10707</v>
      </c>
      <c r="B5826" t="s">
        <v>3554</v>
      </c>
      <c r="D5826">
        <v>0.5</v>
      </c>
      <c r="E5826" t="s">
        <v>23</v>
      </c>
      <c r="F5826" t="s">
        <v>160</v>
      </c>
      <c r="H5826" t="s">
        <v>68</v>
      </c>
    </row>
    <row r="5827" spans="1:10" x14ac:dyDescent="0.3">
      <c r="A5827" t="s">
        <v>5819</v>
      </c>
      <c r="B5827" t="s">
        <v>11548</v>
      </c>
      <c r="D5827">
        <v>1.5</v>
      </c>
      <c r="E5827" t="s">
        <v>345</v>
      </c>
      <c r="F5827" t="s">
        <v>4337</v>
      </c>
    </row>
    <row r="5828" spans="1:10" x14ac:dyDescent="0.3">
      <c r="A5828" t="s">
        <v>4764</v>
      </c>
      <c r="B5828" t="s">
        <v>11549</v>
      </c>
      <c r="D5828">
        <v>0.5</v>
      </c>
      <c r="E5828" t="s">
        <v>345</v>
      </c>
      <c r="F5828" t="s">
        <v>112</v>
      </c>
    </row>
    <row r="5829" spans="1:10" x14ac:dyDescent="0.3">
      <c r="A5829" t="s">
        <v>11550</v>
      </c>
      <c r="B5829" t="s">
        <v>11551</v>
      </c>
      <c r="D5829">
        <v>4</v>
      </c>
      <c r="E5829" t="s">
        <v>23</v>
      </c>
      <c r="F5829" t="s">
        <v>11552</v>
      </c>
    </row>
    <row r="5830" spans="1:10" x14ac:dyDescent="0.3">
      <c r="A5830" t="s">
        <v>11553</v>
      </c>
      <c r="B5830" t="s">
        <v>11554</v>
      </c>
      <c r="D5830">
        <v>2</v>
      </c>
      <c r="E5830" t="s">
        <v>2712</v>
      </c>
      <c r="F5830" t="s">
        <v>6035</v>
      </c>
    </row>
    <row r="5831" spans="1:10" x14ac:dyDescent="0.3">
      <c r="A5831" t="s">
        <v>11555</v>
      </c>
      <c r="B5831" t="s">
        <v>11556</v>
      </c>
      <c r="D5831">
        <v>12</v>
      </c>
      <c r="E5831" t="s">
        <v>23</v>
      </c>
      <c r="F5831" t="s">
        <v>75</v>
      </c>
    </row>
    <row r="5832" spans="1:10" x14ac:dyDescent="0.3">
      <c r="A5832" t="s">
        <v>2353</v>
      </c>
      <c r="B5832" t="s">
        <v>518</v>
      </c>
      <c r="F5832" t="s">
        <v>518</v>
      </c>
    </row>
    <row r="5833" spans="1:10" x14ac:dyDescent="0.3">
      <c r="A5833" t="s">
        <v>11557</v>
      </c>
      <c r="B5833" t="s">
        <v>11558</v>
      </c>
      <c r="D5833">
        <v>1</v>
      </c>
      <c r="E5833" t="s">
        <v>23</v>
      </c>
      <c r="F5833" t="s">
        <v>220</v>
      </c>
      <c r="J5833" t="s">
        <v>289</v>
      </c>
    </row>
    <row r="5834" spans="1:10" x14ac:dyDescent="0.3">
      <c r="A5834" t="s">
        <v>11559</v>
      </c>
      <c r="B5834" t="s">
        <v>11560</v>
      </c>
      <c r="D5834">
        <v>1</v>
      </c>
      <c r="E5834" t="s">
        <v>11</v>
      </c>
      <c r="F5834" t="s">
        <v>11561</v>
      </c>
    </row>
    <row r="5835" spans="1:10" x14ac:dyDescent="0.3">
      <c r="A5835" t="s">
        <v>5230</v>
      </c>
      <c r="B5835" t="s">
        <v>11562</v>
      </c>
      <c r="D5835">
        <v>60</v>
      </c>
      <c r="E5835" t="s">
        <v>29</v>
      </c>
      <c r="F5835" t="s">
        <v>4433</v>
      </c>
    </row>
    <row r="5836" spans="1:10" x14ac:dyDescent="0.3">
      <c r="A5836" t="s">
        <v>6659</v>
      </c>
      <c r="B5836" t="s">
        <v>11563</v>
      </c>
      <c r="D5836">
        <v>1</v>
      </c>
      <c r="E5836" t="s">
        <v>37</v>
      </c>
      <c r="F5836" t="s">
        <v>456</v>
      </c>
    </row>
    <row r="5837" spans="1:10" x14ac:dyDescent="0.3">
      <c r="A5837" t="s">
        <v>11564</v>
      </c>
      <c r="B5837" t="s">
        <v>11565</v>
      </c>
      <c r="D5837">
        <v>2</v>
      </c>
      <c r="E5837" t="s">
        <v>345</v>
      </c>
      <c r="F5837" t="s">
        <v>11566</v>
      </c>
    </row>
    <row r="5838" spans="1:10" x14ac:dyDescent="0.3">
      <c r="A5838" t="s">
        <v>11567</v>
      </c>
      <c r="B5838" t="s">
        <v>1148</v>
      </c>
      <c r="D5838">
        <v>50</v>
      </c>
      <c r="E5838" t="s">
        <v>10197</v>
      </c>
      <c r="F5838" t="s">
        <v>233</v>
      </c>
    </row>
    <row r="5839" spans="1:10" x14ac:dyDescent="0.3">
      <c r="A5839" t="s">
        <v>11568</v>
      </c>
      <c r="B5839" t="s">
        <v>4442</v>
      </c>
      <c r="D5839">
        <v>1</v>
      </c>
      <c r="E5839" t="s">
        <v>23</v>
      </c>
      <c r="F5839" t="s">
        <v>30</v>
      </c>
    </row>
    <row r="5840" spans="1:10" x14ac:dyDescent="0.3">
      <c r="A5840" t="s">
        <v>11569</v>
      </c>
      <c r="B5840" t="s">
        <v>11570</v>
      </c>
      <c r="D5840">
        <v>15</v>
      </c>
      <c r="E5840" t="s">
        <v>29</v>
      </c>
      <c r="F5840" t="s">
        <v>199</v>
      </c>
    </row>
    <row r="5841" spans="1:10" x14ac:dyDescent="0.3">
      <c r="A5841" t="s">
        <v>11571</v>
      </c>
      <c r="B5841" t="s">
        <v>1244</v>
      </c>
      <c r="D5841">
        <v>2</v>
      </c>
      <c r="E5841" t="s">
        <v>23</v>
      </c>
      <c r="F5841" t="s">
        <v>716</v>
      </c>
    </row>
    <row r="5842" spans="1:10" x14ac:dyDescent="0.3">
      <c r="A5842" t="s">
        <v>11572</v>
      </c>
      <c r="B5842" t="s">
        <v>11573</v>
      </c>
      <c r="D5842">
        <v>1</v>
      </c>
      <c r="E5842" t="s">
        <v>460</v>
      </c>
      <c r="F5842" t="s">
        <v>529</v>
      </c>
      <c r="J5842" t="s">
        <v>10925</v>
      </c>
    </row>
    <row r="5843" spans="1:10" x14ac:dyDescent="0.3">
      <c r="A5843" t="s">
        <v>86</v>
      </c>
      <c r="B5843" t="s">
        <v>11574</v>
      </c>
      <c r="D5843">
        <v>10</v>
      </c>
      <c r="E5843" t="s">
        <v>29</v>
      </c>
      <c r="F5843" t="s">
        <v>11575</v>
      </c>
    </row>
    <row r="5844" spans="1:10" x14ac:dyDescent="0.3">
      <c r="A5844" t="s">
        <v>1255</v>
      </c>
      <c r="B5844" t="s">
        <v>1820</v>
      </c>
      <c r="D5844">
        <v>0.25</v>
      </c>
      <c r="E5844" t="s">
        <v>23</v>
      </c>
      <c r="F5844" t="s">
        <v>81</v>
      </c>
    </row>
    <row r="5845" spans="1:10" x14ac:dyDescent="0.3">
      <c r="A5845" t="s">
        <v>11576</v>
      </c>
      <c r="B5845" t="s">
        <v>11577</v>
      </c>
      <c r="D5845">
        <v>0.5</v>
      </c>
      <c r="E5845" t="s">
        <v>23</v>
      </c>
      <c r="F5845" t="s">
        <v>1537</v>
      </c>
    </row>
    <row r="5846" spans="1:10" x14ac:dyDescent="0.3">
      <c r="A5846" t="s">
        <v>6952</v>
      </c>
      <c r="B5846" t="s">
        <v>725</v>
      </c>
      <c r="D5846">
        <v>1</v>
      </c>
      <c r="E5846" t="s">
        <v>585</v>
      </c>
      <c r="F5846" t="s">
        <v>163</v>
      </c>
      <c r="J5846" t="s">
        <v>248</v>
      </c>
    </row>
    <row r="5847" spans="1:10" x14ac:dyDescent="0.3">
      <c r="A5847" t="s">
        <v>11578</v>
      </c>
      <c r="B5847" t="s">
        <v>11579</v>
      </c>
      <c r="D5847">
        <v>1</v>
      </c>
      <c r="F5847" t="s">
        <v>320</v>
      </c>
    </row>
    <row r="5848" spans="1:10" x14ac:dyDescent="0.3">
      <c r="A5848" t="s">
        <v>11580</v>
      </c>
      <c r="B5848" t="s">
        <v>11581</v>
      </c>
      <c r="D5848">
        <v>50</v>
      </c>
      <c r="E5848" t="s">
        <v>29</v>
      </c>
      <c r="F5848" t="s">
        <v>11582</v>
      </c>
    </row>
    <row r="5849" spans="1:10" x14ac:dyDescent="0.3">
      <c r="A5849" t="s">
        <v>11583</v>
      </c>
      <c r="B5849" t="s">
        <v>11584</v>
      </c>
      <c r="D5849">
        <v>2</v>
      </c>
      <c r="E5849" t="s">
        <v>23</v>
      </c>
      <c r="F5849" t="s">
        <v>11585</v>
      </c>
    </row>
    <row r="5850" spans="1:10" x14ac:dyDescent="0.3">
      <c r="A5850" t="s">
        <v>9495</v>
      </c>
      <c r="B5850" t="s">
        <v>11586</v>
      </c>
      <c r="D5850">
        <v>0.75</v>
      </c>
      <c r="E5850" t="s">
        <v>23</v>
      </c>
      <c r="F5850" t="s">
        <v>11587</v>
      </c>
    </row>
    <row r="5851" spans="1:10" x14ac:dyDescent="0.3">
      <c r="A5851" t="s">
        <v>4651</v>
      </c>
      <c r="B5851" t="s">
        <v>11588</v>
      </c>
      <c r="D5851">
        <v>2</v>
      </c>
      <c r="E5851" t="s">
        <v>1785</v>
      </c>
      <c r="F5851" t="s">
        <v>11589</v>
      </c>
    </row>
    <row r="5852" spans="1:10" x14ac:dyDescent="0.3">
      <c r="A5852" t="s">
        <v>2542</v>
      </c>
      <c r="B5852" t="s">
        <v>10939</v>
      </c>
      <c r="D5852">
        <v>25</v>
      </c>
      <c r="E5852" t="s">
        <v>29</v>
      </c>
      <c r="F5852" t="s">
        <v>183</v>
      </c>
    </row>
    <row r="5853" spans="1:10" x14ac:dyDescent="0.3">
      <c r="A5853" t="s">
        <v>11590</v>
      </c>
      <c r="B5853" t="s">
        <v>11591</v>
      </c>
      <c r="D5853">
        <v>1</v>
      </c>
      <c r="F5853" t="s">
        <v>377</v>
      </c>
      <c r="G5853" t="s">
        <v>3348</v>
      </c>
      <c r="J5853" t="s">
        <v>325</v>
      </c>
    </row>
    <row r="5854" spans="1:10" x14ac:dyDescent="0.3">
      <c r="A5854" t="s">
        <v>11592</v>
      </c>
      <c r="B5854" t="s">
        <v>2069</v>
      </c>
      <c r="D5854">
        <v>2</v>
      </c>
      <c r="E5854" t="s">
        <v>23</v>
      </c>
      <c r="F5854" t="s">
        <v>64</v>
      </c>
    </row>
    <row r="5855" spans="1:10" x14ac:dyDescent="0.3">
      <c r="A5855" t="s">
        <v>2080</v>
      </c>
      <c r="B5855" t="s">
        <v>162</v>
      </c>
      <c r="E5855" t="s">
        <v>33</v>
      </c>
      <c r="F5855" t="s">
        <v>163</v>
      </c>
      <c r="J5855" t="s">
        <v>164</v>
      </c>
    </row>
    <row r="5856" spans="1:10" x14ac:dyDescent="0.3">
      <c r="A5856" t="s">
        <v>4468</v>
      </c>
      <c r="B5856" t="s">
        <v>11593</v>
      </c>
      <c r="D5856">
        <v>1</v>
      </c>
      <c r="E5856" t="s">
        <v>1671</v>
      </c>
      <c r="F5856" t="s">
        <v>152</v>
      </c>
      <c r="G5856" t="s">
        <v>11594</v>
      </c>
      <c r="J5856" t="s">
        <v>248</v>
      </c>
    </row>
    <row r="5857" spans="1:10" x14ac:dyDescent="0.3">
      <c r="A5857" t="s">
        <v>11595</v>
      </c>
      <c r="B5857" t="s">
        <v>11596</v>
      </c>
      <c r="D5857">
        <v>0.75</v>
      </c>
      <c r="E5857" t="s">
        <v>23</v>
      </c>
      <c r="F5857" t="s">
        <v>30</v>
      </c>
      <c r="J5857" t="s">
        <v>289</v>
      </c>
    </row>
    <row r="5858" spans="1:10" x14ac:dyDescent="0.3">
      <c r="A5858" t="s">
        <v>11597</v>
      </c>
      <c r="B5858" t="s">
        <v>333</v>
      </c>
      <c r="F5858" t="s">
        <v>333</v>
      </c>
    </row>
    <row r="5859" spans="1:10" x14ac:dyDescent="0.3">
      <c r="A5859" t="s">
        <v>3406</v>
      </c>
      <c r="B5859" t="s">
        <v>11598</v>
      </c>
      <c r="D5859">
        <v>1</v>
      </c>
      <c r="E5859" t="s">
        <v>284</v>
      </c>
      <c r="F5859" t="s">
        <v>2376</v>
      </c>
      <c r="G5859" t="s">
        <v>4866</v>
      </c>
    </row>
    <row r="5860" spans="1:10" x14ac:dyDescent="0.3">
      <c r="A5860" t="s">
        <v>11599</v>
      </c>
      <c r="B5860" t="s">
        <v>11600</v>
      </c>
      <c r="D5860">
        <v>48</v>
      </c>
      <c r="E5860" t="s">
        <v>23</v>
      </c>
      <c r="F5860" t="s">
        <v>98</v>
      </c>
    </row>
    <row r="5861" spans="1:10" x14ac:dyDescent="0.3">
      <c r="A5861" t="s">
        <v>11601</v>
      </c>
      <c r="B5861" t="s">
        <v>3782</v>
      </c>
      <c r="D5861">
        <v>10</v>
      </c>
      <c r="E5861" t="s">
        <v>29</v>
      </c>
      <c r="F5861" t="s">
        <v>30</v>
      </c>
    </row>
    <row r="5862" spans="1:10" x14ac:dyDescent="0.3">
      <c r="A5862" t="s">
        <v>11602</v>
      </c>
      <c r="B5862" t="s">
        <v>8156</v>
      </c>
      <c r="D5862">
        <v>10.5</v>
      </c>
      <c r="E5862" t="s">
        <v>23</v>
      </c>
      <c r="F5862" t="s">
        <v>2862</v>
      </c>
      <c r="J5862" t="s">
        <v>1470</v>
      </c>
    </row>
    <row r="5863" spans="1:10" x14ac:dyDescent="0.3">
      <c r="A5863" t="s">
        <v>11603</v>
      </c>
      <c r="B5863" t="s">
        <v>11604</v>
      </c>
      <c r="D5863">
        <v>20.5</v>
      </c>
      <c r="E5863" t="s">
        <v>23</v>
      </c>
      <c r="F5863" t="s">
        <v>1644</v>
      </c>
    </row>
    <row r="5864" spans="1:10" x14ac:dyDescent="0.3">
      <c r="A5864" t="s">
        <v>11605</v>
      </c>
      <c r="B5864" t="s">
        <v>11606</v>
      </c>
      <c r="D5864">
        <v>2</v>
      </c>
      <c r="F5864" t="s">
        <v>11607</v>
      </c>
      <c r="G5864" t="s">
        <v>908</v>
      </c>
    </row>
    <row r="5865" spans="1:10" x14ac:dyDescent="0.3">
      <c r="A5865" t="s">
        <v>11608</v>
      </c>
      <c r="B5865" t="s">
        <v>879</v>
      </c>
      <c r="D5865">
        <v>1</v>
      </c>
      <c r="E5865" t="s">
        <v>23</v>
      </c>
      <c r="F5865" t="s">
        <v>880</v>
      </c>
    </row>
    <row r="5866" spans="1:10" x14ac:dyDescent="0.3">
      <c r="A5866" t="s">
        <v>8058</v>
      </c>
      <c r="B5866" t="s">
        <v>660</v>
      </c>
      <c r="F5866" t="s">
        <v>660</v>
      </c>
    </row>
    <row r="5867" spans="1:10" x14ac:dyDescent="0.3">
      <c r="A5867" t="s">
        <v>2536</v>
      </c>
      <c r="B5867" t="s">
        <v>11609</v>
      </c>
      <c r="D5867">
        <v>14</v>
      </c>
      <c r="E5867" t="s">
        <v>23</v>
      </c>
      <c r="F5867" t="s">
        <v>11610</v>
      </c>
      <c r="J5867" t="s">
        <v>11611</v>
      </c>
    </row>
    <row r="5868" spans="1:10" x14ac:dyDescent="0.3">
      <c r="A5868" t="s">
        <v>11612</v>
      </c>
      <c r="B5868" t="s">
        <v>4570</v>
      </c>
      <c r="D5868">
        <v>0.5</v>
      </c>
      <c r="E5868" t="s">
        <v>23</v>
      </c>
      <c r="F5868" t="s">
        <v>112</v>
      </c>
    </row>
    <row r="5869" spans="1:10" x14ac:dyDescent="0.3">
      <c r="A5869" t="s">
        <v>11613</v>
      </c>
      <c r="B5869" t="s">
        <v>8969</v>
      </c>
      <c r="D5869">
        <v>3</v>
      </c>
      <c r="F5869" t="s">
        <v>8970</v>
      </c>
      <c r="J5869" t="s">
        <v>248</v>
      </c>
    </row>
    <row r="5870" spans="1:10" x14ac:dyDescent="0.3">
      <c r="A5870" t="s">
        <v>11614</v>
      </c>
      <c r="B5870" t="s">
        <v>11615</v>
      </c>
      <c r="D5870">
        <v>1.33</v>
      </c>
      <c r="E5870" t="s">
        <v>23</v>
      </c>
      <c r="F5870" t="s">
        <v>11616</v>
      </c>
    </row>
    <row r="5871" spans="1:10" x14ac:dyDescent="0.3">
      <c r="A5871" t="s">
        <v>1834</v>
      </c>
      <c r="B5871" t="s">
        <v>2988</v>
      </c>
      <c r="D5871">
        <v>0.75</v>
      </c>
      <c r="E5871" t="s">
        <v>37</v>
      </c>
      <c r="F5871" t="s">
        <v>81</v>
      </c>
    </row>
    <row r="5872" spans="1:10" x14ac:dyDescent="0.3">
      <c r="A5872" t="s">
        <v>10157</v>
      </c>
      <c r="B5872" t="s">
        <v>11617</v>
      </c>
      <c r="D5872">
        <v>1</v>
      </c>
      <c r="E5872" t="s">
        <v>460</v>
      </c>
      <c r="F5872" t="s">
        <v>11618</v>
      </c>
    </row>
    <row r="5873" spans="1:10" x14ac:dyDescent="0.3">
      <c r="A5873" t="s">
        <v>11619</v>
      </c>
      <c r="B5873" t="s">
        <v>11620</v>
      </c>
      <c r="D5873">
        <v>4</v>
      </c>
      <c r="E5873" t="s">
        <v>23</v>
      </c>
      <c r="F5873" t="s">
        <v>581</v>
      </c>
      <c r="I5873" t="s">
        <v>11621</v>
      </c>
    </row>
    <row r="5874" spans="1:10" x14ac:dyDescent="0.3">
      <c r="A5874" t="s">
        <v>9807</v>
      </c>
      <c r="B5874" t="s">
        <v>607</v>
      </c>
      <c r="D5874">
        <v>0.5</v>
      </c>
      <c r="E5874" t="s">
        <v>23</v>
      </c>
      <c r="F5874" t="s">
        <v>292</v>
      </c>
    </row>
    <row r="5875" spans="1:10" x14ac:dyDescent="0.3">
      <c r="A5875" t="s">
        <v>4401</v>
      </c>
      <c r="B5875" t="s">
        <v>413</v>
      </c>
      <c r="F5875" t="s">
        <v>413</v>
      </c>
    </row>
    <row r="5876" spans="1:10" x14ac:dyDescent="0.3">
      <c r="A5876" t="s">
        <v>11622</v>
      </c>
      <c r="B5876" t="s">
        <v>1244</v>
      </c>
      <c r="D5876">
        <v>2</v>
      </c>
      <c r="E5876" t="s">
        <v>23</v>
      </c>
      <c r="F5876" t="s">
        <v>716</v>
      </c>
    </row>
    <row r="5877" spans="1:10" x14ac:dyDescent="0.3">
      <c r="A5877" t="s">
        <v>11623</v>
      </c>
      <c r="B5877" t="s">
        <v>11624</v>
      </c>
      <c r="D5877">
        <v>50</v>
      </c>
      <c r="E5877" t="s">
        <v>29</v>
      </c>
      <c r="F5877" t="s">
        <v>1816</v>
      </c>
    </row>
    <row r="5878" spans="1:10" x14ac:dyDescent="0.3">
      <c r="A5878" t="s">
        <v>11625</v>
      </c>
      <c r="B5878" t="s">
        <v>8821</v>
      </c>
      <c r="F5878" t="s">
        <v>317</v>
      </c>
      <c r="J5878" t="s">
        <v>1146</v>
      </c>
    </row>
    <row r="5879" spans="1:10" x14ac:dyDescent="0.3">
      <c r="A5879" t="s">
        <v>11626</v>
      </c>
      <c r="B5879" t="s">
        <v>11627</v>
      </c>
      <c r="D5879">
        <v>752</v>
      </c>
      <c r="E5879" t="s">
        <v>29</v>
      </c>
      <c r="F5879" t="s">
        <v>9450</v>
      </c>
      <c r="J5879" t="s">
        <v>11628</v>
      </c>
    </row>
    <row r="5880" spans="1:10" x14ac:dyDescent="0.3">
      <c r="A5880" t="s">
        <v>11629</v>
      </c>
      <c r="B5880" t="s">
        <v>265</v>
      </c>
      <c r="F5880" t="s">
        <v>265</v>
      </c>
    </row>
    <row r="5881" spans="1:10" x14ac:dyDescent="0.3">
      <c r="A5881" t="s">
        <v>9193</v>
      </c>
      <c r="B5881" t="s">
        <v>11630</v>
      </c>
      <c r="D5881">
        <v>4</v>
      </c>
      <c r="E5881" t="s">
        <v>23</v>
      </c>
      <c r="F5881" t="s">
        <v>57</v>
      </c>
    </row>
    <row r="5882" spans="1:10" x14ac:dyDescent="0.3">
      <c r="A5882" t="s">
        <v>11631</v>
      </c>
      <c r="B5882" t="s">
        <v>67</v>
      </c>
      <c r="D5882">
        <v>0.75</v>
      </c>
      <c r="E5882" t="s">
        <v>37</v>
      </c>
      <c r="F5882" t="s">
        <v>38</v>
      </c>
      <c r="H5882" t="s">
        <v>68</v>
      </c>
    </row>
    <row r="5883" spans="1:10" x14ac:dyDescent="0.3">
      <c r="A5883" t="s">
        <v>11632</v>
      </c>
      <c r="B5883" t="s">
        <v>11633</v>
      </c>
      <c r="D5883">
        <v>1.5</v>
      </c>
      <c r="E5883" t="s">
        <v>23</v>
      </c>
      <c r="F5883" t="s">
        <v>11634</v>
      </c>
    </row>
    <row r="5884" spans="1:10" x14ac:dyDescent="0.3">
      <c r="A5884" t="s">
        <v>5845</v>
      </c>
      <c r="B5884" t="s">
        <v>988</v>
      </c>
      <c r="D5884">
        <v>0.5</v>
      </c>
      <c r="E5884" t="s">
        <v>23</v>
      </c>
      <c r="F5884" t="s">
        <v>81</v>
      </c>
    </row>
    <row r="5885" spans="1:10" x14ac:dyDescent="0.3">
      <c r="A5885" t="s">
        <v>5849</v>
      </c>
      <c r="B5885" t="s">
        <v>11635</v>
      </c>
      <c r="D5885">
        <v>0.25</v>
      </c>
      <c r="E5885" t="s">
        <v>23</v>
      </c>
      <c r="F5885" t="s">
        <v>793</v>
      </c>
    </row>
    <row r="5886" spans="1:10" x14ac:dyDescent="0.3">
      <c r="A5886" t="s">
        <v>11636</v>
      </c>
      <c r="B5886" t="s">
        <v>291</v>
      </c>
      <c r="D5886">
        <v>0.5</v>
      </c>
      <c r="E5886" t="s">
        <v>11</v>
      </c>
      <c r="F5886" t="s">
        <v>292</v>
      </c>
    </row>
    <row r="5887" spans="1:10" x14ac:dyDescent="0.3">
      <c r="A5887" t="s">
        <v>2644</v>
      </c>
      <c r="B5887" t="s">
        <v>3977</v>
      </c>
      <c r="F5887" t="s">
        <v>3977</v>
      </c>
    </row>
    <row r="5888" spans="1:10" x14ac:dyDescent="0.3">
      <c r="A5888" t="s">
        <v>5037</v>
      </c>
      <c r="B5888" t="s">
        <v>5701</v>
      </c>
      <c r="D5888">
        <v>2</v>
      </c>
      <c r="E5888" t="s">
        <v>11637</v>
      </c>
      <c r="F5888" t="s">
        <v>41</v>
      </c>
    </row>
    <row r="5889" spans="1:10" x14ac:dyDescent="0.3">
      <c r="A5889" t="s">
        <v>6887</v>
      </c>
      <c r="B5889" t="s">
        <v>11638</v>
      </c>
      <c r="D5889">
        <v>1</v>
      </c>
      <c r="E5889" t="s">
        <v>361</v>
      </c>
      <c r="F5889" t="s">
        <v>11639</v>
      </c>
      <c r="J5889" t="s">
        <v>1470</v>
      </c>
    </row>
    <row r="5890" spans="1:10" x14ac:dyDescent="0.3">
      <c r="A5890" t="s">
        <v>11640</v>
      </c>
      <c r="B5890" t="s">
        <v>11641</v>
      </c>
      <c r="D5890">
        <v>2</v>
      </c>
      <c r="E5890" t="s">
        <v>11637</v>
      </c>
      <c r="F5890" t="s">
        <v>11642</v>
      </c>
      <c r="J5890" t="s">
        <v>1470</v>
      </c>
    </row>
    <row r="5891" spans="1:10" x14ac:dyDescent="0.3">
      <c r="A5891" t="s">
        <v>8975</v>
      </c>
      <c r="B5891" t="s">
        <v>11643</v>
      </c>
      <c r="D5891">
        <v>1</v>
      </c>
      <c r="E5891" t="s">
        <v>37</v>
      </c>
      <c r="F5891" t="s">
        <v>81</v>
      </c>
      <c r="J5891" t="s">
        <v>11644</v>
      </c>
    </row>
    <row r="5892" spans="1:10" x14ac:dyDescent="0.3">
      <c r="A5892" t="s">
        <v>5246</v>
      </c>
      <c r="B5892" t="s">
        <v>11645</v>
      </c>
      <c r="D5892">
        <v>2</v>
      </c>
      <c r="E5892" t="s">
        <v>189</v>
      </c>
      <c r="F5892" t="s">
        <v>3891</v>
      </c>
    </row>
    <row r="5893" spans="1:10" x14ac:dyDescent="0.3">
      <c r="A5893" t="s">
        <v>11646</v>
      </c>
      <c r="B5893" t="s">
        <v>11647</v>
      </c>
      <c r="F5893" t="s">
        <v>11648</v>
      </c>
      <c r="G5893" t="s">
        <v>11649</v>
      </c>
      <c r="J5893" t="s">
        <v>11650</v>
      </c>
    </row>
    <row r="5894" spans="1:10" x14ac:dyDescent="0.3">
      <c r="A5894" t="s">
        <v>11651</v>
      </c>
      <c r="B5894" t="s">
        <v>11652</v>
      </c>
      <c r="D5894">
        <v>0.5</v>
      </c>
      <c r="E5894" t="s">
        <v>460</v>
      </c>
      <c r="F5894" t="s">
        <v>947</v>
      </c>
    </row>
    <row r="5895" spans="1:10" x14ac:dyDescent="0.3">
      <c r="A5895" t="s">
        <v>1623</v>
      </c>
      <c r="B5895" t="s">
        <v>11653</v>
      </c>
      <c r="E5895" t="s">
        <v>11654</v>
      </c>
      <c r="F5895" t="s">
        <v>11655</v>
      </c>
      <c r="J5895" t="s">
        <v>11656</v>
      </c>
    </row>
    <row r="5896" spans="1:10" x14ac:dyDescent="0.3">
      <c r="A5896" t="s">
        <v>4885</v>
      </c>
      <c r="B5896" t="s">
        <v>5161</v>
      </c>
      <c r="F5896" t="s">
        <v>5161</v>
      </c>
    </row>
    <row r="5897" spans="1:10" x14ac:dyDescent="0.3">
      <c r="A5897" t="s">
        <v>11657</v>
      </c>
      <c r="B5897" t="s">
        <v>11658</v>
      </c>
      <c r="D5897">
        <v>0.5</v>
      </c>
      <c r="E5897" t="s">
        <v>23</v>
      </c>
      <c r="F5897" t="s">
        <v>979</v>
      </c>
    </row>
    <row r="5898" spans="1:10" x14ac:dyDescent="0.3">
      <c r="A5898" t="s">
        <v>11659</v>
      </c>
      <c r="B5898" t="s">
        <v>591</v>
      </c>
      <c r="F5898" t="s">
        <v>591</v>
      </c>
    </row>
    <row r="5899" spans="1:10" x14ac:dyDescent="0.3">
      <c r="A5899" t="s">
        <v>11660</v>
      </c>
      <c r="B5899" t="s">
        <v>11661</v>
      </c>
      <c r="D5899">
        <v>2</v>
      </c>
      <c r="E5899" t="s">
        <v>91</v>
      </c>
      <c r="F5899" t="s">
        <v>4433</v>
      </c>
    </row>
    <row r="5900" spans="1:10" x14ac:dyDescent="0.3">
      <c r="A5900" t="s">
        <v>6802</v>
      </c>
      <c r="B5900" t="s">
        <v>11662</v>
      </c>
      <c r="F5900" t="s">
        <v>11663</v>
      </c>
      <c r="I5900" t="s">
        <v>1078</v>
      </c>
      <c r="J5900" t="s">
        <v>11664</v>
      </c>
    </row>
    <row r="5901" spans="1:10" x14ac:dyDescent="0.3">
      <c r="A5901" t="s">
        <v>11665</v>
      </c>
      <c r="B5901" t="s">
        <v>11666</v>
      </c>
      <c r="D5901">
        <v>1</v>
      </c>
      <c r="E5901" t="s">
        <v>11</v>
      </c>
      <c r="F5901" t="s">
        <v>11667</v>
      </c>
    </row>
    <row r="5902" spans="1:10" x14ac:dyDescent="0.3">
      <c r="A5902" t="s">
        <v>11668</v>
      </c>
      <c r="B5902" t="s">
        <v>2227</v>
      </c>
      <c r="D5902">
        <v>0.5</v>
      </c>
      <c r="F5902" t="s">
        <v>11669</v>
      </c>
    </row>
    <row r="5903" spans="1:10" x14ac:dyDescent="0.3">
      <c r="A5903" t="s">
        <v>11670</v>
      </c>
      <c r="B5903" t="s">
        <v>3434</v>
      </c>
      <c r="D5903">
        <v>1.5</v>
      </c>
      <c r="E5903" t="s">
        <v>23</v>
      </c>
      <c r="F5903" t="s">
        <v>281</v>
      </c>
    </row>
    <row r="5904" spans="1:10" x14ac:dyDescent="0.3">
      <c r="A5904" t="s">
        <v>11671</v>
      </c>
      <c r="B5904" t="s">
        <v>11672</v>
      </c>
      <c r="D5904">
        <v>0.75</v>
      </c>
      <c r="E5904" t="s">
        <v>23</v>
      </c>
      <c r="F5904" t="s">
        <v>374</v>
      </c>
    </row>
    <row r="5905" spans="1:10" x14ac:dyDescent="0.3">
      <c r="A5905" t="s">
        <v>11673</v>
      </c>
      <c r="B5905" t="s">
        <v>1097</v>
      </c>
      <c r="F5905" t="s">
        <v>1097</v>
      </c>
    </row>
    <row r="5906" spans="1:10" x14ac:dyDescent="0.3">
      <c r="A5906" t="s">
        <v>11674</v>
      </c>
      <c r="B5906" t="s">
        <v>1714</v>
      </c>
      <c r="D5906">
        <v>1</v>
      </c>
      <c r="E5906" t="s">
        <v>23</v>
      </c>
      <c r="F5906" t="s">
        <v>1715</v>
      </c>
    </row>
    <row r="5907" spans="1:10" x14ac:dyDescent="0.3">
      <c r="A5907" t="s">
        <v>4739</v>
      </c>
      <c r="B5907" t="s">
        <v>11675</v>
      </c>
      <c r="D5907">
        <v>0.5</v>
      </c>
      <c r="E5907" t="s">
        <v>460</v>
      </c>
      <c r="F5907" t="s">
        <v>51</v>
      </c>
      <c r="G5907" t="s">
        <v>11676</v>
      </c>
    </row>
    <row r="5908" spans="1:10" x14ac:dyDescent="0.3">
      <c r="A5908" t="s">
        <v>10892</v>
      </c>
      <c r="B5908" t="s">
        <v>3865</v>
      </c>
      <c r="D5908">
        <v>2</v>
      </c>
      <c r="E5908" t="s">
        <v>227</v>
      </c>
      <c r="F5908" t="s">
        <v>413</v>
      </c>
      <c r="G5908" t="s">
        <v>1571</v>
      </c>
    </row>
    <row r="5909" spans="1:10" x14ac:dyDescent="0.3">
      <c r="A5909" t="s">
        <v>1345</v>
      </c>
      <c r="B5909" t="s">
        <v>11677</v>
      </c>
      <c r="D5909">
        <v>0.5</v>
      </c>
      <c r="E5909" t="s">
        <v>2210</v>
      </c>
      <c r="F5909" t="s">
        <v>5564</v>
      </c>
    </row>
    <row r="5910" spans="1:10" x14ac:dyDescent="0.3">
      <c r="A5910" t="s">
        <v>4776</v>
      </c>
      <c r="B5910" t="s">
        <v>591</v>
      </c>
      <c r="F5910" t="s">
        <v>591</v>
      </c>
    </row>
    <row r="5911" spans="1:10" x14ac:dyDescent="0.3">
      <c r="A5911" t="s">
        <v>11678</v>
      </c>
      <c r="B5911" t="s">
        <v>11679</v>
      </c>
      <c r="D5911">
        <v>1</v>
      </c>
      <c r="E5911" t="s">
        <v>284</v>
      </c>
      <c r="F5911" t="s">
        <v>741</v>
      </c>
    </row>
    <row r="5912" spans="1:10" x14ac:dyDescent="0.3">
      <c r="A5912" t="s">
        <v>11680</v>
      </c>
      <c r="B5912" t="s">
        <v>743</v>
      </c>
      <c r="F5912" t="s">
        <v>743</v>
      </c>
    </row>
    <row r="5913" spans="1:10" x14ac:dyDescent="0.3">
      <c r="A5913" t="s">
        <v>11681</v>
      </c>
      <c r="B5913" t="s">
        <v>11682</v>
      </c>
      <c r="D5913">
        <v>1</v>
      </c>
      <c r="E5913" t="s">
        <v>469</v>
      </c>
      <c r="F5913" t="s">
        <v>11683</v>
      </c>
      <c r="J5913" t="s">
        <v>289</v>
      </c>
    </row>
    <row r="5914" spans="1:10" x14ac:dyDescent="0.3">
      <c r="A5914" t="s">
        <v>3363</v>
      </c>
      <c r="B5914" t="s">
        <v>11684</v>
      </c>
      <c r="D5914">
        <v>0.5</v>
      </c>
      <c r="E5914" t="s">
        <v>435</v>
      </c>
      <c r="F5914" t="s">
        <v>152</v>
      </c>
    </row>
    <row r="5915" spans="1:10" x14ac:dyDescent="0.3">
      <c r="A5915" t="s">
        <v>11685</v>
      </c>
      <c r="B5915" t="s">
        <v>3496</v>
      </c>
      <c r="D5915">
        <v>2</v>
      </c>
      <c r="E5915" t="s">
        <v>23</v>
      </c>
      <c r="F5915" t="s">
        <v>281</v>
      </c>
    </row>
    <row r="5916" spans="1:10" x14ac:dyDescent="0.3">
      <c r="A5916" t="s">
        <v>11686</v>
      </c>
      <c r="B5916" t="s">
        <v>11687</v>
      </c>
      <c r="D5916">
        <v>2.5</v>
      </c>
      <c r="E5916" t="s">
        <v>23</v>
      </c>
      <c r="F5916" t="s">
        <v>320</v>
      </c>
    </row>
    <row r="5917" spans="1:10" x14ac:dyDescent="0.3">
      <c r="A5917" t="s">
        <v>449</v>
      </c>
      <c r="B5917" t="s">
        <v>11688</v>
      </c>
      <c r="D5917">
        <v>1</v>
      </c>
      <c r="E5917" t="s">
        <v>37</v>
      </c>
      <c r="F5917" t="s">
        <v>3460</v>
      </c>
    </row>
    <row r="5918" spans="1:10" x14ac:dyDescent="0.3">
      <c r="A5918" t="s">
        <v>11689</v>
      </c>
      <c r="B5918" t="s">
        <v>163</v>
      </c>
      <c r="F5918" t="s">
        <v>163</v>
      </c>
    </row>
    <row r="5919" spans="1:10" x14ac:dyDescent="0.3">
      <c r="A5919" t="s">
        <v>7140</v>
      </c>
      <c r="B5919" t="s">
        <v>11690</v>
      </c>
      <c r="D5919">
        <v>3</v>
      </c>
      <c r="F5919" t="s">
        <v>11691</v>
      </c>
      <c r="G5919" t="s">
        <v>3384</v>
      </c>
      <c r="J5919" t="s">
        <v>325</v>
      </c>
    </row>
    <row r="5920" spans="1:10" x14ac:dyDescent="0.3">
      <c r="A5920" t="s">
        <v>5902</v>
      </c>
      <c r="B5920" t="s">
        <v>3636</v>
      </c>
      <c r="D5920">
        <v>0.5</v>
      </c>
      <c r="E5920" t="s">
        <v>37</v>
      </c>
      <c r="F5920" t="s">
        <v>160</v>
      </c>
      <c r="G5920" t="s">
        <v>167</v>
      </c>
      <c r="H5920" t="s">
        <v>168</v>
      </c>
      <c r="J5920" t="s">
        <v>325</v>
      </c>
    </row>
    <row r="5921" spans="1:10" x14ac:dyDescent="0.3">
      <c r="A5921" t="s">
        <v>11692</v>
      </c>
      <c r="B5921" t="s">
        <v>489</v>
      </c>
      <c r="D5921">
        <v>1</v>
      </c>
      <c r="E5921" t="s">
        <v>23</v>
      </c>
      <c r="F5921" t="s">
        <v>233</v>
      </c>
    </row>
    <row r="5922" spans="1:10" x14ac:dyDescent="0.3">
      <c r="A5922" t="s">
        <v>11693</v>
      </c>
      <c r="B5922" t="s">
        <v>5501</v>
      </c>
      <c r="D5922">
        <v>1</v>
      </c>
      <c r="E5922" t="s">
        <v>37</v>
      </c>
      <c r="F5922" t="s">
        <v>741</v>
      </c>
      <c r="G5922" t="s">
        <v>167</v>
      </c>
      <c r="H5922" t="s">
        <v>168</v>
      </c>
    </row>
    <row r="5923" spans="1:10" x14ac:dyDescent="0.3">
      <c r="A5923" t="s">
        <v>11694</v>
      </c>
      <c r="B5923" t="s">
        <v>11695</v>
      </c>
      <c r="D5923">
        <v>1</v>
      </c>
      <c r="E5923" t="s">
        <v>284</v>
      </c>
      <c r="F5923" t="s">
        <v>7950</v>
      </c>
      <c r="G5923" t="s">
        <v>6763</v>
      </c>
    </row>
    <row r="5924" spans="1:10" x14ac:dyDescent="0.3">
      <c r="A5924" t="s">
        <v>7895</v>
      </c>
      <c r="B5924" t="s">
        <v>11696</v>
      </c>
      <c r="D5924">
        <v>2</v>
      </c>
      <c r="E5924" t="s">
        <v>227</v>
      </c>
      <c r="F5924" t="s">
        <v>6873</v>
      </c>
    </row>
    <row r="5925" spans="1:10" x14ac:dyDescent="0.3">
      <c r="A5925" t="s">
        <v>11697</v>
      </c>
      <c r="B5925" t="s">
        <v>523</v>
      </c>
      <c r="D5925">
        <v>4</v>
      </c>
      <c r="E5925" t="s">
        <v>23</v>
      </c>
      <c r="F5925" t="s">
        <v>524</v>
      </c>
    </row>
    <row r="5926" spans="1:10" x14ac:dyDescent="0.3">
      <c r="A5926" t="s">
        <v>11698</v>
      </c>
      <c r="B5926" t="s">
        <v>11699</v>
      </c>
      <c r="D5926">
        <v>1</v>
      </c>
      <c r="E5926" t="s">
        <v>23</v>
      </c>
      <c r="F5926" t="s">
        <v>4350</v>
      </c>
    </row>
    <row r="5927" spans="1:10" x14ac:dyDescent="0.3">
      <c r="A5927" t="s">
        <v>8457</v>
      </c>
      <c r="B5927" t="s">
        <v>11700</v>
      </c>
      <c r="D5927">
        <v>1</v>
      </c>
      <c r="E5927" t="s">
        <v>11</v>
      </c>
      <c r="F5927" t="s">
        <v>5688</v>
      </c>
    </row>
    <row r="5928" spans="1:10" x14ac:dyDescent="0.3">
      <c r="A5928" t="s">
        <v>2106</v>
      </c>
      <c r="B5928" t="s">
        <v>11701</v>
      </c>
      <c r="D5928">
        <v>2</v>
      </c>
      <c r="E5928" t="s">
        <v>23</v>
      </c>
      <c r="F5928" t="s">
        <v>416</v>
      </c>
    </row>
    <row r="5929" spans="1:10" x14ac:dyDescent="0.3">
      <c r="A5929" t="s">
        <v>5876</v>
      </c>
      <c r="B5929" t="s">
        <v>11702</v>
      </c>
      <c r="D5929">
        <v>20</v>
      </c>
      <c r="E5929" t="s">
        <v>29</v>
      </c>
      <c r="F5929" t="s">
        <v>1431</v>
      </c>
    </row>
    <row r="5930" spans="1:10" x14ac:dyDescent="0.3">
      <c r="A5930" t="s">
        <v>5031</v>
      </c>
      <c r="B5930" t="s">
        <v>11703</v>
      </c>
      <c r="D5930">
        <v>1</v>
      </c>
      <c r="E5930" t="s">
        <v>469</v>
      </c>
      <c r="F5930" t="s">
        <v>3218</v>
      </c>
      <c r="J5930" t="s">
        <v>289</v>
      </c>
    </row>
    <row r="5931" spans="1:10" x14ac:dyDescent="0.3">
      <c r="A5931" t="s">
        <v>11704</v>
      </c>
      <c r="B5931" t="s">
        <v>11705</v>
      </c>
      <c r="D5931">
        <v>1.5</v>
      </c>
      <c r="E5931" t="s">
        <v>91</v>
      </c>
      <c r="F5931" t="s">
        <v>6422</v>
      </c>
    </row>
    <row r="5932" spans="1:10" x14ac:dyDescent="0.3">
      <c r="A5932" t="s">
        <v>11706</v>
      </c>
      <c r="B5932" t="s">
        <v>11707</v>
      </c>
      <c r="D5932">
        <v>3</v>
      </c>
      <c r="E5932" t="s">
        <v>50</v>
      </c>
      <c r="F5932" t="s">
        <v>233</v>
      </c>
    </row>
    <row r="5933" spans="1:10" x14ac:dyDescent="0.3">
      <c r="A5933" t="s">
        <v>3020</v>
      </c>
      <c r="B5933" t="s">
        <v>11708</v>
      </c>
      <c r="D5933">
        <v>2</v>
      </c>
      <c r="E5933" t="s">
        <v>23</v>
      </c>
      <c r="F5933" t="s">
        <v>2385</v>
      </c>
      <c r="J5933" t="s">
        <v>289</v>
      </c>
    </row>
    <row r="5934" spans="1:10" x14ac:dyDescent="0.3">
      <c r="A5934" t="s">
        <v>11709</v>
      </c>
      <c r="B5934" t="s">
        <v>11710</v>
      </c>
      <c r="D5934">
        <v>0.25</v>
      </c>
      <c r="E5934" t="s">
        <v>23</v>
      </c>
      <c r="F5934" t="s">
        <v>3045</v>
      </c>
      <c r="J5934" t="s">
        <v>289</v>
      </c>
    </row>
    <row r="5935" spans="1:10" x14ac:dyDescent="0.3">
      <c r="A5935" t="s">
        <v>9166</v>
      </c>
      <c r="B5935" t="s">
        <v>1286</v>
      </c>
      <c r="D5935">
        <v>2</v>
      </c>
      <c r="E5935" t="s">
        <v>91</v>
      </c>
      <c r="F5935" t="s">
        <v>281</v>
      </c>
    </row>
    <row r="5936" spans="1:10" x14ac:dyDescent="0.3">
      <c r="A5936" t="s">
        <v>11711</v>
      </c>
      <c r="B5936" t="s">
        <v>3604</v>
      </c>
      <c r="E5936" t="s">
        <v>111</v>
      </c>
      <c r="F5936" t="s">
        <v>317</v>
      </c>
      <c r="J5936" t="s">
        <v>289</v>
      </c>
    </row>
    <row r="5937" spans="1:10" x14ac:dyDescent="0.3">
      <c r="A5937" t="s">
        <v>11712</v>
      </c>
      <c r="B5937" t="s">
        <v>4614</v>
      </c>
      <c r="D5937">
        <v>50</v>
      </c>
      <c r="E5937" t="s">
        <v>29</v>
      </c>
      <c r="F5937" t="s">
        <v>1003</v>
      </c>
    </row>
    <row r="5938" spans="1:10" x14ac:dyDescent="0.3">
      <c r="A5938" t="s">
        <v>11713</v>
      </c>
      <c r="B5938" t="s">
        <v>2396</v>
      </c>
      <c r="E5938" t="s">
        <v>2397</v>
      </c>
      <c r="F5938" t="s">
        <v>237</v>
      </c>
      <c r="J5938" t="s">
        <v>1124</v>
      </c>
    </row>
    <row r="5939" spans="1:10" x14ac:dyDescent="0.3">
      <c r="A5939" t="s">
        <v>6096</v>
      </c>
      <c r="B5939" t="s">
        <v>11714</v>
      </c>
      <c r="D5939">
        <v>2</v>
      </c>
      <c r="E5939" t="s">
        <v>473</v>
      </c>
      <c r="F5939" t="s">
        <v>7117</v>
      </c>
      <c r="J5939" t="s">
        <v>11715</v>
      </c>
    </row>
    <row r="5940" spans="1:10" x14ac:dyDescent="0.3">
      <c r="A5940" t="s">
        <v>11716</v>
      </c>
      <c r="B5940" t="s">
        <v>1278</v>
      </c>
      <c r="D5940">
        <v>3</v>
      </c>
      <c r="E5940" t="s">
        <v>23</v>
      </c>
      <c r="F5940" t="s">
        <v>738</v>
      </c>
    </row>
    <row r="5941" spans="1:10" x14ac:dyDescent="0.3">
      <c r="A5941" t="s">
        <v>9728</v>
      </c>
      <c r="B5941" t="s">
        <v>11717</v>
      </c>
      <c r="D5941">
        <v>1.5</v>
      </c>
      <c r="E5941" t="s">
        <v>345</v>
      </c>
      <c r="F5941" t="s">
        <v>11718</v>
      </c>
      <c r="I5941" t="s">
        <v>1078</v>
      </c>
      <c r="J5941" t="s">
        <v>5582</v>
      </c>
    </row>
    <row r="5942" spans="1:10" x14ac:dyDescent="0.3">
      <c r="A5942" t="s">
        <v>11719</v>
      </c>
      <c r="B5942" t="s">
        <v>11720</v>
      </c>
      <c r="D5942">
        <v>1</v>
      </c>
      <c r="E5942" t="s">
        <v>111</v>
      </c>
      <c r="F5942" t="s">
        <v>709</v>
      </c>
    </row>
    <row r="5943" spans="1:10" x14ac:dyDescent="0.3">
      <c r="A5943" t="s">
        <v>11721</v>
      </c>
      <c r="B5943" t="s">
        <v>11722</v>
      </c>
      <c r="D5943">
        <v>3</v>
      </c>
      <c r="E5943" t="s">
        <v>1338</v>
      </c>
      <c r="F5943" t="s">
        <v>3144</v>
      </c>
    </row>
    <row r="5944" spans="1:10" x14ac:dyDescent="0.3">
      <c r="A5944" t="s">
        <v>6809</v>
      </c>
      <c r="B5944" t="s">
        <v>10336</v>
      </c>
      <c r="D5944">
        <v>0.75</v>
      </c>
      <c r="E5944" t="s">
        <v>23</v>
      </c>
      <c r="F5944" t="s">
        <v>199</v>
      </c>
    </row>
    <row r="5945" spans="1:10" x14ac:dyDescent="0.3">
      <c r="A5945" t="s">
        <v>7359</v>
      </c>
      <c r="B5945" t="s">
        <v>11723</v>
      </c>
      <c r="D5945">
        <v>3</v>
      </c>
      <c r="E5945" t="s">
        <v>23</v>
      </c>
      <c r="F5945" t="s">
        <v>11724</v>
      </c>
    </row>
    <row r="5946" spans="1:10" x14ac:dyDescent="0.3">
      <c r="A5946" t="s">
        <v>11725</v>
      </c>
      <c r="B5946" t="s">
        <v>11726</v>
      </c>
      <c r="D5946">
        <v>25</v>
      </c>
      <c r="E5946" t="s">
        <v>29</v>
      </c>
      <c r="F5946" t="s">
        <v>11727</v>
      </c>
    </row>
    <row r="5947" spans="1:10" x14ac:dyDescent="0.3">
      <c r="A5947" t="s">
        <v>11728</v>
      </c>
      <c r="B5947" t="s">
        <v>3216</v>
      </c>
      <c r="D5947">
        <v>0.75</v>
      </c>
      <c r="E5947" t="s">
        <v>23</v>
      </c>
      <c r="F5947" t="s">
        <v>38</v>
      </c>
      <c r="H5947" t="s">
        <v>68</v>
      </c>
    </row>
    <row r="5948" spans="1:10" x14ac:dyDescent="0.3">
      <c r="A5948" t="s">
        <v>11729</v>
      </c>
      <c r="B5948" t="s">
        <v>11730</v>
      </c>
      <c r="D5948">
        <v>15</v>
      </c>
      <c r="E5948" t="s">
        <v>29</v>
      </c>
      <c r="F5948" t="s">
        <v>423</v>
      </c>
    </row>
    <row r="5949" spans="1:10" x14ac:dyDescent="0.3">
      <c r="A5949" t="s">
        <v>11731</v>
      </c>
      <c r="B5949" t="s">
        <v>923</v>
      </c>
      <c r="D5949">
        <v>1.5</v>
      </c>
      <c r="E5949" t="s">
        <v>23</v>
      </c>
      <c r="F5949" t="s">
        <v>233</v>
      </c>
    </row>
    <row r="5950" spans="1:10" x14ac:dyDescent="0.3">
      <c r="A5950" t="s">
        <v>11732</v>
      </c>
      <c r="B5950" t="s">
        <v>4536</v>
      </c>
      <c r="D5950">
        <v>1</v>
      </c>
      <c r="E5950" t="s">
        <v>60</v>
      </c>
      <c r="F5950" t="s">
        <v>3353</v>
      </c>
    </row>
    <row r="5951" spans="1:10" x14ac:dyDescent="0.3">
      <c r="A5951" t="s">
        <v>8620</v>
      </c>
      <c r="B5951" t="s">
        <v>11733</v>
      </c>
      <c r="D5951">
        <v>2</v>
      </c>
      <c r="E5951" t="s">
        <v>91</v>
      </c>
      <c r="F5951" t="s">
        <v>11734</v>
      </c>
    </row>
    <row r="5952" spans="1:10" x14ac:dyDescent="0.3">
      <c r="A5952" t="s">
        <v>11735</v>
      </c>
      <c r="B5952" t="s">
        <v>11184</v>
      </c>
      <c r="D5952">
        <v>3</v>
      </c>
      <c r="E5952" t="s">
        <v>23</v>
      </c>
      <c r="F5952" t="s">
        <v>1204</v>
      </c>
    </row>
    <row r="5953" spans="1:10" x14ac:dyDescent="0.3">
      <c r="A5953" t="s">
        <v>11736</v>
      </c>
      <c r="B5953" t="s">
        <v>11737</v>
      </c>
      <c r="D5953">
        <v>0.5</v>
      </c>
      <c r="E5953" t="s">
        <v>11</v>
      </c>
      <c r="F5953" t="s">
        <v>183</v>
      </c>
    </row>
    <row r="5954" spans="1:10" x14ac:dyDescent="0.3">
      <c r="A5954" t="s">
        <v>11738</v>
      </c>
      <c r="B5954" t="s">
        <v>11739</v>
      </c>
      <c r="D5954">
        <v>2</v>
      </c>
      <c r="E5954" t="s">
        <v>23</v>
      </c>
      <c r="F5954" t="s">
        <v>2115</v>
      </c>
    </row>
    <row r="5955" spans="1:10" x14ac:dyDescent="0.3">
      <c r="A5955" t="s">
        <v>11740</v>
      </c>
      <c r="B5955" t="s">
        <v>6978</v>
      </c>
      <c r="D5955">
        <v>50</v>
      </c>
      <c r="E5955" t="s">
        <v>29</v>
      </c>
      <c r="F5955" t="s">
        <v>738</v>
      </c>
    </row>
    <row r="5956" spans="1:10" x14ac:dyDescent="0.3">
      <c r="A5956" t="s">
        <v>11741</v>
      </c>
      <c r="B5956" t="s">
        <v>11742</v>
      </c>
      <c r="D5956">
        <v>3</v>
      </c>
      <c r="E5956" t="s">
        <v>23</v>
      </c>
      <c r="F5956" t="s">
        <v>26</v>
      </c>
    </row>
    <row r="5957" spans="1:10" x14ac:dyDescent="0.3">
      <c r="A5957" t="s">
        <v>3302</v>
      </c>
      <c r="B5957" t="s">
        <v>11743</v>
      </c>
      <c r="J5957" t="s">
        <v>11744</v>
      </c>
    </row>
    <row r="5958" spans="1:10" x14ac:dyDescent="0.3">
      <c r="A5958" t="s">
        <v>11745</v>
      </c>
      <c r="B5958" t="s">
        <v>3600</v>
      </c>
      <c r="D5958">
        <v>1</v>
      </c>
      <c r="E5958" t="s">
        <v>11</v>
      </c>
      <c r="F5958" t="s">
        <v>2211</v>
      </c>
    </row>
    <row r="5959" spans="1:10" x14ac:dyDescent="0.3">
      <c r="A5959" t="s">
        <v>11746</v>
      </c>
      <c r="B5959" t="s">
        <v>11747</v>
      </c>
      <c r="D5959">
        <v>0.5</v>
      </c>
      <c r="E5959" t="s">
        <v>284</v>
      </c>
      <c r="F5959" t="s">
        <v>758</v>
      </c>
    </row>
    <row r="5960" spans="1:10" x14ac:dyDescent="0.3">
      <c r="A5960" t="s">
        <v>11748</v>
      </c>
      <c r="B5960" t="s">
        <v>11749</v>
      </c>
      <c r="D5960">
        <v>1</v>
      </c>
      <c r="E5960" t="s">
        <v>23</v>
      </c>
      <c r="F5960" t="s">
        <v>11750</v>
      </c>
    </row>
    <row r="5961" spans="1:10" x14ac:dyDescent="0.3">
      <c r="A5961" t="s">
        <v>1194</v>
      </c>
      <c r="B5961" t="s">
        <v>11751</v>
      </c>
      <c r="D5961">
        <v>1</v>
      </c>
      <c r="E5961" t="s">
        <v>227</v>
      </c>
      <c r="F5961" t="s">
        <v>950</v>
      </c>
      <c r="J5961" t="s">
        <v>555</v>
      </c>
    </row>
    <row r="5962" spans="1:10" x14ac:dyDescent="0.3">
      <c r="A5962" t="s">
        <v>11752</v>
      </c>
      <c r="B5962" t="s">
        <v>2154</v>
      </c>
      <c r="F5962" t="s">
        <v>413</v>
      </c>
      <c r="J5962" t="s">
        <v>2155</v>
      </c>
    </row>
    <row r="5963" spans="1:10" x14ac:dyDescent="0.3">
      <c r="A5963" t="s">
        <v>11753</v>
      </c>
      <c r="B5963" t="s">
        <v>11754</v>
      </c>
      <c r="D5963">
        <v>125</v>
      </c>
      <c r="E5963" t="s">
        <v>29</v>
      </c>
      <c r="F5963" t="s">
        <v>98</v>
      </c>
    </row>
    <row r="5964" spans="1:10" x14ac:dyDescent="0.3">
      <c r="A5964" t="s">
        <v>11755</v>
      </c>
      <c r="B5964" t="s">
        <v>11756</v>
      </c>
      <c r="D5964">
        <v>0.25</v>
      </c>
      <c r="E5964" t="s">
        <v>37</v>
      </c>
      <c r="F5964" t="s">
        <v>11757</v>
      </c>
    </row>
    <row r="5965" spans="1:10" x14ac:dyDescent="0.3">
      <c r="A5965" t="s">
        <v>11758</v>
      </c>
      <c r="B5965" t="s">
        <v>11759</v>
      </c>
      <c r="D5965">
        <v>0.5</v>
      </c>
      <c r="E5965" t="s">
        <v>37</v>
      </c>
      <c r="F5965" t="s">
        <v>1416</v>
      </c>
      <c r="J5965" t="s">
        <v>11760</v>
      </c>
    </row>
    <row r="5966" spans="1:10" x14ac:dyDescent="0.3">
      <c r="A5966" t="s">
        <v>11761</v>
      </c>
      <c r="B5966" t="s">
        <v>11762</v>
      </c>
      <c r="D5966">
        <v>0.75</v>
      </c>
      <c r="E5966" t="s">
        <v>23</v>
      </c>
      <c r="F5966" t="s">
        <v>602</v>
      </c>
    </row>
    <row r="5967" spans="1:10" x14ac:dyDescent="0.3">
      <c r="A5967" t="s">
        <v>11763</v>
      </c>
      <c r="B5967" t="s">
        <v>11764</v>
      </c>
      <c r="D5967">
        <v>4</v>
      </c>
      <c r="E5967" t="s">
        <v>189</v>
      </c>
      <c r="F5967" t="s">
        <v>11765</v>
      </c>
      <c r="J5967" t="s">
        <v>3025</v>
      </c>
    </row>
    <row r="5968" spans="1:10" x14ac:dyDescent="0.3">
      <c r="A5968" t="s">
        <v>11766</v>
      </c>
      <c r="B5968" t="s">
        <v>11767</v>
      </c>
      <c r="D5968">
        <v>2</v>
      </c>
      <c r="E5968" t="s">
        <v>23</v>
      </c>
      <c r="F5968" t="s">
        <v>11768</v>
      </c>
    </row>
    <row r="5969" spans="1:10" x14ac:dyDescent="0.3">
      <c r="A5969" t="s">
        <v>11769</v>
      </c>
      <c r="B5969" t="s">
        <v>11770</v>
      </c>
      <c r="D5969">
        <v>1</v>
      </c>
      <c r="F5969" t="s">
        <v>377</v>
      </c>
      <c r="G5969" t="s">
        <v>11771</v>
      </c>
      <c r="J5969" t="s">
        <v>325</v>
      </c>
    </row>
    <row r="5970" spans="1:10" x14ac:dyDescent="0.3">
      <c r="A5970" t="s">
        <v>1845</v>
      </c>
      <c r="B5970" t="s">
        <v>1957</v>
      </c>
      <c r="D5970">
        <v>2</v>
      </c>
      <c r="E5970" t="s">
        <v>345</v>
      </c>
      <c r="F5970" t="s">
        <v>516</v>
      </c>
    </row>
    <row r="5971" spans="1:10" x14ac:dyDescent="0.3">
      <c r="A5971" t="s">
        <v>5823</v>
      </c>
      <c r="B5971" t="s">
        <v>7163</v>
      </c>
      <c r="D5971">
        <v>2</v>
      </c>
      <c r="E5971" t="s">
        <v>23</v>
      </c>
      <c r="F5971" t="s">
        <v>281</v>
      </c>
      <c r="J5971" t="s">
        <v>289</v>
      </c>
    </row>
    <row r="5972" spans="1:10" x14ac:dyDescent="0.3">
      <c r="A5972" t="s">
        <v>11772</v>
      </c>
      <c r="B5972" t="s">
        <v>11773</v>
      </c>
      <c r="D5972">
        <v>20</v>
      </c>
      <c r="E5972" t="s">
        <v>29</v>
      </c>
      <c r="F5972" t="s">
        <v>241</v>
      </c>
    </row>
    <row r="5973" spans="1:10" x14ac:dyDescent="0.3">
      <c r="A5973" t="s">
        <v>11774</v>
      </c>
      <c r="B5973" t="s">
        <v>11775</v>
      </c>
      <c r="D5973">
        <v>1</v>
      </c>
      <c r="E5973" t="s">
        <v>6431</v>
      </c>
      <c r="F5973" t="s">
        <v>4212</v>
      </c>
    </row>
    <row r="5974" spans="1:10" x14ac:dyDescent="0.3">
      <c r="A5974" t="s">
        <v>5133</v>
      </c>
      <c r="B5974" t="s">
        <v>11776</v>
      </c>
      <c r="F5974" t="s">
        <v>11776</v>
      </c>
    </row>
    <row r="5975" spans="1:10" x14ac:dyDescent="0.3">
      <c r="A5975" t="s">
        <v>5409</v>
      </c>
      <c r="B5975" t="s">
        <v>11777</v>
      </c>
      <c r="D5975">
        <v>2.5</v>
      </c>
      <c r="E5975" t="s">
        <v>23</v>
      </c>
      <c r="F5975" t="s">
        <v>11778</v>
      </c>
    </row>
    <row r="5976" spans="1:10" x14ac:dyDescent="0.3">
      <c r="A5976" t="s">
        <v>11779</v>
      </c>
      <c r="B5976" t="s">
        <v>11780</v>
      </c>
      <c r="D5976">
        <v>10.5</v>
      </c>
      <c r="E5976" t="s">
        <v>91</v>
      </c>
      <c r="F5976" t="s">
        <v>11781</v>
      </c>
      <c r="J5976" t="s">
        <v>1470</v>
      </c>
    </row>
    <row r="5977" spans="1:10" x14ac:dyDescent="0.3">
      <c r="A5977" t="s">
        <v>11782</v>
      </c>
      <c r="B5977" t="s">
        <v>11783</v>
      </c>
      <c r="D5977">
        <v>0.75</v>
      </c>
      <c r="E5977" t="s">
        <v>206</v>
      </c>
      <c r="F5977" t="s">
        <v>1915</v>
      </c>
    </row>
    <row r="5978" spans="1:10" x14ac:dyDescent="0.3">
      <c r="A5978" t="s">
        <v>11452</v>
      </c>
      <c r="B5978" t="s">
        <v>618</v>
      </c>
      <c r="D5978">
        <v>1</v>
      </c>
      <c r="F5978" t="s">
        <v>299</v>
      </c>
      <c r="J5978" t="s">
        <v>248</v>
      </c>
    </row>
    <row r="5979" spans="1:10" x14ac:dyDescent="0.3">
      <c r="A5979" t="s">
        <v>918</v>
      </c>
      <c r="B5979" t="s">
        <v>11784</v>
      </c>
      <c r="D5979">
        <v>1</v>
      </c>
      <c r="E5979" t="s">
        <v>91</v>
      </c>
      <c r="F5979" t="s">
        <v>7624</v>
      </c>
    </row>
    <row r="5980" spans="1:10" x14ac:dyDescent="0.3">
      <c r="A5980" t="s">
        <v>11785</v>
      </c>
      <c r="B5980" t="s">
        <v>11786</v>
      </c>
      <c r="D5980">
        <v>35</v>
      </c>
      <c r="E5980" t="s">
        <v>29</v>
      </c>
      <c r="F5980" t="s">
        <v>11787</v>
      </c>
    </row>
    <row r="5981" spans="1:10" ht="115.2" x14ac:dyDescent="0.3">
      <c r="A5981" t="s">
        <v>11788</v>
      </c>
      <c r="B5981" t="s">
        <v>11789</v>
      </c>
      <c r="D5981">
        <v>1</v>
      </c>
      <c r="E5981" t="s">
        <v>752</v>
      </c>
      <c r="F5981" t="s">
        <v>11790</v>
      </c>
      <c r="J5981" s="1" t="s">
        <v>11791</v>
      </c>
    </row>
    <row r="5982" spans="1:10" x14ac:dyDescent="0.3">
      <c r="A5982" t="s">
        <v>11792</v>
      </c>
      <c r="B5982" t="s">
        <v>11793</v>
      </c>
      <c r="D5982">
        <v>1</v>
      </c>
      <c r="E5982" t="s">
        <v>752</v>
      </c>
      <c r="F5982" t="s">
        <v>11794</v>
      </c>
    </row>
    <row r="5983" spans="1:10" x14ac:dyDescent="0.3">
      <c r="A5983" t="s">
        <v>11795</v>
      </c>
      <c r="B5983" t="s">
        <v>11796</v>
      </c>
      <c r="D5983">
        <v>3</v>
      </c>
      <c r="F5983" t="s">
        <v>11797</v>
      </c>
      <c r="J5983" t="s">
        <v>11798</v>
      </c>
    </row>
    <row r="5984" spans="1:10" x14ac:dyDescent="0.3">
      <c r="A5984" t="s">
        <v>11799</v>
      </c>
      <c r="B5984" t="s">
        <v>11800</v>
      </c>
      <c r="D5984">
        <v>10.5</v>
      </c>
      <c r="E5984" t="s">
        <v>23</v>
      </c>
      <c r="F5984" t="s">
        <v>1445</v>
      </c>
    </row>
    <row r="5985" spans="1:10" x14ac:dyDescent="0.3">
      <c r="A5985" t="s">
        <v>11801</v>
      </c>
      <c r="B5985" t="s">
        <v>11802</v>
      </c>
      <c r="D5985">
        <v>1</v>
      </c>
      <c r="F5985" t="s">
        <v>11803</v>
      </c>
      <c r="G5985" t="s">
        <v>1813</v>
      </c>
    </row>
    <row r="5986" spans="1:10" x14ac:dyDescent="0.3">
      <c r="A5986" t="s">
        <v>11804</v>
      </c>
      <c r="B5986" t="s">
        <v>159</v>
      </c>
      <c r="D5986">
        <v>0.75</v>
      </c>
      <c r="E5986" t="s">
        <v>23</v>
      </c>
      <c r="F5986" t="s">
        <v>160</v>
      </c>
      <c r="H5986" t="s">
        <v>68</v>
      </c>
    </row>
    <row r="5987" spans="1:10" x14ac:dyDescent="0.3">
      <c r="A5987" t="s">
        <v>1790</v>
      </c>
      <c r="B5987" t="s">
        <v>11805</v>
      </c>
      <c r="D5987">
        <v>2</v>
      </c>
      <c r="E5987" t="s">
        <v>419</v>
      </c>
      <c r="F5987" t="s">
        <v>11806</v>
      </c>
      <c r="J5987" t="s">
        <v>2028</v>
      </c>
    </row>
    <row r="5988" spans="1:10" x14ac:dyDescent="0.3">
      <c r="A5988" t="s">
        <v>6756</v>
      </c>
      <c r="B5988" t="s">
        <v>11807</v>
      </c>
      <c r="D5988">
        <v>10</v>
      </c>
      <c r="E5988" t="s">
        <v>29</v>
      </c>
      <c r="F5988" t="s">
        <v>2207</v>
      </c>
    </row>
    <row r="5989" spans="1:10" x14ac:dyDescent="0.3">
      <c r="A5989" t="s">
        <v>1001</v>
      </c>
      <c r="B5989" t="s">
        <v>11808</v>
      </c>
      <c r="F5989" t="s">
        <v>11808</v>
      </c>
    </row>
    <row r="5990" spans="1:10" x14ac:dyDescent="0.3">
      <c r="A5990" t="s">
        <v>11809</v>
      </c>
      <c r="B5990" t="s">
        <v>11810</v>
      </c>
      <c r="D5990">
        <v>0.75</v>
      </c>
      <c r="E5990" t="s">
        <v>37</v>
      </c>
      <c r="F5990" t="s">
        <v>4728</v>
      </c>
    </row>
    <row r="5991" spans="1:10" x14ac:dyDescent="0.3">
      <c r="A5991" t="s">
        <v>9391</v>
      </c>
      <c r="B5991" t="s">
        <v>3153</v>
      </c>
      <c r="D5991">
        <v>2</v>
      </c>
      <c r="E5991" t="s">
        <v>345</v>
      </c>
      <c r="F5991" t="s">
        <v>220</v>
      </c>
    </row>
    <row r="5992" spans="1:10" x14ac:dyDescent="0.3">
      <c r="A5992" t="s">
        <v>11811</v>
      </c>
      <c r="B5992" t="s">
        <v>11812</v>
      </c>
      <c r="D5992">
        <v>15</v>
      </c>
      <c r="E5992" t="s">
        <v>29</v>
      </c>
      <c r="F5992" t="s">
        <v>966</v>
      </c>
    </row>
    <row r="5993" spans="1:10" x14ac:dyDescent="0.3">
      <c r="A5993" t="s">
        <v>697</v>
      </c>
      <c r="B5993" t="s">
        <v>11813</v>
      </c>
      <c r="D5993">
        <v>2</v>
      </c>
      <c r="E5993" t="s">
        <v>189</v>
      </c>
      <c r="F5993" t="s">
        <v>3353</v>
      </c>
    </row>
    <row r="5994" spans="1:10" x14ac:dyDescent="0.3">
      <c r="A5994" t="s">
        <v>6175</v>
      </c>
      <c r="B5994" t="s">
        <v>11814</v>
      </c>
      <c r="D5994">
        <v>2</v>
      </c>
      <c r="E5994" t="s">
        <v>91</v>
      </c>
      <c r="F5994" t="s">
        <v>11815</v>
      </c>
    </row>
    <row r="5995" spans="1:10" x14ac:dyDescent="0.3">
      <c r="A5995" t="s">
        <v>11816</v>
      </c>
      <c r="B5995" t="s">
        <v>11817</v>
      </c>
      <c r="D5995">
        <v>0.5</v>
      </c>
      <c r="E5995" t="s">
        <v>850</v>
      </c>
      <c r="F5995" t="s">
        <v>163</v>
      </c>
    </row>
    <row r="5996" spans="1:10" x14ac:dyDescent="0.3">
      <c r="A5996" t="s">
        <v>11818</v>
      </c>
      <c r="B5996" t="s">
        <v>6495</v>
      </c>
      <c r="F5996" t="s">
        <v>6496</v>
      </c>
      <c r="J5996" t="s">
        <v>1124</v>
      </c>
    </row>
    <row r="5997" spans="1:10" x14ac:dyDescent="0.3">
      <c r="A5997" t="s">
        <v>11819</v>
      </c>
      <c r="B5997" t="s">
        <v>1900</v>
      </c>
      <c r="D5997">
        <v>0.5</v>
      </c>
      <c r="E5997" t="s">
        <v>23</v>
      </c>
      <c r="F5997" t="s">
        <v>183</v>
      </c>
      <c r="J5997" t="s">
        <v>289</v>
      </c>
    </row>
    <row r="5998" spans="1:10" x14ac:dyDescent="0.3">
      <c r="A5998" t="s">
        <v>11051</v>
      </c>
      <c r="B5998" t="s">
        <v>11820</v>
      </c>
      <c r="D5998">
        <v>1</v>
      </c>
      <c r="E5998" t="s">
        <v>469</v>
      </c>
      <c r="F5998" t="s">
        <v>369</v>
      </c>
      <c r="J5998" t="s">
        <v>289</v>
      </c>
    </row>
    <row r="5999" spans="1:10" x14ac:dyDescent="0.3">
      <c r="A5999" t="s">
        <v>10217</v>
      </c>
      <c r="B5999" t="s">
        <v>11821</v>
      </c>
      <c r="D5999">
        <v>1</v>
      </c>
      <c r="E5999" t="s">
        <v>11822</v>
      </c>
      <c r="F5999" t="s">
        <v>1410</v>
      </c>
    </row>
    <row r="6000" spans="1:10" x14ac:dyDescent="0.3">
      <c r="A6000" t="s">
        <v>11823</v>
      </c>
      <c r="B6000" t="s">
        <v>4220</v>
      </c>
      <c r="D6000">
        <v>2</v>
      </c>
      <c r="E6000" t="s">
        <v>23</v>
      </c>
      <c r="F6000" t="s">
        <v>487</v>
      </c>
    </row>
    <row r="6001" spans="1:10" x14ac:dyDescent="0.3">
      <c r="A6001" t="s">
        <v>7278</v>
      </c>
      <c r="B6001" t="s">
        <v>2365</v>
      </c>
      <c r="F6001" t="s">
        <v>2365</v>
      </c>
    </row>
    <row r="6002" spans="1:10" x14ac:dyDescent="0.3">
      <c r="A6002" t="s">
        <v>2777</v>
      </c>
      <c r="B6002" t="s">
        <v>11824</v>
      </c>
      <c r="D6002">
        <v>1.5</v>
      </c>
      <c r="E6002" t="s">
        <v>345</v>
      </c>
      <c r="F6002" t="s">
        <v>1295</v>
      </c>
    </row>
    <row r="6003" spans="1:10" x14ac:dyDescent="0.3">
      <c r="A6003" t="s">
        <v>11825</v>
      </c>
      <c r="B6003" t="s">
        <v>11826</v>
      </c>
      <c r="D6003">
        <v>0.5</v>
      </c>
      <c r="E6003" t="s">
        <v>361</v>
      </c>
      <c r="F6003" t="s">
        <v>4142</v>
      </c>
    </row>
    <row r="6004" spans="1:10" x14ac:dyDescent="0.3">
      <c r="A6004" t="s">
        <v>11827</v>
      </c>
      <c r="B6004" t="s">
        <v>11828</v>
      </c>
      <c r="D6004">
        <v>40</v>
      </c>
      <c r="E6004" t="s">
        <v>29</v>
      </c>
      <c r="F6004" t="s">
        <v>9813</v>
      </c>
    </row>
    <row r="6005" spans="1:10" x14ac:dyDescent="0.3">
      <c r="A6005" t="s">
        <v>11829</v>
      </c>
      <c r="B6005" t="s">
        <v>11830</v>
      </c>
      <c r="F6005" t="s">
        <v>317</v>
      </c>
      <c r="J6005" t="s">
        <v>11831</v>
      </c>
    </row>
    <row r="6006" spans="1:10" x14ac:dyDescent="0.3">
      <c r="A6006" t="s">
        <v>3690</v>
      </c>
      <c r="B6006" t="s">
        <v>11832</v>
      </c>
      <c r="D6006">
        <v>2</v>
      </c>
      <c r="E6006" t="s">
        <v>23</v>
      </c>
      <c r="F6006" t="s">
        <v>11833</v>
      </c>
      <c r="J6006" t="s">
        <v>289</v>
      </c>
    </row>
    <row r="6007" spans="1:10" x14ac:dyDescent="0.3">
      <c r="A6007" t="s">
        <v>11834</v>
      </c>
      <c r="B6007" t="s">
        <v>11835</v>
      </c>
      <c r="D6007">
        <v>10.5</v>
      </c>
      <c r="E6007" t="s">
        <v>91</v>
      </c>
      <c r="F6007" t="s">
        <v>653</v>
      </c>
      <c r="J6007" t="s">
        <v>654</v>
      </c>
    </row>
    <row r="6008" spans="1:10" x14ac:dyDescent="0.3">
      <c r="A6008" t="s">
        <v>10120</v>
      </c>
      <c r="B6008" t="s">
        <v>11836</v>
      </c>
      <c r="E6008" t="s">
        <v>2689</v>
      </c>
      <c r="F6008" t="s">
        <v>591</v>
      </c>
      <c r="J6008" t="s">
        <v>1968</v>
      </c>
    </row>
    <row r="6009" spans="1:10" x14ac:dyDescent="0.3">
      <c r="A6009" t="s">
        <v>11837</v>
      </c>
      <c r="B6009" t="s">
        <v>11838</v>
      </c>
      <c r="D6009">
        <v>1</v>
      </c>
      <c r="E6009" t="s">
        <v>1990</v>
      </c>
      <c r="F6009" t="s">
        <v>2296</v>
      </c>
      <c r="J6009" t="s">
        <v>248</v>
      </c>
    </row>
    <row r="6010" spans="1:10" x14ac:dyDescent="0.3">
      <c r="A6010" t="s">
        <v>11839</v>
      </c>
      <c r="B6010" t="s">
        <v>11840</v>
      </c>
      <c r="D6010">
        <v>3</v>
      </c>
      <c r="E6010" t="s">
        <v>23</v>
      </c>
      <c r="F6010" t="s">
        <v>11841</v>
      </c>
    </row>
    <row r="6011" spans="1:10" x14ac:dyDescent="0.3">
      <c r="A6011" t="s">
        <v>1610</v>
      </c>
      <c r="B6011" t="s">
        <v>4579</v>
      </c>
      <c r="D6011">
        <v>1</v>
      </c>
      <c r="F6011" t="s">
        <v>4580</v>
      </c>
    </row>
    <row r="6012" spans="1:10" x14ac:dyDescent="0.3">
      <c r="A6012" t="s">
        <v>11842</v>
      </c>
      <c r="B6012" t="s">
        <v>11843</v>
      </c>
      <c r="D6012">
        <v>1</v>
      </c>
      <c r="E6012" t="s">
        <v>469</v>
      </c>
      <c r="F6012" t="s">
        <v>907</v>
      </c>
    </row>
    <row r="6013" spans="1:10" x14ac:dyDescent="0.3">
      <c r="A6013" t="s">
        <v>2048</v>
      </c>
      <c r="B6013" t="s">
        <v>11844</v>
      </c>
      <c r="D6013">
        <v>1</v>
      </c>
      <c r="E6013" t="s">
        <v>120</v>
      </c>
      <c r="F6013" t="s">
        <v>199</v>
      </c>
    </row>
    <row r="6014" spans="1:10" x14ac:dyDescent="0.3">
      <c r="A6014" t="s">
        <v>11845</v>
      </c>
      <c r="B6014" t="s">
        <v>4011</v>
      </c>
      <c r="D6014">
        <v>0.5</v>
      </c>
      <c r="E6014" t="s">
        <v>23</v>
      </c>
      <c r="F6014" t="s">
        <v>2913</v>
      </c>
    </row>
    <row r="6015" spans="1:10" x14ac:dyDescent="0.3">
      <c r="A6015" t="s">
        <v>11846</v>
      </c>
      <c r="B6015" t="s">
        <v>11847</v>
      </c>
      <c r="D6015">
        <v>4</v>
      </c>
      <c r="E6015" t="s">
        <v>23</v>
      </c>
      <c r="F6015" t="s">
        <v>2496</v>
      </c>
    </row>
    <row r="6016" spans="1:10" x14ac:dyDescent="0.3">
      <c r="A6016" t="s">
        <v>7720</v>
      </c>
      <c r="B6016" t="s">
        <v>10887</v>
      </c>
      <c r="D6016">
        <v>10.5</v>
      </c>
      <c r="E6016" t="s">
        <v>91</v>
      </c>
      <c r="F6016" t="s">
        <v>5688</v>
      </c>
    </row>
    <row r="6017" spans="1:10" x14ac:dyDescent="0.3">
      <c r="A6017" t="s">
        <v>11848</v>
      </c>
      <c r="B6017" t="s">
        <v>3867</v>
      </c>
      <c r="D6017">
        <v>1</v>
      </c>
      <c r="E6017" t="s">
        <v>23</v>
      </c>
      <c r="F6017" t="s">
        <v>30</v>
      </c>
      <c r="J6017" t="s">
        <v>289</v>
      </c>
    </row>
    <row r="6018" spans="1:10" x14ac:dyDescent="0.3">
      <c r="A6018" t="s">
        <v>11849</v>
      </c>
      <c r="B6018" t="s">
        <v>1726</v>
      </c>
      <c r="D6018">
        <v>0.5</v>
      </c>
      <c r="E6018" t="s">
        <v>23</v>
      </c>
      <c r="F6018" t="s">
        <v>95</v>
      </c>
    </row>
    <row r="6019" spans="1:10" x14ac:dyDescent="0.3">
      <c r="A6019" t="s">
        <v>11850</v>
      </c>
      <c r="B6019" t="s">
        <v>11851</v>
      </c>
      <c r="D6019">
        <v>4</v>
      </c>
      <c r="F6019" t="s">
        <v>5091</v>
      </c>
      <c r="G6019" t="s">
        <v>908</v>
      </c>
    </row>
    <row r="6020" spans="1:10" x14ac:dyDescent="0.3">
      <c r="A6020" t="s">
        <v>598</v>
      </c>
      <c r="B6020" t="s">
        <v>9098</v>
      </c>
      <c r="D6020">
        <v>3</v>
      </c>
      <c r="E6020" t="s">
        <v>23</v>
      </c>
      <c r="F6020" t="s">
        <v>616</v>
      </c>
    </row>
    <row r="6021" spans="1:10" x14ac:dyDescent="0.3">
      <c r="A6021" t="s">
        <v>5179</v>
      </c>
      <c r="B6021" t="s">
        <v>11852</v>
      </c>
      <c r="D6021">
        <v>1</v>
      </c>
      <c r="E6021" t="s">
        <v>37</v>
      </c>
      <c r="F6021" t="s">
        <v>11853</v>
      </c>
      <c r="J6021" t="s">
        <v>11854</v>
      </c>
    </row>
    <row r="6022" spans="1:10" x14ac:dyDescent="0.3">
      <c r="A6022" t="s">
        <v>11855</v>
      </c>
      <c r="B6022" t="s">
        <v>6120</v>
      </c>
      <c r="E6022" t="s">
        <v>1281</v>
      </c>
      <c r="F6022" t="s">
        <v>163</v>
      </c>
      <c r="J6022" t="s">
        <v>790</v>
      </c>
    </row>
    <row r="6023" spans="1:10" x14ac:dyDescent="0.3">
      <c r="A6023" t="s">
        <v>11856</v>
      </c>
      <c r="B6023" t="s">
        <v>11857</v>
      </c>
      <c r="D6023">
        <v>4</v>
      </c>
      <c r="F6023" t="s">
        <v>2795</v>
      </c>
      <c r="H6023" t="s">
        <v>814</v>
      </c>
    </row>
    <row r="6024" spans="1:10" x14ac:dyDescent="0.3">
      <c r="A6024" t="s">
        <v>11858</v>
      </c>
      <c r="B6024" t="s">
        <v>6481</v>
      </c>
      <c r="D6024">
        <v>0.25</v>
      </c>
      <c r="E6024" t="s">
        <v>23</v>
      </c>
      <c r="F6024" t="s">
        <v>936</v>
      </c>
    </row>
    <row r="6025" spans="1:10" x14ac:dyDescent="0.3">
      <c r="A6025" t="s">
        <v>11859</v>
      </c>
      <c r="B6025" t="s">
        <v>1150</v>
      </c>
      <c r="D6025">
        <v>1</v>
      </c>
      <c r="E6025" t="s">
        <v>23</v>
      </c>
      <c r="F6025" t="s">
        <v>115</v>
      </c>
    </row>
    <row r="6026" spans="1:10" x14ac:dyDescent="0.3">
      <c r="A6026" t="s">
        <v>9538</v>
      </c>
      <c r="B6026" t="s">
        <v>2609</v>
      </c>
      <c r="D6026">
        <v>1.5</v>
      </c>
      <c r="E6026" t="s">
        <v>345</v>
      </c>
      <c r="F6026" t="s">
        <v>220</v>
      </c>
    </row>
    <row r="6027" spans="1:10" x14ac:dyDescent="0.3">
      <c r="A6027" t="s">
        <v>11860</v>
      </c>
      <c r="B6027" t="s">
        <v>5192</v>
      </c>
      <c r="D6027">
        <v>2</v>
      </c>
      <c r="E6027" t="s">
        <v>23</v>
      </c>
      <c r="F6027" t="s">
        <v>233</v>
      </c>
    </row>
    <row r="6028" spans="1:10" x14ac:dyDescent="0.3">
      <c r="A6028" t="s">
        <v>3443</v>
      </c>
      <c r="B6028" t="s">
        <v>11861</v>
      </c>
      <c r="F6028" t="s">
        <v>333</v>
      </c>
      <c r="J6028" t="s">
        <v>11862</v>
      </c>
    </row>
    <row r="6029" spans="1:10" x14ac:dyDescent="0.3">
      <c r="A6029" t="s">
        <v>11863</v>
      </c>
      <c r="B6029" t="s">
        <v>11864</v>
      </c>
      <c r="D6029">
        <v>1.5</v>
      </c>
      <c r="E6029" t="s">
        <v>23</v>
      </c>
      <c r="F6029" t="s">
        <v>11865</v>
      </c>
    </row>
    <row r="6030" spans="1:10" x14ac:dyDescent="0.3">
      <c r="A6030" t="s">
        <v>11866</v>
      </c>
      <c r="B6030" t="s">
        <v>11867</v>
      </c>
      <c r="D6030">
        <v>25</v>
      </c>
      <c r="E6030" t="s">
        <v>29</v>
      </c>
      <c r="F6030" t="s">
        <v>817</v>
      </c>
    </row>
    <row r="6031" spans="1:10" x14ac:dyDescent="0.3">
      <c r="A6031" t="s">
        <v>11868</v>
      </c>
      <c r="B6031" t="s">
        <v>11869</v>
      </c>
      <c r="D6031">
        <v>2</v>
      </c>
      <c r="E6031" t="s">
        <v>686</v>
      </c>
      <c r="F6031" t="s">
        <v>3045</v>
      </c>
    </row>
    <row r="6032" spans="1:10" x14ac:dyDescent="0.3">
      <c r="A6032" t="s">
        <v>11870</v>
      </c>
      <c r="B6032" t="s">
        <v>11871</v>
      </c>
      <c r="D6032">
        <v>1</v>
      </c>
      <c r="E6032" t="s">
        <v>37</v>
      </c>
      <c r="F6032" t="s">
        <v>5464</v>
      </c>
    </row>
    <row r="6033" spans="1:10" x14ac:dyDescent="0.3">
      <c r="A6033" t="s">
        <v>5686</v>
      </c>
      <c r="B6033" t="s">
        <v>11872</v>
      </c>
      <c r="D6033">
        <v>10.5</v>
      </c>
      <c r="E6033" t="s">
        <v>91</v>
      </c>
      <c r="F6033" t="s">
        <v>7624</v>
      </c>
    </row>
    <row r="6034" spans="1:10" x14ac:dyDescent="0.3">
      <c r="A6034" t="s">
        <v>1250</v>
      </c>
      <c r="B6034" t="s">
        <v>2185</v>
      </c>
      <c r="D6034">
        <v>0.5</v>
      </c>
      <c r="E6034" t="s">
        <v>11</v>
      </c>
      <c r="F6034" t="s">
        <v>180</v>
      </c>
    </row>
    <row r="6035" spans="1:10" x14ac:dyDescent="0.3">
      <c r="A6035" t="s">
        <v>11873</v>
      </c>
      <c r="B6035" t="s">
        <v>1011</v>
      </c>
      <c r="F6035" t="s">
        <v>1011</v>
      </c>
    </row>
    <row r="6036" spans="1:10" x14ac:dyDescent="0.3">
      <c r="A6036" t="s">
        <v>11874</v>
      </c>
      <c r="B6036" t="s">
        <v>11875</v>
      </c>
      <c r="D6036">
        <v>0.75</v>
      </c>
      <c r="E6036" t="s">
        <v>11</v>
      </c>
      <c r="F6036" t="s">
        <v>11876</v>
      </c>
    </row>
    <row r="6037" spans="1:10" x14ac:dyDescent="0.3">
      <c r="A6037" t="s">
        <v>11877</v>
      </c>
      <c r="B6037" t="s">
        <v>11878</v>
      </c>
      <c r="D6037">
        <v>0.5</v>
      </c>
      <c r="E6037" t="s">
        <v>23</v>
      </c>
      <c r="F6037" t="s">
        <v>11879</v>
      </c>
    </row>
    <row r="6038" spans="1:10" x14ac:dyDescent="0.3">
      <c r="A6038" t="s">
        <v>11880</v>
      </c>
      <c r="B6038" t="s">
        <v>11881</v>
      </c>
      <c r="D6038">
        <v>1</v>
      </c>
      <c r="E6038" t="s">
        <v>23</v>
      </c>
      <c r="F6038" t="s">
        <v>11882</v>
      </c>
    </row>
    <row r="6039" spans="1:10" x14ac:dyDescent="0.3">
      <c r="A6039" t="s">
        <v>5059</v>
      </c>
      <c r="B6039" t="s">
        <v>11883</v>
      </c>
      <c r="D6039">
        <v>1</v>
      </c>
      <c r="E6039" t="s">
        <v>60</v>
      </c>
      <c r="F6039" t="s">
        <v>11884</v>
      </c>
    </row>
    <row r="6040" spans="1:10" x14ac:dyDescent="0.3">
      <c r="A6040" t="s">
        <v>11885</v>
      </c>
      <c r="B6040" t="s">
        <v>11886</v>
      </c>
      <c r="D6040">
        <v>1</v>
      </c>
      <c r="E6040" t="s">
        <v>37</v>
      </c>
      <c r="F6040" t="s">
        <v>5105</v>
      </c>
      <c r="J6040" t="s">
        <v>11887</v>
      </c>
    </row>
    <row r="6041" spans="1:10" x14ac:dyDescent="0.3">
      <c r="A6041" t="s">
        <v>6724</v>
      </c>
      <c r="B6041" t="s">
        <v>28</v>
      </c>
      <c r="D6041">
        <v>25</v>
      </c>
      <c r="E6041" t="s">
        <v>29</v>
      </c>
      <c r="F6041" t="s">
        <v>30</v>
      </c>
    </row>
    <row r="6042" spans="1:10" x14ac:dyDescent="0.3">
      <c r="A6042" t="s">
        <v>3245</v>
      </c>
      <c r="B6042" t="s">
        <v>11888</v>
      </c>
      <c r="D6042">
        <v>3</v>
      </c>
      <c r="E6042" t="s">
        <v>189</v>
      </c>
      <c r="F6042" t="s">
        <v>11889</v>
      </c>
    </row>
    <row r="6043" spans="1:10" x14ac:dyDescent="0.3">
      <c r="A6043" t="s">
        <v>11890</v>
      </c>
      <c r="B6043" t="s">
        <v>163</v>
      </c>
      <c r="F6043" t="s">
        <v>163</v>
      </c>
    </row>
    <row r="6044" spans="1:10" x14ac:dyDescent="0.3">
      <c r="A6044" t="s">
        <v>11891</v>
      </c>
      <c r="B6044" t="s">
        <v>64</v>
      </c>
      <c r="F6044" t="s">
        <v>64</v>
      </c>
    </row>
    <row r="6045" spans="1:10" x14ac:dyDescent="0.3">
      <c r="A6045" t="s">
        <v>732</v>
      </c>
      <c r="B6045" t="s">
        <v>11892</v>
      </c>
      <c r="D6045">
        <v>3</v>
      </c>
      <c r="E6045" t="s">
        <v>473</v>
      </c>
      <c r="F6045" t="s">
        <v>11893</v>
      </c>
    </row>
    <row r="6046" spans="1:10" x14ac:dyDescent="0.3">
      <c r="A6046" t="s">
        <v>11894</v>
      </c>
      <c r="B6046" t="s">
        <v>10047</v>
      </c>
      <c r="D6046">
        <v>0.5</v>
      </c>
      <c r="E6046" t="s">
        <v>23</v>
      </c>
      <c r="F6046" t="s">
        <v>10048</v>
      </c>
    </row>
    <row r="6047" spans="1:10" x14ac:dyDescent="0.3">
      <c r="A6047" t="s">
        <v>11895</v>
      </c>
      <c r="B6047" t="s">
        <v>1118</v>
      </c>
      <c r="D6047">
        <v>1</v>
      </c>
      <c r="E6047" t="s">
        <v>23</v>
      </c>
      <c r="F6047" t="s">
        <v>281</v>
      </c>
    </row>
    <row r="6048" spans="1:10" x14ac:dyDescent="0.3">
      <c r="A6048" t="s">
        <v>11896</v>
      </c>
      <c r="B6048" t="s">
        <v>3085</v>
      </c>
      <c r="D6048">
        <v>1</v>
      </c>
      <c r="E6048" t="s">
        <v>23</v>
      </c>
      <c r="F6048" t="s">
        <v>11897</v>
      </c>
    </row>
    <row r="6049" spans="1:10" x14ac:dyDescent="0.3">
      <c r="A6049" t="s">
        <v>1642</v>
      </c>
      <c r="B6049" t="s">
        <v>11898</v>
      </c>
      <c r="D6049">
        <v>2</v>
      </c>
      <c r="F6049" t="s">
        <v>4580</v>
      </c>
    </row>
    <row r="6050" spans="1:10" x14ac:dyDescent="0.3">
      <c r="A6050" t="s">
        <v>9378</v>
      </c>
      <c r="B6050" t="s">
        <v>11899</v>
      </c>
      <c r="E6050" t="s">
        <v>361</v>
      </c>
      <c r="F6050" t="s">
        <v>3576</v>
      </c>
    </row>
    <row r="6051" spans="1:10" x14ac:dyDescent="0.3">
      <c r="A6051" t="s">
        <v>11900</v>
      </c>
      <c r="B6051" t="s">
        <v>3809</v>
      </c>
      <c r="D6051">
        <v>1</v>
      </c>
      <c r="E6051" t="s">
        <v>23</v>
      </c>
      <c r="F6051" t="s">
        <v>331</v>
      </c>
    </row>
    <row r="6052" spans="1:10" x14ac:dyDescent="0.3">
      <c r="A6052" t="s">
        <v>11901</v>
      </c>
      <c r="B6052" t="s">
        <v>348</v>
      </c>
      <c r="D6052">
        <v>1</v>
      </c>
      <c r="E6052" t="s">
        <v>23</v>
      </c>
      <c r="F6052" t="s">
        <v>349</v>
      </c>
    </row>
    <row r="6053" spans="1:10" x14ac:dyDescent="0.3">
      <c r="A6053" t="s">
        <v>11902</v>
      </c>
      <c r="B6053" t="s">
        <v>2767</v>
      </c>
      <c r="F6053" t="s">
        <v>2767</v>
      </c>
    </row>
    <row r="6054" spans="1:10" x14ac:dyDescent="0.3">
      <c r="A6054" t="s">
        <v>10383</v>
      </c>
      <c r="B6054" t="s">
        <v>3600</v>
      </c>
      <c r="D6054">
        <v>1</v>
      </c>
      <c r="E6054" t="s">
        <v>11</v>
      </c>
      <c r="F6054" t="s">
        <v>2211</v>
      </c>
    </row>
    <row r="6055" spans="1:10" x14ac:dyDescent="0.3">
      <c r="A6055" t="s">
        <v>11903</v>
      </c>
      <c r="B6055" t="s">
        <v>3116</v>
      </c>
      <c r="D6055">
        <v>1</v>
      </c>
      <c r="F6055" t="s">
        <v>704</v>
      </c>
    </row>
    <row r="6056" spans="1:10" x14ac:dyDescent="0.3">
      <c r="A6056" t="s">
        <v>4810</v>
      </c>
      <c r="B6056" t="s">
        <v>11904</v>
      </c>
      <c r="D6056">
        <v>0.5</v>
      </c>
      <c r="E6056" t="s">
        <v>284</v>
      </c>
      <c r="F6056" t="s">
        <v>1915</v>
      </c>
    </row>
    <row r="6057" spans="1:10" x14ac:dyDescent="0.3">
      <c r="A6057" t="s">
        <v>11905</v>
      </c>
      <c r="B6057" t="s">
        <v>1315</v>
      </c>
      <c r="D6057">
        <v>1</v>
      </c>
      <c r="E6057" t="s">
        <v>23</v>
      </c>
      <c r="F6057" t="s">
        <v>1003</v>
      </c>
      <c r="J6057" t="s">
        <v>289</v>
      </c>
    </row>
    <row r="6058" spans="1:10" x14ac:dyDescent="0.3">
      <c r="A6058" t="s">
        <v>11906</v>
      </c>
      <c r="B6058" t="s">
        <v>2846</v>
      </c>
      <c r="D6058">
        <v>1</v>
      </c>
      <c r="F6058" t="s">
        <v>1440</v>
      </c>
    </row>
    <row r="6059" spans="1:10" x14ac:dyDescent="0.3">
      <c r="A6059" t="s">
        <v>11907</v>
      </c>
      <c r="B6059" t="s">
        <v>11908</v>
      </c>
      <c r="D6059">
        <v>1</v>
      </c>
      <c r="E6059" t="s">
        <v>11</v>
      </c>
      <c r="F6059" t="s">
        <v>199</v>
      </c>
      <c r="J6059" t="s">
        <v>289</v>
      </c>
    </row>
    <row r="6060" spans="1:10" x14ac:dyDescent="0.3">
      <c r="A6060" t="s">
        <v>11909</v>
      </c>
      <c r="B6060" t="s">
        <v>11910</v>
      </c>
      <c r="D6060">
        <v>0.5</v>
      </c>
      <c r="E6060" t="s">
        <v>37</v>
      </c>
      <c r="F6060" t="s">
        <v>3949</v>
      </c>
    </row>
    <row r="6061" spans="1:10" x14ac:dyDescent="0.3">
      <c r="A6061" t="s">
        <v>11911</v>
      </c>
      <c r="B6061" t="s">
        <v>11912</v>
      </c>
      <c r="D6061">
        <v>12</v>
      </c>
      <c r="E6061" t="s">
        <v>23</v>
      </c>
      <c r="F6061" t="s">
        <v>11913</v>
      </c>
    </row>
    <row r="6062" spans="1:10" x14ac:dyDescent="0.3">
      <c r="A6062" t="s">
        <v>11914</v>
      </c>
      <c r="B6062" t="s">
        <v>11915</v>
      </c>
      <c r="D6062">
        <v>6</v>
      </c>
      <c r="E6062" t="s">
        <v>345</v>
      </c>
      <c r="F6062" t="s">
        <v>11916</v>
      </c>
    </row>
    <row r="6063" spans="1:10" x14ac:dyDescent="0.3">
      <c r="A6063" t="s">
        <v>11917</v>
      </c>
      <c r="B6063" t="s">
        <v>11918</v>
      </c>
      <c r="D6063">
        <v>1</v>
      </c>
      <c r="E6063" t="s">
        <v>11</v>
      </c>
      <c r="F6063" t="s">
        <v>4279</v>
      </c>
      <c r="J6063" t="s">
        <v>11919</v>
      </c>
    </row>
    <row r="6064" spans="1:10" x14ac:dyDescent="0.3">
      <c r="A6064" t="s">
        <v>8363</v>
      </c>
      <c r="B6064" t="s">
        <v>11920</v>
      </c>
      <c r="D6064">
        <v>2</v>
      </c>
      <c r="E6064" t="s">
        <v>2158</v>
      </c>
      <c r="F6064" t="s">
        <v>237</v>
      </c>
    </row>
    <row r="6065" spans="1:10" x14ac:dyDescent="0.3">
      <c r="A6065" t="s">
        <v>471</v>
      </c>
      <c r="B6065" t="s">
        <v>5147</v>
      </c>
      <c r="D6065">
        <v>1</v>
      </c>
      <c r="E6065" t="s">
        <v>284</v>
      </c>
      <c r="F6065" t="s">
        <v>41</v>
      </c>
    </row>
    <row r="6066" spans="1:10" x14ac:dyDescent="0.3">
      <c r="A6066" t="s">
        <v>11921</v>
      </c>
      <c r="B6066" t="s">
        <v>773</v>
      </c>
      <c r="D6066">
        <v>1</v>
      </c>
      <c r="E6066" t="s">
        <v>11</v>
      </c>
      <c r="F6066" t="s">
        <v>88</v>
      </c>
    </row>
    <row r="6067" spans="1:10" x14ac:dyDescent="0.3">
      <c r="A6067" t="s">
        <v>11185</v>
      </c>
      <c r="B6067" t="s">
        <v>1711</v>
      </c>
      <c r="D6067">
        <v>0.75</v>
      </c>
      <c r="E6067" t="s">
        <v>23</v>
      </c>
      <c r="F6067" t="s">
        <v>81</v>
      </c>
    </row>
    <row r="6068" spans="1:10" x14ac:dyDescent="0.3">
      <c r="A6068" t="s">
        <v>8965</v>
      </c>
      <c r="B6068" t="s">
        <v>11922</v>
      </c>
      <c r="D6068">
        <v>0.5</v>
      </c>
      <c r="E6068" t="s">
        <v>11</v>
      </c>
      <c r="F6068" t="s">
        <v>98</v>
      </c>
    </row>
    <row r="6069" spans="1:10" x14ac:dyDescent="0.3">
      <c r="A6069" t="s">
        <v>11923</v>
      </c>
      <c r="B6069" t="s">
        <v>11924</v>
      </c>
      <c r="D6069">
        <v>0.5</v>
      </c>
      <c r="E6069" t="s">
        <v>284</v>
      </c>
      <c r="F6069" t="s">
        <v>51</v>
      </c>
    </row>
    <row r="6070" spans="1:10" x14ac:dyDescent="0.3">
      <c r="A6070" t="s">
        <v>11925</v>
      </c>
      <c r="B6070" t="s">
        <v>2633</v>
      </c>
      <c r="D6070">
        <v>2</v>
      </c>
      <c r="E6070" t="s">
        <v>91</v>
      </c>
      <c r="F6070" t="s">
        <v>2271</v>
      </c>
      <c r="J6070" t="s">
        <v>1470</v>
      </c>
    </row>
    <row r="6071" spans="1:10" x14ac:dyDescent="0.3">
      <c r="A6071" t="s">
        <v>11926</v>
      </c>
      <c r="B6071" t="s">
        <v>11810</v>
      </c>
      <c r="D6071">
        <v>0.75</v>
      </c>
      <c r="E6071" t="s">
        <v>37</v>
      </c>
      <c r="F6071" t="s">
        <v>4728</v>
      </c>
    </row>
    <row r="6072" spans="1:10" x14ac:dyDescent="0.3">
      <c r="A6072" t="s">
        <v>11927</v>
      </c>
      <c r="B6072" t="s">
        <v>988</v>
      </c>
      <c r="D6072">
        <v>0.5</v>
      </c>
      <c r="E6072" t="s">
        <v>23</v>
      </c>
      <c r="F6072" t="s">
        <v>81</v>
      </c>
    </row>
    <row r="6073" spans="1:10" x14ac:dyDescent="0.3">
      <c r="A6073" t="s">
        <v>7302</v>
      </c>
      <c r="B6073" t="s">
        <v>11928</v>
      </c>
      <c r="D6073">
        <v>1</v>
      </c>
      <c r="E6073" t="s">
        <v>23</v>
      </c>
      <c r="F6073" t="s">
        <v>11929</v>
      </c>
    </row>
    <row r="6074" spans="1:10" x14ac:dyDescent="0.3">
      <c r="A6074" t="s">
        <v>11930</v>
      </c>
      <c r="B6074" t="s">
        <v>6923</v>
      </c>
      <c r="D6074">
        <v>2</v>
      </c>
      <c r="E6074" t="s">
        <v>91</v>
      </c>
      <c r="F6074" t="s">
        <v>2446</v>
      </c>
    </row>
    <row r="6075" spans="1:10" x14ac:dyDescent="0.3">
      <c r="A6075" t="s">
        <v>11930</v>
      </c>
      <c r="B6075" t="s">
        <v>11931</v>
      </c>
      <c r="D6075">
        <v>0.5</v>
      </c>
      <c r="E6075" t="s">
        <v>11</v>
      </c>
      <c r="F6075" t="s">
        <v>602</v>
      </c>
    </row>
    <row r="6076" spans="1:10" x14ac:dyDescent="0.3">
      <c r="A6076" t="s">
        <v>11932</v>
      </c>
      <c r="B6076" t="s">
        <v>11005</v>
      </c>
      <c r="D6076">
        <v>25</v>
      </c>
      <c r="E6076" t="s">
        <v>29</v>
      </c>
      <c r="F6076" t="s">
        <v>98</v>
      </c>
    </row>
    <row r="6077" spans="1:10" x14ac:dyDescent="0.3">
      <c r="A6077" t="s">
        <v>3574</v>
      </c>
      <c r="B6077" t="s">
        <v>11933</v>
      </c>
      <c r="D6077">
        <v>1</v>
      </c>
      <c r="E6077" t="s">
        <v>435</v>
      </c>
      <c r="F6077" t="s">
        <v>11934</v>
      </c>
      <c r="J6077" t="s">
        <v>6578</v>
      </c>
    </row>
    <row r="6078" spans="1:10" x14ac:dyDescent="0.3">
      <c r="A6078" t="s">
        <v>11935</v>
      </c>
      <c r="B6078" t="s">
        <v>2070</v>
      </c>
      <c r="D6078">
        <v>1</v>
      </c>
      <c r="E6078" t="s">
        <v>23</v>
      </c>
      <c r="F6078" t="s">
        <v>38</v>
      </c>
      <c r="H6078" t="s">
        <v>68</v>
      </c>
    </row>
    <row r="6079" spans="1:10" x14ac:dyDescent="0.3">
      <c r="A6079" t="s">
        <v>11936</v>
      </c>
      <c r="B6079" t="s">
        <v>11937</v>
      </c>
      <c r="D6079">
        <v>0.5</v>
      </c>
      <c r="E6079" t="s">
        <v>37</v>
      </c>
      <c r="F6079" t="s">
        <v>943</v>
      </c>
    </row>
    <row r="6080" spans="1:10" x14ac:dyDescent="0.3">
      <c r="A6080" t="s">
        <v>6177</v>
      </c>
      <c r="B6080" t="s">
        <v>11938</v>
      </c>
      <c r="D6080">
        <v>1.5</v>
      </c>
      <c r="F6080" t="s">
        <v>11939</v>
      </c>
      <c r="G6080" t="s">
        <v>324</v>
      </c>
      <c r="J6080" t="s">
        <v>325</v>
      </c>
    </row>
    <row r="6081" spans="1:10" x14ac:dyDescent="0.3">
      <c r="A6081" t="s">
        <v>11940</v>
      </c>
      <c r="B6081" t="s">
        <v>11941</v>
      </c>
      <c r="D6081">
        <v>1</v>
      </c>
      <c r="F6081" t="s">
        <v>11942</v>
      </c>
    </row>
    <row r="6082" spans="1:10" x14ac:dyDescent="0.3">
      <c r="A6082" t="s">
        <v>11943</v>
      </c>
      <c r="B6082" t="s">
        <v>11944</v>
      </c>
      <c r="D6082">
        <v>150</v>
      </c>
      <c r="E6082" t="s">
        <v>29</v>
      </c>
      <c r="F6082" t="s">
        <v>738</v>
      </c>
    </row>
    <row r="6083" spans="1:10" x14ac:dyDescent="0.3">
      <c r="A6083" t="s">
        <v>1189</v>
      </c>
      <c r="B6083" t="s">
        <v>738</v>
      </c>
      <c r="F6083" t="s">
        <v>738</v>
      </c>
    </row>
    <row r="6084" spans="1:10" x14ac:dyDescent="0.3">
      <c r="A6084" t="s">
        <v>52</v>
      </c>
      <c r="B6084" t="s">
        <v>11945</v>
      </c>
      <c r="D6084">
        <v>1</v>
      </c>
      <c r="E6084" t="s">
        <v>18</v>
      </c>
      <c r="F6084" t="s">
        <v>11946</v>
      </c>
    </row>
    <row r="6085" spans="1:10" x14ac:dyDescent="0.3">
      <c r="A6085" t="s">
        <v>5395</v>
      </c>
      <c r="B6085" t="s">
        <v>11947</v>
      </c>
      <c r="D6085">
        <v>0.25</v>
      </c>
      <c r="E6085" t="s">
        <v>284</v>
      </c>
      <c r="F6085" t="s">
        <v>11948</v>
      </c>
      <c r="G6085" t="s">
        <v>11949</v>
      </c>
      <c r="J6085" t="s">
        <v>325</v>
      </c>
    </row>
    <row r="6086" spans="1:10" x14ac:dyDescent="0.3">
      <c r="A6086" t="s">
        <v>11950</v>
      </c>
      <c r="B6086" t="s">
        <v>11951</v>
      </c>
      <c r="D6086">
        <v>30</v>
      </c>
      <c r="E6086" t="s">
        <v>29</v>
      </c>
      <c r="F6086" t="s">
        <v>793</v>
      </c>
    </row>
    <row r="6087" spans="1:10" x14ac:dyDescent="0.3">
      <c r="A6087" t="s">
        <v>11952</v>
      </c>
      <c r="B6087" t="s">
        <v>11953</v>
      </c>
      <c r="D6087">
        <v>0.75</v>
      </c>
      <c r="E6087" t="s">
        <v>23</v>
      </c>
      <c r="F6087" t="s">
        <v>11954</v>
      </c>
      <c r="J6087" t="s">
        <v>1470</v>
      </c>
    </row>
    <row r="6088" spans="1:10" x14ac:dyDescent="0.3">
      <c r="A6088" t="s">
        <v>11955</v>
      </c>
      <c r="B6088" t="s">
        <v>11956</v>
      </c>
      <c r="D6088">
        <v>0.5</v>
      </c>
      <c r="E6088" t="s">
        <v>23</v>
      </c>
      <c r="F6088" t="s">
        <v>11957</v>
      </c>
    </row>
    <row r="6089" spans="1:10" x14ac:dyDescent="0.3">
      <c r="A6089" t="s">
        <v>7389</v>
      </c>
      <c r="B6089" t="s">
        <v>5161</v>
      </c>
      <c r="F6089" t="s">
        <v>5161</v>
      </c>
    </row>
    <row r="6090" spans="1:10" x14ac:dyDescent="0.3">
      <c r="A6090" t="s">
        <v>11958</v>
      </c>
      <c r="B6090" t="s">
        <v>4045</v>
      </c>
      <c r="D6090">
        <v>1</v>
      </c>
      <c r="E6090" t="s">
        <v>23</v>
      </c>
      <c r="F6090" t="s">
        <v>4046</v>
      </c>
    </row>
    <row r="6091" spans="1:10" x14ac:dyDescent="0.3">
      <c r="A6091" t="s">
        <v>530</v>
      </c>
      <c r="B6091" t="s">
        <v>11959</v>
      </c>
      <c r="F6091" t="s">
        <v>10023</v>
      </c>
      <c r="G6091" t="s">
        <v>1014</v>
      </c>
      <c r="J6091" t="s">
        <v>11960</v>
      </c>
    </row>
    <row r="6092" spans="1:10" x14ac:dyDescent="0.3">
      <c r="A6092" t="s">
        <v>11961</v>
      </c>
      <c r="B6092" t="s">
        <v>11962</v>
      </c>
      <c r="D6092">
        <v>8</v>
      </c>
      <c r="E6092" t="s">
        <v>23</v>
      </c>
      <c r="F6092" t="s">
        <v>11963</v>
      </c>
      <c r="I6092" t="s">
        <v>1078</v>
      </c>
      <c r="J6092" t="s">
        <v>325</v>
      </c>
    </row>
    <row r="6093" spans="1:10" x14ac:dyDescent="0.3">
      <c r="A6093" t="s">
        <v>8313</v>
      </c>
      <c r="B6093" t="s">
        <v>8170</v>
      </c>
      <c r="D6093">
        <v>4</v>
      </c>
      <c r="E6093" t="s">
        <v>23</v>
      </c>
      <c r="F6093" t="s">
        <v>738</v>
      </c>
    </row>
    <row r="6094" spans="1:10" x14ac:dyDescent="0.3">
      <c r="A6094" t="s">
        <v>11706</v>
      </c>
      <c r="B6094" t="s">
        <v>11964</v>
      </c>
      <c r="D6094">
        <v>8</v>
      </c>
      <c r="E6094" t="s">
        <v>6792</v>
      </c>
      <c r="F6094" t="s">
        <v>11965</v>
      </c>
    </row>
    <row r="6095" spans="1:10" x14ac:dyDescent="0.3">
      <c r="A6095" t="s">
        <v>11966</v>
      </c>
      <c r="B6095" t="s">
        <v>333</v>
      </c>
      <c r="F6095" t="s">
        <v>333</v>
      </c>
    </row>
    <row r="6096" spans="1:10" x14ac:dyDescent="0.3">
      <c r="A6096" t="s">
        <v>11967</v>
      </c>
      <c r="B6096" t="s">
        <v>11175</v>
      </c>
      <c r="D6096">
        <v>0.75</v>
      </c>
      <c r="E6096" t="s">
        <v>23</v>
      </c>
      <c r="F6096" t="s">
        <v>423</v>
      </c>
    </row>
    <row r="6097" spans="1:10" x14ac:dyDescent="0.3">
      <c r="A6097" t="s">
        <v>11968</v>
      </c>
      <c r="B6097" t="s">
        <v>152</v>
      </c>
      <c r="F6097" t="s">
        <v>152</v>
      </c>
    </row>
    <row r="6098" spans="1:10" x14ac:dyDescent="0.3">
      <c r="A6098" t="s">
        <v>11969</v>
      </c>
      <c r="B6098" t="s">
        <v>11970</v>
      </c>
      <c r="D6098">
        <v>0.5</v>
      </c>
      <c r="E6098" t="s">
        <v>37</v>
      </c>
      <c r="F6098" t="s">
        <v>1009</v>
      </c>
      <c r="J6098" t="s">
        <v>2073</v>
      </c>
    </row>
    <row r="6099" spans="1:10" x14ac:dyDescent="0.3">
      <c r="A6099" t="s">
        <v>10256</v>
      </c>
      <c r="B6099" t="s">
        <v>2596</v>
      </c>
      <c r="D6099">
        <v>3</v>
      </c>
      <c r="E6099" t="s">
        <v>23</v>
      </c>
      <c r="F6099" t="s">
        <v>716</v>
      </c>
    </row>
    <row r="6100" spans="1:10" x14ac:dyDescent="0.3">
      <c r="A6100" t="s">
        <v>161</v>
      </c>
      <c r="B6100" t="s">
        <v>11971</v>
      </c>
      <c r="D6100">
        <v>0.75</v>
      </c>
      <c r="E6100" t="s">
        <v>23</v>
      </c>
      <c r="F6100" t="s">
        <v>220</v>
      </c>
    </row>
    <row r="6101" spans="1:10" x14ac:dyDescent="0.3">
      <c r="A6101" t="s">
        <v>11972</v>
      </c>
      <c r="B6101" t="s">
        <v>11973</v>
      </c>
      <c r="F6101" t="s">
        <v>2138</v>
      </c>
      <c r="J6101" t="s">
        <v>11974</v>
      </c>
    </row>
    <row r="6102" spans="1:10" x14ac:dyDescent="0.3">
      <c r="A6102" t="s">
        <v>11975</v>
      </c>
      <c r="B6102" t="s">
        <v>11976</v>
      </c>
      <c r="D6102">
        <v>2.5</v>
      </c>
      <c r="E6102" t="s">
        <v>11217</v>
      </c>
      <c r="F6102" t="s">
        <v>11977</v>
      </c>
    </row>
    <row r="6103" spans="1:10" x14ac:dyDescent="0.3">
      <c r="A6103" t="s">
        <v>9626</v>
      </c>
      <c r="B6103" t="s">
        <v>11978</v>
      </c>
      <c r="D6103">
        <v>2</v>
      </c>
      <c r="E6103" t="s">
        <v>4110</v>
      </c>
      <c r="F6103" t="s">
        <v>4350</v>
      </c>
      <c r="J6103" t="s">
        <v>1177</v>
      </c>
    </row>
    <row r="6104" spans="1:10" x14ac:dyDescent="0.3">
      <c r="A6104" t="s">
        <v>11979</v>
      </c>
      <c r="B6104" t="s">
        <v>11980</v>
      </c>
      <c r="D6104">
        <v>1</v>
      </c>
      <c r="E6104" t="s">
        <v>10514</v>
      </c>
      <c r="F6104" t="s">
        <v>2763</v>
      </c>
    </row>
    <row r="6105" spans="1:10" x14ac:dyDescent="0.3">
      <c r="A6105" t="s">
        <v>11981</v>
      </c>
      <c r="B6105" t="s">
        <v>333</v>
      </c>
      <c r="F6105" t="s">
        <v>333</v>
      </c>
    </row>
    <row r="6106" spans="1:10" x14ac:dyDescent="0.3">
      <c r="A6106" t="s">
        <v>11982</v>
      </c>
      <c r="B6106" t="s">
        <v>11983</v>
      </c>
      <c r="D6106">
        <v>3</v>
      </c>
      <c r="F6106" t="s">
        <v>11984</v>
      </c>
      <c r="G6106" t="s">
        <v>11985</v>
      </c>
      <c r="J6106" t="s">
        <v>11986</v>
      </c>
    </row>
    <row r="6107" spans="1:10" x14ac:dyDescent="0.3">
      <c r="A6107" t="s">
        <v>11987</v>
      </c>
      <c r="B6107" t="s">
        <v>11988</v>
      </c>
      <c r="F6107" t="s">
        <v>11988</v>
      </c>
    </row>
    <row r="6108" spans="1:10" x14ac:dyDescent="0.3">
      <c r="A6108" t="s">
        <v>11989</v>
      </c>
      <c r="B6108" t="s">
        <v>11990</v>
      </c>
      <c r="E6108" t="s">
        <v>33</v>
      </c>
      <c r="F6108" t="s">
        <v>152</v>
      </c>
      <c r="J6108" t="s">
        <v>164</v>
      </c>
    </row>
    <row r="6109" spans="1:10" x14ac:dyDescent="0.3">
      <c r="A6109" t="s">
        <v>11991</v>
      </c>
      <c r="B6109" t="s">
        <v>10939</v>
      </c>
      <c r="D6109">
        <v>25</v>
      </c>
      <c r="E6109" t="s">
        <v>29</v>
      </c>
      <c r="F6109" t="s">
        <v>793</v>
      </c>
    </row>
    <row r="6110" spans="1:10" x14ac:dyDescent="0.3">
      <c r="A6110" t="s">
        <v>11992</v>
      </c>
      <c r="B6110" t="s">
        <v>11993</v>
      </c>
      <c r="D6110">
        <v>2</v>
      </c>
      <c r="E6110" t="s">
        <v>23</v>
      </c>
      <c r="F6110" t="s">
        <v>11994</v>
      </c>
      <c r="J6110" t="s">
        <v>289</v>
      </c>
    </row>
    <row r="6111" spans="1:10" x14ac:dyDescent="0.3">
      <c r="A6111" t="s">
        <v>6771</v>
      </c>
      <c r="B6111" t="s">
        <v>11995</v>
      </c>
      <c r="D6111">
        <v>1</v>
      </c>
      <c r="E6111" t="s">
        <v>11996</v>
      </c>
      <c r="F6111" t="s">
        <v>11997</v>
      </c>
    </row>
    <row r="6112" spans="1:10" x14ac:dyDescent="0.3">
      <c r="A6112" t="s">
        <v>11998</v>
      </c>
      <c r="B6112" t="s">
        <v>11999</v>
      </c>
      <c r="D6112">
        <v>1</v>
      </c>
      <c r="F6112" t="s">
        <v>154</v>
      </c>
    </row>
    <row r="6113" spans="1:10" x14ac:dyDescent="0.3">
      <c r="A6113" t="s">
        <v>12000</v>
      </c>
      <c r="B6113" t="s">
        <v>12001</v>
      </c>
      <c r="D6113">
        <v>0.75</v>
      </c>
      <c r="E6113" t="s">
        <v>37</v>
      </c>
      <c r="F6113" t="s">
        <v>516</v>
      </c>
      <c r="H6113" t="s">
        <v>68</v>
      </c>
    </row>
    <row r="6114" spans="1:10" x14ac:dyDescent="0.3">
      <c r="A6114" t="s">
        <v>12002</v>
      </c>
      <c r="B6114" t="s">
        <v>12003</v>
      </c>
      <c r="D6114">
        <v>1</v>
      </c>
      <c r="E6114" t="s">
        <v>460</v>
      </c>
      <c r="F6114" t="s">
        <v>38</v>
      </c>
      <c r="H6114" t="s">
        <v>68</v>
      </c>
      <c r="J6114" t="s">
        <v>289</v>
      </c>
    </row>
    <row r="6115" spans="1:10" x14ac:dyDescent="0.3">
      <c r="A6115" t="s">
        <v>12004</v>
      </c>
      <c r="B6115" t="s">
        <v>1179</v>
      </c>
      <c r="D6115">
        <v>1</v>
      </c>
      <c r="E6115" t="s">
        <v>23</v>
      </c>
      <c r="F6115" t="s">
        <v>233</v>
      </c>
    </row>
    <row r="6116" spans="1:10" x14ac:dyDescent="0.3">
      <c r="A6116" t="s">
        <v>12005</v>
      </c>
      <c r="B6116" t="s">
        <v>10794</v>
      </c>
      <c r="D6116">
        <v>2</v>
      </c>
      <c r="E6116" t="s">
        <v>189</v>
      </c>
      <c r="F6116" t="s">
        <v>10795</v>
      </c>
    </row>
    <row r="6117" spans="1:10" x14ac:dyDescent="0.3">
      <c r="A6117" t="s">
        <v>12006</v>
      </c>
      <c r="B6117" t="s">
        <v>12007</v>
      </c>
      <c r="D6117">
        <v>1</v>
      </c>
      <c r="E6117" t="s">
        <v>11</v>
      </c>
      <c r="F6117" t="s">
        <v>4289</v>
      </c>
    </row>
    <row r="6118" spans="1:10" x14ac:dyDescent="0.3">
      <c r="A6118" t="s">
        <v>6192</v>
      </c>
      <c r="B6118" t="s">
        <v>12008</v>
      </c>
      <c r="D6118">
        <v>1</v>
      </c>
      <c r="E6118" t="s">
        <v>1132</v>
      </c>
      <c r="F6118" t="s">
        <v>10978</v>
      </c>
    </row>
    <row r="6119" spans="1:10" x14ac:dyDescent="0.3">
      <c r="A6119" t="s">
        <v>12009</v>
      </c>
      <c r="B6119" t="s">
        <v>12010</v>
      </c>
      <c r="D6119">
        <v>1.5</v>
      </c>
      <c r="E6119" t="s">
        <v>23</v>
      </c>
      <c r="F6119" t="s">
        <v>12011</v>
      </c>
      <c r="J6119" t="s">
        <v>12012</v>
      </c>
    </row>
    <row r="6120" spans="1:10" x14ac:dyDescent="0.3">
      <c r="A6120" t="s">
        <v>12013</v>
      </c>
      <c r="B6120" t="s">
        <v>792</v>
      </c>
      <c r="D6120">
        <v>0.5</v>
      </c>
      <c r="E6120" t="s">
        <v>11</v>
      </c>
      <c r="F6120" t="s">
        <v>793</v>
      </c>
    </row>
    <row r="6121" spans="1:10" x14ac:dyDescent="0.3">
      <c r="A6121" t="s">
        <v>11029</v>
      </c>
      <c r="B6121" t="s">
        <v>12014</v>
      </c>
      <c r="E6121" t="s">
        <v>426</v>
      </c>
      <c r="F6121" t="s">
        <v>1116</v>
      </c>
      <c r="J6121" t="s">
        <v>12015</v>
      </c>
    </row>
    <row r="6122" spans="1:10" x14ac:dyDescent="0.3">
      <c r="A6122" t="s">
        <v>12016</v>
      </c>
      <c r="B6122" t="s">
        <v>333</v>
      </c>
      <c r="F6122" t="s">
        <v>333</v>
      </c>
    </row>
    <row r="6123" spans="1:10" x14ac:dyDescent="0.3">
      <c r="A6123" t="s">
        <v>12017</v>
      </c>
      <c r="B6123" t="s">
        <v>3216</v>
      </c>
      <c r="D6123">
        <v>0.75</v>
      </c>
      <c r="E6123" t="s">
        <v>23</v>
      </c>
      <c r="F6123" t="s">
        <v>793</v>
      </c>
      <c r="H6123" t="s">
        <v>68</v>
      </c>
    </row>
    <row r="6124" spans="1:10" x14ac:dyDescent="0.3">
      <c r="A6124" t="s">
        <v>2486</v>
      </c>
      <c r="B6124" t="s">
        <v>12018</v>
      </c>
      <c r="F6124" t="s">
        <v>2078</v>
      </c>
      <c r="G6124" t="s">
        <v>12019</v>
      </c>
      <c r="J6124" t="s">
        <v>12020</v>
      </c>
    </row>
    <row r="6125" spans="1:10" x14ac:dyDescent="0.3">
      <c r="A6125" t="s">
        <v>12021</v>
      </c>
      <c r="B6125" t="s">
        <v>10755</v>
      </c>
      <c r="D6125">
        <v>1</v>
      </c>
      <c r="E6125" t="s">
        <v>10199</v>
      </c>
      <c r="F6125" t="s">
        <v>1816</v>
      </c>
    </row>
    <row r="6126" spans="1:10" x14ac:dyDescent="0.3">
      <c r="A6126" t="s">
        <v>12022</v>
      </c>
      <c r="B6126" t="s">
        <v>12023</v>
      </c>
      <c r="D6126">
        <v>1.5</v>
      </c>
      <c r="E6126" t="s">
        <v>345</v>
      </c>
      <c r="F6126" t="s">
        <v>12024</v>
      </c>
      <c r="J6126" t="s">
        <v>12025</v>
      </c>
    </row>
    <row r="6127" spans="1:10" x14ac:dyDescent="0.3">
      <c r="A6127" t="s">
        <v>6096</v>
      </c>
      <c r="B6127" t="s">
        <v>12026</v>
      </c>
      <c r="D6127">
        <v>12</v>
      </c>
      <c r="E6127" t="s">
        <v>345</v>
      </c>
      <c r="F6127" t="s">
        <v>12027</v>
      </c>
      <c r="G6127" t="s">
        <v>1813</v>
      </c>
      <c r="J6127" t="s">
        <v>12028</v>
      </c>
    </row>
    <row r="6128" spans="1:10" x14ac:dyDescent="0.3">
      <c r="A6128" t="s">
        <v>12029</v>
      </c>
      <c r="B6128" t="s">
        <v>12030</v>
      </c>
      <c r="D6128">
        <v>2</v>
      </c>
      <c r="E6128" t="s">
        <v>23</v>
      </c>
      <c r="F6128" t="s">
        <v>1889</v>
      </c>
    </row>
    <row r="6129" spans="1:10" x14ac:dyDescent="0.3">
      <c r="A6129" t="s">
        <v>12031</v>
      </c>
      <c r="B6129" t="s">
        <v>12032</v>
      </c>
      <c r="D6129" t="s">
        <v>9628</v>
      </c>
      <c r="E6129" t="s">
        <v>23</v>
      </c>
      <c r="F6129" t="s">
        <v>2602</v>
      </c>
      <c r="J6129" t="s">
        <v>1177</v>
      </c>
    </row>
    <row r="6130" spans="1:10" x14ac:dyDescent="0.3">
      <c r="A6130" t="s">
        <v>12033</v>
      </c>
      <c r="B6130" t="s">
        <v>6019</v>
      </c>
      <c r="F6130" t="s">
        <v>413</v>
      </c>
      <c r="G6130" t="s">
        <v>1571</v>
      </c>
    </row>
    <row r="6131" spans="1:10" x14ac:dyDescent="0.3">
      <c r="A6131" t="s">
        <v>12034</v>
      </c>
      <c r="B6131" t="s">
        <v>3298</v>
      </c>
      <c r="E6131" t="s">
        <v>2689</v>
      </c>
      <c r="F6131" t="s">
        <v>3299</v>
      </c>
      <c r="J6131" t="s">
        <v>164</v>
      </c>
    </row>
    <row r="6132" spans="1:10" x14ac:dyDescent="0.3">
      <c r="A6132" t="s">
        <v>12035</v>
      </c>
      <c r="B6132" t="s">
        <v>12036</v>
      </c>
      <c r="D6132">
        <v>1</v>
      </c>
      <c r="E6132" t="s">
        <v>2210</v>
      </c>
      <c r="F6132" t="s">
        <v>8029</v>
      </c>
      <c r="J6132" t="s">
        <v>289</v>
      </c>
    </row>
    <row r="6133" spans="1:10" x14ac:dyDescent="0.3">
      <c r="A6133" t="s">
        <v>12037</v>
      </c>
      <c r="B6133" t="s">
        <v>12038</v>
      </c>
      <c r="D6133">
        <v>1</v>
      </c>
      <c r="F6133" t="s">
        <v>5248</v>
      </c>
      <c r="G6133" t="s">
        <v>3348</v>
      </c>
      <c r="J6133" t="s">
        <v>325</v>
      </c>
    </row>
    <row r="6134" spans="1:10" x14ac:dyDescent="0.3">
      <c r="A6134" t="s">
        <v>12039</v>
      </c>
      <c r="B6134" t="s">
        <v>3018</v>
      </c>
      <c r="D6134">
        <v>2</v>
      </c>
      <c r="E6134" t="s">
        <v>189</v>
      </c>
      <c r="F6134" t="s">
        <v>12040</v>
      </c>
    </row>
    <row r="6135" spans="1:10" x14ac:dyDescent="0.3">
      <c r="A6135" t="s">
        <v>12041</v>
      </c>
      <c r="B6135" t="s">
        <v>12042</v>
      </c>
      <c r="D6135">
        <v>1.5</v>
      </c>
      <c r="E6135" t="s">
        <v>23</v>
      </c>
      <c r="F6135" t="s">
        <v>7403</v>
      </c>
    </row>
    <row r="6136" spans="1:10" x14ac:dyDescent="0.3">
      <c r="A6136" t="s">
        <v>6448</v>
      </c>
      <c r="B6136" t="s">
        <v>12043</v>
      </c>
      <c r="D6136">
        <v>8</v>
      </c>
      <c r="E6136" t="s">
        <v>91</v>
      </c>
      <c r="F6136" t="s">
        <v>12044</v>
      </c>
    </row>
    <row r="6137" spans="1:10" x14ac:dyDescent="0.3">
      <c r="A6137" t="s">
        <v>12045</v>
      </c>
      <c r="B6137" t="s">
        <v>12046</v>
      </c>
      <c r="D6137">
        <v>3</v>
      </c>
      <c r="E6137" t="s">
        <v>1338</v>
      </c>
      <c r="F6137" t="s">
        <v>190</v>
      </c>
      <c r="J6137" t="s">
        <v>289</v>
      </c>
    </row>
    <row r="6138" spans="1:10" x14ac:dyDescent="0.3">
      <c r="A6138" t="s">
        <v>12047</v>
      </c>
      <c r="B6138" t="s">
        <v>12048</v>
      </c>
      <c r="D6138">
        <v>3</v>
      </c>
      <c r="F6138" t="s">
        <v>12049</v>
      </c>
    </row>
    <row r="6139" spans="1:10" x14ac:dyDescent="0.3">
      <c r="A6139" t="s">
        <v>12050</v>
      </c>
      <c r="B6139" t="s">
        <v>12051</v>
      </c>
      <c r="D6139">
        <v>2</v>
      </c>
      <c r="E6139" t="s">
        <v>146</v>
      </c>
      <c r="F6139" t="s">
        <v>728</v>
      </c>
      <c r="J6139" t="s">
        <v>3025</v>
      </c>
    </row>
    <row r="6140" spans="1:10" x14ac:dyDescent="0.3">
      <c r="A6140" t="s">
        <v>5122</v>
      </c>
      <c r="B6140" t="s">
        <v>12052</v>
      </c>
      <c r="D6140">
        <v>0.75</v>
      </c>
      <c r="E6140" t="s">
        <v>23</v>
      </c>
      <c r="F6140" t="s">
        <v>638</v>
      </c>
    </row>
    <row r="6141" spans="1:10" x14ac:dyDescent="0.3">
      <c r="A6141" t="s">
        <v>12053</v>
      </c>
      <c r="B6141" t="s">
        <v>388</v>
      </c>
      <c r="D6141">
        <v>0.5</v>
      </c>
      <c r="E6141" t="s">
        <v>23</v>
      </c>
      <c r="F6141" t="s">
        <v>331</v>
      </c>
    </row>
    <row r="6142" spans="1:10" x14ac:dyDescent="0.3">
      <c r="A6142" t="s">
        <v>12054</v>
      </c>
      <c r="B6142" t="s">
        <v>3703</v>
      </c>
      <c r="D6142">
        <v>0.5</v>
      </c>
      <c r="E6142" t="s">
        <v>23</v>
      </c>
      <c r="F6142" t="s">
        <v>12055</v>
      </c>
    </row>
    <row r="6143" spans="1:10" x14ac:dyDescent="0.3">
      <c r="A6143" t="s">
        <v>5516</v>
      </c>
      <c r="B6143" t="s">
        <v>12056</v>
      </c>
      <c r="D6143">
        <v>0.5</v>
      </c>
      <c r="E6143" t="s">
        <v>23</v>
      </c>
      <c r="F6143" t="s">
        <v>12057</v>
      </c>
    </row>
    <row r="6144" spans="1:10" x14ac:dyDescent="0.3">
      <c r="A6144" t="s">
        <v>788</v>
      </c>
      <c r="B6144" t="s">
        <v>12058</v>
      </c>
      <c r="D6144">
        <v>1</v>
      </c>
      <c r="E6144" t="s">
        <v>23</v>
      </c>
      <c r="F6144" t="s">
        <v>12059</v>
      </c>
    </row>
    <row r="6145" spans="1:10" x14ac:dyDescent="0.3">
      <c r="A6145" t="s">
        <v>9538</v>
      </c>
      <c r="B6145" t="s">
        <v>12060</v>
      </c>
      <c r="D6145">
        <v>0.75</v>
      </c>
      <c r="E6145" t="s">
        <v>37</v>
      </c>
      <c r="F6145" t="s">
        <v>12061</v>
      </c>
    </row>
    <row r="6146" spans="1:10" x14ac:dyDescent="0.3">
      <c r="A6146" t="s">
        <v>4730</v>
      </c>
      <c r="B6146" t="s">
        <v>1056</v>
      </c>
      <c r="F6146" t="s">
        <v>1056</v>
      </c>
    </row>
    <row r="6147" spans="1:10" x14ac:dyDescent="0.3">
      <c r="A6147" t="s">
        <v>12062</v>
      </c>
      <c r="B6147" t="s">
        <v>12063</v>
      </c>
      <c r="D6147">
        <v>1.5</v>
      </c>
      <c r="E6147" t="s">
        <v>345</v>
      </c>
      <c r="F6147" t="s">
        <v>12064</v>
      </c>
    </row>
    <row r="6148" spans="1:10" x14ac:dyDescent="0.3">
      <c r="A6148" t="s">
        <v>7979</v>
      </c>
      <c r="B6148" t="s">
        <v>12065</v>
      </c>
      <c r="D6148">
        <v>12</v>
      </c>
      <c r="E6148" t="s">
        <v>23</v>
      </c>
      <c r="F6148" t="s">
        <v>262</v>
      </c>
      <c r="G6148" t="s">
        <v>1813</v>
      </c>
    </row>
    <row r="6149" spans="1:10" x14ac:dyDescent="0.3">
      <c r="A6149" t="s">
        <v>12066</v>
      </c>
      <c r="B6149" t="s">
        <v>12067</v>
      </c>
      <c r="D6149">
        <v>8</v>
      </c>
      <c r="E6149" t="s">
        <v>23</v>
      </c>
      <c r="F6149" t="s">
        <v>12068</v>
      </c>
    </row>
    <row r="6150" spans="1:10" x14ac:dyDescent="0.3">
      <c r="A6150" t="s">
        <v>12069</v>
      </c>
      <c r="B6150" t="s">
        <v>2362</v>
      </c>
      <c r="D6150">
        <v>1.5</v>
      </c>
      <c r="E6150" t="s">
        <v>23</v>
      </c>
      <c r="F6150" t="s">
        <v>1003</v>
      </c>
    </row>
    <row r="6151" spans="1:10" x14ac:dyDescent="0.3">
      <c r="A6151" t="s">
        <v>5768</v>
      </c>
      <c r="B6151" t="s">
        <v>1055</v>
      </c>
      <c r="D6151">
        <v>1</v>
      </c>
      <c r="E6151" t="s">
        <v>585</v>
      </c>
      <c r="F6151" t="s">
        <v>1056</v>
      </c>
      <c r="J6151" t="s">
        <v>12070</v>
      </c>
    </row>
    <row r="6152" spans="1:10" x14ac:dyDescent="0.3">
      <c r="A6152" t="s">
        <v>4332</v>
      </c>
      <c r="B6152" t="s">
        <v>12071</v>
      </c>
      <c r="D6152">
        <v>1</v>
      </c>
      <c r="E6152" t="s">
        <v>23</v>
      </c>
      <c r="F6152" t="s">
        <v>2115</v>
      </c>
      <c r="J6152" t="s">
        <v>289</v>
      </c>
    </row>
    <row r="6153" spans="1:10" x14ac:dyDescent="0.3">
      <c r="A6153" t="s">
        <v>8930</v>
      </c>
      <c r="B6153" t="s">
        <v>9230</v>
      </c>
      <c r="D6153">
        <v>2</v>
      </c>
      <c r="E6153" t="s">
        <v>23</v>
      </c>
      <c r="F6153" t="s">
        <v>241</v>
      </c>
    </row>
    <row r="6154" spans="1:10" x14ac:dyDescent="0.3">
      <c r="A6154" t="s">
        <v>5533</v>
      </c>
      <c r="B6154" t="s">
        <v>12072</v>
      </c>
      <c r="D6154">
        <v>1</v>
      </c>
      <c r="E6154" t="s">
        <v>151</v>
      </c>
      <c r="F6154" t="s">
        <v>518</v>
      </c>
    </row>
    <row r="6155" spans="1:10" x14ac:dyDescent="0.3">
      <c r="A6155" t="s">
        <v>12073</v>
      </c>
      <c r="B6155" t="s">
        <v>12074</v>
      </c>
      <c r="E6155" t="s">
        <v>12075</v>
      </c>
      <c r="F6155" t="s">
        <v>12076</v>
      </c>
      <c r="J6155" t="s">
        <v>12077</v>
      </c>
    </row>
    <row r="6156" spans="1:10" x14ac:dyDescent="0.3">
      <c r="A6156" t="s">
        <v>12078</v>
      </c>
      <c r="B6156" t="s">
        <v>104</v>
      </c>
      <c r="D6156">
        <v>1</v>
      </c>
      <c r="F6156" t="s">
        <v>105</v>
      </c>
    </row>
    <row r="6157" spans="1:10" x14ac:dyDescent="0.3">
      <c r="A6157" t="s">
        <v>12079</v>
      </c>
      <c r="B6157" t="s">
        <v>12080</v>
      </c>
      <c r="D6157">
        <v>1.5</v>
      </c>
      <c r="E6157" t="s">
        <v>23</v>
      </c>
      <c r="F6157" t="s">
        <v>6988</v>
      </c>
    </row>
    <row r="6158" spans="1:10" x14ac:dyDescent="0.3">
      <c r="A6158" t="s">
        <v>12081</v>
      </c>
      <c r="B6158" t="s">
        <v>6980</v>
      </c>
      <c r="D6158">
        <v>0.25</v>
      </c>
      <c r="E6158" t="s">
        <v>23</v>
      </c>
      <c r="F6158" t="s">
        <v>183</v>
      </c>
    </row>
    <row r="6159" spans="1:10" x14ac:dyDescent="0.3">
      <c r="A6159" t="s">
        <v>5319</v>
      </c>
      <c r="B6159" t="s">
        <v>12082</v>
      </c>
      <c r="D6159">
        <v>10.5</v>
      </c>
      <c r="E6159" t="s">
        <v>91</v>
      </c>
      <c r="F6159" t="s">
        <v>6371</v>
      </c>
    </row>
    <row r="6160" spans="1:10" x14ac:dyDescent="0.3">
      <c r="A6160" t="s">
        <v>8723</v>
      </c>
      <c r="B6160" t="s">
        <v>12083</v>
      </c>
      <c r="D6160">
        <v>125</v>
      </c>
      <c r="E6160" t="s">
        <v>29</v>
      </c>
      <c r="F6160" t="s">
        <v>12084</v>
      </c>
    </row>
    <row r="6161" spans="1:10" x14ac:dyDescent="0.3">
      <c r="A6161" t="s">
        <v>12085</v>
      </c>
      <c r="B6161" t="s">
        <v>9434</v>
      </c>
      <c r="F6161" t="s">
        <v>9434</v>
      </c>
    </row>
    <row r="6162" spans="1:10" x14ac:dyDescent="0.3">
      <c r="A6162" t="s">
        <v>12086</v>
      </c>
      <c r="B6162" t="s">
        <v>12087</v>
      </c>
      <c r="D6162">
        <v>1.25</v>
      </c>
      <c r="E6162" t="s">
        <v>23</v>
      </c>
      <c r="F6162" t="s">
        <v>365</v>
      </c>
    </row>
    <row r="6163" spans="1:10" x14ac:dyDescent="0.3">
      <c r="A6163" t="s">
        <v>11801</v>
      </c>
      <c r="B6163" t="s">
        <v>12088</v>
      </c>
      <c r="D6163">
        <v>4</v>
      </c>
      <c r="E6163" t="s">
        <v>23</v>
      </c>
      <c r="F6163" t="s">
        <v>292</v>
      </c>
    </row>
    <row r="6164" spans="1:10" x14ac:dyDescent="0.3">
      <c r="A6164" t="s">
        <v>5733</v>
      </c>
      <c r="B6164" t="s">
        <v>12089</v>
      </c>
      <c r="D6164">
        <v>0.75</v>
      </c>
      <c r="E6164" t="s">
        <v>11</v>
      </c>
      <c r="F6164" t="s">
        <v>12090</v>
      </c>
      <c r="J6164" t="s">
        <v>11919</v>
      </c>
    </row>
    <row r="6165" spans="1:10" x14ac:dyDescent="0.3">
      <c r="A6165" t="s">
        <v>12091</v>
      </c>
      <c r="B6165" t="s">
        <v>1118</v>
      </c>
      <c r="D6165">
        <v>1</v>
      </c>
      <c r="E6165" t="s">
        <v>23</v>
      </c>
      <c r="F6165" t="s">
        <v>281</v>
      </c>
    </row>
    <row r="6166" spans="1:10" x14ac:dyDescent="0.3">
      <c r="A6166" t="s">
        <v>9819</v>
      </c>
      <c r="B6166" t="s">
        <v>12092</v>
      </c>
      <c r="D6166">
        <v>4</v>
      </c>
      <c r="E6166" t="s">
        <v>91</v>
      </c>
      <c r="F6166" t="s">
        <v>12093</v>
      </c>
    </row>
    <row r="6167" spans="1:10" x14ac:dyDescent="0.3">
      <c r="A6167" t="s">
        <v>12094</v>
      </c>
      <c r="B6167" t="s">
        <v>12095</v>
      </c>
      <c r="D6167">
        <v>20</v>
      </c>
      <c r="E6167" t="s">
        <v>29</v>
      </c>
      <c r="F6167" t="s">
        <v>12096</v>
      </c>
    </row>
    <row r="6168" spans="1:10" x14ac:dyDescent="0.3">
      <c r="A6168" t="s">
        <v>12097</v>
      </c>
      <c r="B6168" t="s">
        <v>5712</v>
      </c>
      <c r="D6168">
        <v>0.5</v>
      </c>
      <c r="E6168" t="s">
        <v>23</v>
      </c>
      <c r="F6168" t="s">
        <v>88</v>
      </c>
    </row>
    <row r="6169" spans="1:10" x14ac:dyDescent="0.3">
      <c r="A6169" t="s">
        <v>7072</v>
      </c>
      <c r="B6169" t="s">
        <v>12098</v>
      </c>
      <c r="F6169" t="s">
        <v>12099</v>
      </c>
      <c r="G6169" t="s">
        <v>6867</v>
      </c>
      <c r="J6169" t="s">
        <v>12100</v>
      </c>
    </row>
    <row r="6170" spans="1:10" x14ac:dyDescent="0.3">
      <c r="A6170" t="s">
        <v>2921</v>
      </c>
      <c r="B6170" t="s">
        <v>11447</v>
      </c>
      <c r="D6170">
        <v>1</v>
      </c>
      <c r="E6170" t="s">
        <v>270</v>
      </c>
      <c r="F6170" t="s">
        <v>38</v>
      </c>
    </row>
    <row r="6171" spans="1:10" x14ac:dyDescent="0.3">
      <c r="A6171" t="s">
        <v>2156</v>
      </c>
      <c r="B6171" t="s">
        <v>12101</v>
      </c>
      <c r="D6171">
        <v>3</v>
      </c>
      <c r="E6171" t="s">
        <v>227</v>
      </c>
      <c r="F6171" t="s">
        <v>2763</v>
      </c>
    </row>
    <row r="6172" spans="1:10" x14ac:dyDescent="0.3">
      <c r="A6172" t="s">
        <v>11185</v>
      </c>
      <c r="B6172" t="s">
        <v>12102</v>
      </c>
      <c r="D6172">
        <v>1</v>
      </c>
      <c r="F6172" t="s">
        <v>10901</v>
      </c>
      <c r="J6172" t="s">
        <v>248</v>
      </c>
    </row>
    <row r="6173" spans="1:10" x14ac:dyDescent="0.3">
      <c r="A6173" t="s">
        <v>12103</v>
      </c>
      <c r="B6173" t="s">
        <v>163</v>
      </c>
      <c r="F6173" t="s">
        <v>163</v>
      </c>
    </row>
    <row r="6174" spans="1:10" x14ac:dyDescent="0.3">
      <c r="A6174" t="s">
        <v>12104</v>
      </c>
      <c r="B6174" t="s">
        <v>64</v>
      </c>
      <c r="F6174" t="s">
        <v>64</v>
      </c>
    </row>
    <row r="6175" spans="1:10" x14ac:dyDescent="0.3">
      <c r="A6175" t="s">
        <v>12105</v>
      </c>
      <c r="B6175" t="s">
        <v>12106</v>
      </c>
      <c r="D6175">
        <v>0.5</v>
      </c>
      <c r="F6175" t="s">
        <v>105</v>
      </c>
      <c r="H6175" t="s">
        <v>814</v>
      </c>
    </row>
    <row r="6176" spans="1:10" x14ac:dyDescent="0.3">
      <c r="A6176" t="s">
        <v>12107</v>
      </c>
      <c r="B6176" t="s">
        <v>12108</v>
      </c>
      <c r="D6176">
        <v>0.5</v>
      </c>
      <c r="E6176" t="s">
        <v>37</v>
      </c>
      <c r="F6176" t="s">
        <v>3269</v>
      </c>
      <c r="J6176" t="s">
        <v>12109</v>
      </c>
    </row>
    <row r="6177" spans="1:10" x14ac:dyDescent="0.3">
      <c r="A6177" t="s">
        <v>12110</v>
      </c>
      <c r="B6177" t="s">
        <v>12111</v>
      </c>
      <c r="D6177">
        <v>15</v>
      </c>
      <c r="E6177" t="s">
        <v>29</v>
      </c>
      <c r="F6177" t="s">
        <v>12112</v>
      </c>
    </row>
    <row r="6178" spans="1:10" x14ac:dyDescent="0.3">
      <c r="A6178" t="s">
        <v>12113</v>
      </c>
      <c r="B6178" t="s">
        <v>12114</v>
      </c>
      <c r="D6178">
        <v>0.5</v>
      </c>
      <c r="E6178" t="s">
        <v>23</v>
      </c>
      <c r="F6178" t="s">
        <v>966</v>
      </c>
    </row>
    <row r="6179" spans="1:10" x14ac:dyDescent="0.3">
      <c r="A6179" t="s">
        <v>12115</v>
      </c>
      <c r="B6179" t="s">
        <v>233</v>
      </c>
      <c r="F6179" t="s">
        <v>233</v>
      </c>
    </row>
    <row r="6180" spans="1:10" x14ac:dyDescent="0.3">
      <c r="A6180" t="s">
        <v>12116</v>
      </c>
      <c r="B6180" t="s">
        <v>12117</v>
      </c>
      <c r="D6180">
        <v>2</v>
      </c>
      <c r="E6180" t="s">
        <v>23</v>
      </c>
      <c r="F6180" t="s">
        <v>12118</v>
      </c>
    </row>
    <row r="6181" spans="1:10" x14ac:dyDescent="0.3">
      <c r="A6181" t="s">
        <v>12119</v>
      </c>
      <c r="B6181" t="s">
        <v>3853</v>
      </c>
      <c r="D6181">
        <v>5</v>
      </c>
      <c r="E6181" t="s">
        <v>23</v>
      </c>
      <c r="F6181" t="s">
        <v>738</v>
      </c>
    </row>
    <row r="6182" spans="1:10" x14ac:dyDescent="0.3">
      <c r="A6182" t="s">
        <v>7640</v>
      </c>
      <c r="B6182" t="s">
        <v>12120</v>
      </c>
      <c r="D6182">
        <v>3</v>
      </c>
      <c r="E6182" t="s">
        <v>189</v>
      </c>
      <c r="F6182" t="s">
        <v>12121</v>
      </c>
      <c r="J6182" t="s">
        <v>654</v>
      </c>
    </row>
    <row r="6183" spans="1:10" x14ac:dyDescent="0.3">
      <c r="A6183" t="s">
        <v>3074</v>
      </c>
      <c r="B6183" t="s">
        <v>12122</v>
      </c>
      <c r="E6183" t="s">
        <v>236</v>
      </c>
      <c r="F6183" t="s">
        <v>1056</v>
      </c>
      <c r="J6183" t="s">
        <v>164</v>
      </c>
    </row>
    <row r="6184" spans="1:10" x14ac:dyDescent="0.3">
      <c r="A6184" t="s">
        <v>12123</v>
      </c>
      <c r="B6184" t="s">
        <v>6883</v>
      </c>
      <c r="D6184">
        <v>2</v>
      </c>
      <c r="E6184" t="s">
        <v>23</v>
      </c>
      <c r="F6184" t="s">
        <v>233</v>
      </c>
    </row>
    <row r="6185" spans="1:10" x14ac:dyDescent="0.3">
      <c r="A6185" t="s">
        <v>12124</v>
      </c>
      <c r="B6185" t="s">
        <v>12125</v>
      </c>
      <c r="D6185">
        <v>1</v>
      </c>
      <c r="E6185" t="s">
        <v>23</v>
      </c>
      <c r="F6185" t="s">
        <v>12126</v>
      </c>
    </row>
    <row r="6186" spans="1:10" x14ac:dyDescent="0.3">
      <c r="A6186" t="s">
        <v>5792</v>
      </c>
      <c r="B6186" t="s">
        <v>1002</v>
      </c>
      <c r="D6186">
        <v>2</v>
      </c>
      <c r="E6186" t="s">
        <v>23</v>
      </c>
      <c r="F6186" t="s">
        <v>1003</v>
      </c>
    </row>
    <row r="6187" spans="1:10" x14ac:dyDescent="0.3">
      <c r="A6187" t="s">
        <v>8943</v>
      </c>
      <c r="B6187" t="s">
        <v>12127</v>
      </c>
      <c r="D6187">
        <v>25</v>
      </c>
      <c r="E6187" t="s">
        <v>29</v>
      </c>
      <c r="F6187" t="s">
        <v>3511</v>
      </c>
    </row>
    <row r="6188" spans="1:10" x14ac:dyDescent="0.3">
      <c r="A6188" t="s">
        <v>12128</v>
      </c>
      <c r="B6188" t="s">
        <v>12129</v>
      </c>
      <c r="J6188" t="s">
        <v>12129</v>
      </c>
    </row>
    <row r="6189" spans="1:10" x14ac:dyDescent="0.3">
      <c r="A6189" t="s">
        <v>12130</v>
      </c>
      <c r="B6189" t="s">
        <v>12131</v>
      </c>
      <c r="D6189">
        <v>2</v>
      </c>
      <c r="E6189" t="s">
        <v>23</v>
      </c>
      <c r="F6189" t="s">
        <v>3442</v>
      </c>
    </row>
    <row r="6190" spans="1:10" x14ac:dyDescent="0.3">
      <c r="A6190" t="s">
        <v>12132</v>
      </c>
      <c r="B6190" t="s">
        <v>12133</v>
      </c>
      <c r="D6190">
        <v>50</v>
      </c>
      <c r="E6190" t="s">
        <v>29</v>
      </c>
      <c r="F6190" t="s">
        <v>6276</v>
      </c>
    </row>
    <row r="6191" spans="1:10" x14ac:dyDescent="0.3">
      <c r="A6191" t="s">
        <v>9787</v>
      </c>
      <c r="B6191" t="s">
        <v>12134</v>
      </c>
      <c r="D6191">
        <v>25</v>
      </c>
      <c r="E6191" t="s">
        <v>29</v>
      </c>
      <c r="F6191" t="s">
        <v>4306</v>
      </c>
    </row>
    <row r="6192" spans="1:10" x14ac:dyDescent="0.3">
      <c r="A6192" t="s">
        <v>12135</v>
      </c>
      <c r="B6192" t="s">
        <v>12136</v>
      </c>
      <c r="D6192">
        <v>1</v>
      </c>
      <c r="E6192" t="s">
        <v>469</v>
      </c>
      <c r="F6192" t="s">
        <v>12137</v>
      </c>
    </row>
    <row r="6193" spans="1:10" x14ac:dyDescent="0.3">
      <c r="A6193" t="s">
        <v>12138</v>
      </c>
      <c r="B6193" t="s">
        <v>12139</v>
      </c>
      <c r="D6193">
        <v>50</v>
      </c>
      <c r="E6193" t="s">
        <v>29</v>
      </c>
      <c r="F6193" t="s">
        <v>12140</v>
      </c>
    </row>
    <row r="6194" spans="1:10" x14ac:dyDescent="0.3">
      <c r="A6194" t="s">
        <v>3100</v>
      </c>
      <c r="B6194" t="s">
        <v>2895</v>
      </c>
      <c r="D6194">
        <v>1</v>
      </c>
      <c r="E6194" t="s">
        <v>2689</v>
      </c>
      <c r="F6194" t="s">
        <v>2896</v>
      </c>
    </row>
    <row r="6195" spans="1:10" x14ac:dyDescent="0.3">
      <c r="A6195" t="s">
        <v>12141</v>
      </c>
      <c r="B6195" t="s">
        <v>94</v>
      </c>
      <c r="D6195">
        <v>1</v>
      </c>
      <c r="E6195" t="s">
        <v>23</v>
      </c>
      <c r="F6195" t="s">
        <v>95</v>
      </c>
    </row>
    <row r="6196" spans="1:10" x14ac:dyDescent="0.3">
      <c r="A6196" t="s">
        <v>2064</v>
      </c>
      <c r="B6196" t="s">
        <v>12142</v>
      </c>
      <c r="D6196">
        <v>1.5</v>
      </c>
      <c r="E6196" t="s">
        <v>23</v>
      </c>
      <c r="F6196" t="s">
        <v>758</v>
      </c>
    </row>
    <row r="6197" spans="1:10" x14ac:dyDescent="0.3">
      <c r="A6197" t="s">
        <v>11842</v>
      </c>
      <c r="B6197" t="s">
        <v>3129</v>
      </c>
      <c r="D6197">
        <v>30</v>
      </c>
      <c r="E6197" t="s">
        <v>29</v>
      </c>
      <c r="F6197" t="s">
        <v>3904</v>
      </c>
    </row>
    <row r="6198" spans="1:10" x14ac:dyDescent="0.3">
      <c r="A6198" t="s">
        <v>6419</v>
      </c>
      <c r="B6198" t="s">
        <v>775</v>
      </c>
      <c r="D6198">
        <v>1</v>
      </c>
      <c r="F6198" t="s">
        <v>776</v>
      </c>
    </row>
    <row r="6199" spans="1:10" x14ac:dyDescent="0.3">
      <c r="A6199" t="s">
        <v>12143</v>
      </c>
      <c r="B6199" t="s">
        <v>12144</v>
      </c>
      <c r="D6199">
        <v>0.5</v>
      </c>
      <c r="E6199" t="s">
        <v>206</v>
      </c>
      <c r="F6199" t="s">
        <v>2410</v>
      </c>
    </row>
    <row r="6200" spans="1:10" x14ac:dyDescent="0.3">
      <c r="A6200" t="s">
        <v>12145</v>
      </c>
      <c r="B6200" t="s">
        <v>12146</v>
      </c>
      <c r="D6200">
        <v>1</v>
      </c>
      <c r="E6200" t="s">
        <v>460</v>
      </c>
      <c r="F6200" t="s">
        <v>500</v>
      </c>
    </row>
    <row r="6201" spans="1:10" x14ac:dyDescent="0.3">
      <c r="A6201" t="s">
        <v>12147</v>
      </c>
      <c r="B6201" t="s">
        <v>12148</v>
      </c>
      <c r="D6201">
        <v>2</v>
      </c>
      <c r="E6201" t="s">
        <v>345</v>
      </c>
      <c r="F6201" t="s">
        <v>728</v>
      </c>
    </row>
    <row r="6202" spans="1:10" x14ac:dyDescent="0.3">
      <c r="A6202" t="s">
        <v>4976</v>
      </c>
      <c r="B6202" t="s">
        <v>12149</v>
      </c>
      <c r="D6202">
        <v>1</v>
      </c>
      <c r="E6202" t="s">
        <v>23</v>
      </c>
      <c r="F6202" t="s">
        <v>7327</v>
      </c>
    </row>
    <row r="6203" spans="1:10" x14ac:dyDescent="0.3">
      <c r="A6203" t="s">
        <v>7331</v>
      </c>
      <c r="B6203" t="s">
        <v>12150</v>
      </c>
      <c r="D6203">
        <v>50</v>
      </c>
      <c r="E6203" t="s">
        <v>29</v>
      </c>
      <c r="F6203" t="s">
        <v>12151</v>
      </c>
    </row>
    <row r="6204" spans="1:10" x14ac:dyDescent="0.3">
      <c r="A6204" t="s">
        <v>7325</v>
      </c>
      <c r="B6204" t="s">
        <v>1179</v>
      </c>
      <c r="D6204">
        <v>1</v>
      </c>
      <c r="E6204" t="s">
        <v>23</v>
      </c>
      <c r="F6204" t="s">
        <v>233</v>
      </c>
    </row>
    <row r="6205" spans="1:10" x14ac:dyDescent="0.3">
      <c r="A6205" t="s">
        <v>10819</v>
      </c>
      <c r="B6205" t="s">
        <v>10699</v>
      </c>
      <c r="D6205">
        <v>2</v>
      </c>
      <c r="E6205" t="s">
        <v>189</v>
      </c>
      <c r="F6205" t="s">
        <v>6765</v>
      </c>
    </row>
    <row r="6206" spans="1:10" x14ac:dyDescent="0.3">
      <c r="A6206" t="s">
        <v>12152</v>
      </c>
      <c r="B6206" t="s">
        <v>12153</v>
      </c>
      <c r="D6206">
        <v>1</v>
      </c>
      <c r="E6206" t="s">
        <v>91</v>
      </c>
      <c r="F6206" t="s">
        <v>12154</v>
      </c>
    </row>
    <row r="6207" spans="1:10" x14ac:dyDescent="0.3">
      <c r="A6207" t="s">
        <v>12155</v>
      </c>
      <c r="B6207" t="s">
        <v>12156</v>
      </c>
      <c r="F6207" t="s">
        <v>12156</v>
      </c>
    </row>
    <row r="6208" spans="1:10" x14ac:dyDescent="0.3">
      <c r="A6208" t="s">
        <v>12157</v>
      </c>
      <c r="B6208" t="s">
        <v>8221</v>
      </c>
      <c r="D6208">
        <v>1</v>
      </c>
      <c r="F6208" t="s">
        <v>152</v>
      </c>
      <c r="G6208" t="s">
        <v>12158</v>
      </c>
      <c r="J6208" t="s">
        <v>248</v>
      </c>
    </row>
    <row r="6209" spans="1:10" x14ac:dyDescent="0.3">
      <c r="A6209" t="s">
        <v>12159</v>
      </c>
      <c r="B6209" t="s">
        <v>12160</v>
      </c>
      <c r="D6209">
        <v>0.12</v>
      </c>
      <c r="E6209" t="s">
        <v>227</v>
      </c>
      <c r="F6209" t="s">
        <v>2078</v>
      </c>
    </row>
    <row r="6210" spans="1:10" x14ac:dyDescent="0.3">
      <c r="A6210" t="s">
        <v>12161</v>
      </c>
      <c r="B6210" t="s">
        <v>3279</v>
      </c>
      <c r="D6210">
        <v>2</v>
      </c>
      <c r="E6210" t="s">
        <v>60</v>
      </c>
      <c r="F6210" t="s">
        <v>61</v>
      </c>
    </row>
    <row r="6211" spans="1:10" x14ac:dyDescent="0.3">
      <c r="A6211" t="s">
        <v>12162</v>
      </c>
      <c r="B6211" t="s">
        <v>6153</v>
      </c>
      <c r="D6211">
        <v>3</v>
      </c>
      <c r="E6211" t="s">
        <v>23</v>
      </c>
      <c r="F6211" t="s">
        <v>102</v>
      </c>
    </row>
    <row r="6212" spans="1:10" x14ac:dyDescent="0.3">
      <c r="A6212" t="s">
        <v>2738</v>
      </c>
      <c r="B6212" t="s">
        <v>12163</v>
      </c>
      <c r="D6212">
        <v>25</v>
      </c>
      <c r="E6212" t="s">
        <v>29</v>
      </c>
      <c r="F6212" t="s">
        <v>10165</v>
      </c>
    </row>
    <row r="6213" spans="1:10" x14ac:dyDescent="0.3">
      <c r="A6213" t="s">
        <v>9764</v>
      </c>
      <c r="B6213" t="s">
        <v>12164</v>
      </c>
      <c r="D6213">
        <v>15</v>
      </c>
      <c r="E6213" t="s">
        <v>29</v>
      </c>
      <c r="F6213" t="s">
        <v>199</v>
      </c>
    </row>
    <row r="6214" spans="1:10" x14ac:dyDescent="0.3">
      <c r="A6214" t="s">
        <v>12165</v>
      </c>
      <c r="B6214" t="s">
        <v>11303</v>
      </c>
      <c r="D6214">
        <v>0.5</v>
      </c>
      <c r="E6214" t="s">
        <v>23</v>
      </c>
      <c r="F6214" t="s">
        <v>1003</v>
      </c>
    </row>
    <row r="6215" spans="1:10" x14ac:dyDescent="0.3">
      <c r="A6215" t="s">
        <v>12166</v>
      </c>
      <c r="B6215" t="s">
        <v>152</v>
      </c>
      <c r="F6215" t="s">
        <v>152</v>
      </c>
    </row>
    <row r="6216" spans="1:10" x14ac:dyDescent="0.3">
      <c r="A6216" t="s">
        <v>12167</v>
      </c>
      <c r="B6216" t="s">
        <v>12168</v>
      </c>
      <c r="D6216">
        <v>2</v>
      </c>
      <c r="E6216" t="s">
        <v>71</v>
      </c>
      <c r="F6216" t="s">
        <v>95</v>
      </c>
    </row>
    <row r="6217" spans="1:10" x14ac:dyDescent="0.3">
      <c r="A6217" t="s">
        <v>12169</v>
      </c>
      <c r="B6217" t="s">
        <v>12170</v>
      </c>
      <c r="D6217">
        <v>1.5</v>
      </c>
      <c r="E6217" t="s">
        <v>345</v>
      </c>
      <c r="F6217" t="s">
        <v>12171</v>
      </c>
    </row>
    <row r="6218" spans="1:10" x14ac:dyDescent="0.3">
      <c r="A6218" t="s">
        <v>3915</v>
      </c>
      <c r="B6218" t="s">
        <v>12172</v>
      </c>
      <c r="D6218">
        <v>15</v>
      </c>
      <c r="E6218" t="s">
        <v>29</v>
      </c>
      <c r="F6218" t="s">
        <v>10473</v>
      </c>
    </row>
    <row r="6219" spans="1:10" x14ac:dyDescent="0.3">
      <c r="A6219" t="s">
        <v>161</v>
      </c>
      <c r="B6219" t="s">
        <v>12173</v>
      </c>
      <c r="D6219">
        <v>0.5</v>
      </c>
      <c r="E6219" t="s">
        <v>37</v>
      </c>
      <c r="F6219" t="s">
        <v>12174</v>
      </c>
      <c r="H6219" t="s">
        <v>814</v>
      </c>
      <c r="J6219" t="s">
        <v>2028</v>
      </c>
    </row>
    <row r="6220" spans="1:10" x14ac:dyDescent="0.3">
      <c r="A6220" t="s">
        <v>11506</v>
      </c>
      <c r="B6220" t="s">
        <v>12175</v>
      </c>
      <c r="D6220">
        <v>1.5</v>
      </c>
      <c r="E6220" t="s">
        <v>345</v>
      </c>
      <c r="F6220" t="s">
        <v>12176</v>
      </c>
    </row>
    <row r="6221" spans="1:10" x14ac:dyDescent="0.3">
      <c r="A6221" t="s">
        <v>12177</v>
      </c>
      <c r="B6221" t="s">
        <v>12178</v>
      </c>
      <c r="D6221">
        <v>3</v>
      </c>
      <c r="E6221" t="s">
        <v>23</v>
      </c>
      <c r="F6221" t="s">
        <v>638</v>
      </c>
    </row>
    <row r="6222" spans="1:10" x14ac:dyDescent="0.3">
      <c r="A6222" t="s">
        <v>1548</v>
      </c>
      <c r="B6222" t="s">
        <v>12179</v>
      </c>
      <c r="D6222">
        <v>4</v>
      </c>
      <c r="E6222" t="s">
        <v>23</v>
      </c>
      <c r="F6222" t="s">
        <v>12180</v>
      </c>
    </row>
    <row r="6223" spans="1:10" x14ac:dyDescent="0.3">
      <c r="A6223" t="s">
        <v>5924</v>
      </c>
      <c r="B6223" t="s">
        <v>3057</v>
      </c>
      <c r="D6223">
        <v>8</v>
      </c>
      <c r="E6223" t="s">
        <v>23</v>
      </c>
      <c r="F6223" t="s">
        <v>581</v>
      </c>
      <c r="I6223" t="s">
        <v>3058</v>
      </c>
    </row>
    <row r="6224" spans="1:10" x14ac:dyDescent="0.3">
      <c r="A6224" t="s">
        <v>5953</v>
      </c>
      <c r="B6224" t="s">
        <v>152</v>
      </c>
      <c r="F6224" t="s">
        <v>152</v>
      </c>
    </row>
    <row r="6225" spans="1:10" x14ac:dyDescent="0.3">
      <c r="A6225" t="s">
        <v>12181</v>
      </c>
      <c r="B6225" t="s">
        <v>12182</v>
      </c>
      <c r="D6225">
        <v>0.5</v>
      </c>
      <c r="E6225" t="s">
        <v>11</v>
      </c>
      <c r="F6225" t="s">
        <v>2446</v>
      </c>
    </row>
    <row r="6226" spans="1:10" x14ac:dyDescent="0.3">
      <c r="A6226" t="s">
        <v>10537</v>
      </c>
      <c r="B6226" t="s">
        <v>7986</v>
      </c>
      <c r="D6226">
        <v>50</v>
      </c>
      <c r="E6226" t="s">
        <v>29</v>
      </c>
      <c r="F6226" t="s">
        <v>7987</v>
      </c>
    </row>
    <row r="6227" spans="1:10" x14ac:dyDescent="0.3">
      <c r="A6227" t="s">
        <v>8355</v>
      </c>
      <c r="B6227" t="s">
        <v>12183</v>
      </c>
      <c r="D6227">
        <v>12</v>
      </c>
      <c r="E6227" t="s">
        <v>23</v>
      </c>
      <c r="F6227" t="s">
        <v>12184</v>
      </c>
    </row>
    <row r="6228" spans="1:10" x14ac:dyDescent="0.3">
      <c r="A6228" t="s">
        <v>8290</v>
      </c>
      <c r="B6228" t="s">
        <v>12185</v>
      </c>
      <c r="D6228">
        <v>2</v>
      </c>
      <c r="E6228" t="s">
        <v>91</v>
      </c>
      <c r="F6228" t="s">
        <v>12186</v>
      </c>
    </row>
    <row r="6229" spans="1:10" x14ac:dyDescent="0.3">
      <c r="A6229" t="s">
        <v>12187</v>
      </c>
      <c r="B6229" t="s">
        <v>12188</v>
      </c>
      <c r="F6229" t="s">
        <v>1056</v>
      </c>
      <c r="J6229" t="s">
        <v>2932</v>
      </c>
    </row>
    <row r="6230" spans="1:10" x14ac:dyDescent="0.3">
      <c r="A6230" t="s">
        <v>9402</v>
      </c>
      <c r="B6230" t="s">
        <v>7645</v>
      </c>
      <c r="D6230">
        <v>2</v>
      </c>
      <c r="E6230" t="s">
        <v>345</v>
      </c>
      <c r="F6230" t="s">
        <v>10500</v>
      </c>
      <c r="G6230" t="s">
        <v>12189</v>
      </c>
    </row>
    <row r="6231" spans="1:10" x14ac:dyDescent="0.3">
      <c r="A6231" t="s">
        <v>12190</v>
      </c>
      <c r="B6231" t="s">
        <v>7907</v>
      </c>
      <c r="D6231">
        <v>2</v>
      </c>
      <c r="E6231" t="s">
        <v>23</v>
      </c>
      <c r="F6231" t="s">
        <v>423</v>
      </c>
    </row>
    <row r="6232" spans="1:10" x14ac:dyDescent="0.3">
      <c r="A6232" t="s">
        <v>12191</v>
      </c>
      <c r="B6232" t="s">
        <v>2684</v>
      </c>
      <c r="D6232">
        <v>1</v>
      </c>
      <c r="E6232" t="s">
        <v>1785</v>
      </c>
      <c r="F6232" t="s">
        <v>171</v>
      </c>
    </row>
    <row r="6233" spans="1:10" x14ac:dyDescent="0.3">
      <c r="A6233" t="s">
        <v>2611</v>
      </c>
      <c r="B6233" t="s">
        <v>12192</v>
      </c>
      <c r="D6233">
        <v>3</v>
      </c>
      <c r="E6233" t="s">
        <v>71</v>
      </c>
      <c r="F6233" t="s">
        <v>12193</v>
      </c>
    </row>
    <row r="6234" spans="1:10" x14ac:dyDescent="0.3">
      <c r="A6234" t="s">
        <v>12194</v>
      </c>
      <c r="B6234" t="s">
        <v>1244</v>
      </c>
      <c r="D6234">
        <v>2</v>
      </c>
      <c r="E6234" t="s">
        <v>23</v>
      </c>
      <c r="F6234" t="s">
        <v>716</v>
      </c>
    </row>
    <row r="6235" spans="1:10" x14ac:dyDescent="0.3">
      <c r="A6235" t="s">
        <v>12195</v>
      </c>
      <c r="B6235" t="s">
        <v>12196</v>
      </c>
      <c r="D6235">
        <v>25</v>
      </c>
      <c r="E6235" t="s">
        <v>29</v>
      </c>
      <c r="F6235" t="s">
        <v>4142</v>
      </c>
    </row>
    <row r="6236" spans="1:10" x14ac:dyDescent="0.3">
      <c r="A6236" t="s">
        <v>5062</v>
      </c>
      <c r="B6236" t="s">
        <v>12197</v>
      </c>
      <c r="D6236">
        <v>0.75</v>
      </c>
      <c r="E6236" t="s">
        <v>23</v>
      </c>
      <c r="F6236" t="s">
        <v>12198</v>
      </c>
      <c r="J6236" t="s">
        <v>12199</v>
      </c>
    </row>
    <row r="6237" spans="1:10" x14ac:dyDescent="0.3">
      <c r="A6237" t="s">
        <v>4259</v>
      </c>
      <c r="B6237" t="s">
        <v>12200</v>
      </c>
      <c r="D6237">
        <v>1</v>
      </c>
      <c r="E6237" t="s">
        <v>11</v>
      </c>
      <c r="F6237" t="s">
        <v>3981</v>
      </c>
    </row>
    <row r="6238" spans="1:10" x14ac:dyDescent="0.3">
      <c r="A6238" t="s">
        <v>12201</v>
      </c>
      <c r="B6238" t="s">
        <v>12202</v>
      </c>
      <c r="D6238">
        <v>1</v>
      </c>
      <c r="E6238" t="s">
        <v>23</v>
      </c>
      <c r="F6238" t="s">
        <v>11841</v>
      </c>
    </row>
    <row r="6239" spans="1:10" x14ac:dyDescent="0.3">
      <c r="A6239" t="s">
        <v>12203</v>
      </c>
      <c r="B6239" t="s">
        <v>4534</v>
      </c>
      <c r="D6239">
        <v>1</v>
      </c>
      <c r="E6239" t="s">
        <v>37</v>
      </c>
      <c r="F6239" t="s">
        <v>160</v>
      </c>
      <c r="H6239" t="s">
        <v>68</v>
      </c>
    </row>
    <row r="6240" spans="1:10" x14ac:dyDescent="0.3">
      <c r="A6240" t="s">
        <v>12204</v>
      </c>
      <c r="B6240" t="s">
        <v>4394</v>
      </c>
      <c r="D6240">
        <v>1</v>
      </c>
      <c r="E6240" t="s">
        <v>23</v>
      </c>
      <c r="F6240" t="s">
        <v>355</v>
      </c>
    </row>
    <row r="6241" spans="1:8" x14ac:dyDescent="0.3">
      <c r="A6241" t="s">
        <v>12205</v>
      </c>
      <c r="B6241" t="s">
        <v>12206</v>
      </c>
      <c r="D6241">
        <v>1</v>
      </c>
      <c r="E6241" t="s">
        <v>11</v>
      </c>
      <c r="F6241" t="s">
        <v>12207</v>
      </c>
    </row>
    <row r="6242" spans="1:8" x14ac:dyDescent="0.3">
      <c r="A6242" t="s">
        <v>12208</v>
      </c>
      <c r="B6242" t="s">
        <v>12209</v>
      </c>
      <c r="D6242">
        <v>90</v>
      </c>
      <c r="E6242" t="s">
        <v>29</v>
      </c>
      <c r="F6242" t="s">
        <v>98</v>
      </c>
    </row>
    <row r="6243" spans="1:8" x14ac:dyDescent="0.3">
      <c r="A6243" t="s">
        <v>3363</v>
      </c>
      <c r="B6243" t="s">
        <v>9347</v>
      </c>
      <c r="D6243">
        <v>1</v>
      </c>
      <c r="F6243" t="s">
        <v>163</v>
      </c>
    </row>
    <row r="6244" spans="1:8" x14ac:dyDescent="0.3">
      <c r="A6244" t="s">
        <v>11968</v>
      </c>
      <c r="B6244" t="s">
        <v>4260</v>
      </c>
      <c r="D6244">
        <v>1</v>
      </c>
      <c r="E6244" t="s">
        <v>11</v>
      </c>
      <c r="F6244" t="s">
        <v>57</v>
      </c>
    </row>
    <row r="6245" spans="1:8" x14ac:dyDescent="0.3">
      <c r="A6245" t="s">
        <v>103</v>
      </c>
      <c r="B6245" t="s">
        <v>12210</v>
      </c>
      <c r="D6245">
        <v>1.67</v>
      </c>
      <c r="E6245" t="s">
        <v>23</v>
      </c>
      <c r="F6245" t="s">
        <v>6276</v>
      </c>
    </row>
    <row r="6246" spans="1:8" x14ac:dyDescent="0.3">
      <c r="A6246" t="s">
        <v>6301</v>
      </c>
      <c r="B6246" t="s">
        <v>12211</v>
      </c>
      <c r="D6246">
        <v>20</v>
      </c>
      <c r="E6246" t="s">
        <v>29</v>
      </c>
      <c r="F6246" t="s">
        <v>12212</v>
      </c>
    </row>
    <row r="6247" spans="1:8" x14ac:dyDescent="0.3">
      <c r="A6247" t="s">
        <v>5863</v>
      </c>
      <c r="B6247" t="s">
        <v>12213</v>
      </c>
      <c r="D6247">
        <v>4</v>
      </c>
      <c r="E6247" t="s">
        <v>345</v>
      </c>
      <c r="F6247" t="s">
        <v>4167</v>
      </c>
    </row>
    <row r="6248" spans="1:8" x14ac:dyDescent="0.3">
      <c r="A6248" t="s">
        <v>5315</v>
      </c>
      <c r="B6248" t="s">
        <v>12214</v>
      </c>
      <c r="D6248">
        <v>1.5</v>
      </c>
      <c r="E6248" t="s">
        <v>23</v>
      </c>
      <c r="F6248" t="s">
        <v>6721</v>
      </c>
    </row>
    <row r="6249" spans="1:8" x14ac:dyDescent="0.3">
      <c r="A6249" t="s">
        <v>12215</v>
      </c>
      <c r="B6249" t="s">
        <v>12216</v>
      </c>
      <c r="D6249">
        <v>2</v>
      </c>
      <c r="E6249" t="s">
        <v>23</v>
      </c>
      <c r="F6249" t="s">
        <v>877</v>
      </c>
    </row>
    <row r="6250" spans="1:8" x14ac:dyDescent="0.3">
      <c r="A6250" t="s">
        <v>2481</v>
      </c>
      <c r="B6250" t="s">
        <v>98</v>
      </c>
      <c r="F6250" t="s">
        <v>98</v>
      </c>
    </row>
    <row r="6251" spans="1:8" x14ac:dyDescent="0.3">
      <c r="A6251" t="s">
        <v>12217</v>
      </c>
      <c r="B6251" t="s">
        <v>5161</v>
      </c>
      <c r="F6251" t="s">
        <v>5161</v>
      </c>
    </row>
    <row r="6252" spans="1:8" x14ac:dyDescent="0.3">
      <c r="A6252" t="s">
        <v>12218</v>
      </c>
      <c r="B6252" t="s">
        <v>94</v>
      </c>
      <c r="D6252">
        <v>1</v>
      </c>
      <c r="E6252" t="s">
        <v>23</v>
      </c>
      <c r="F6252" t="s">
        <v>95</v>
      </c>
    </row>
    <row r="6253" spans="1:8" x14ac:dyDescent="0.3">
      <c r="A6253" t="s">
        <v>9054</v>
      </c>
      <c r="B6253" t="s">
        <v>12219</v>
      </c>
      <c r="D6253">
        <v>1.2</v>
      </c>
      <c r="E6253" t="s">
        <v>71</v>
      </c>
      <c r="F6253" t="s">
        <v>160</v>
      </c>
      <c r="H6253" t="s">
        <v>68</v>
      </c>
    </row>
    <row r="6254" spans="1:8" x14ac:dyDescent="0.3">
      <c r="A6254" t="s">
        <v>12220</v>
      </c>
      <c r="B6254" t="s">
        <v>12216</v>
      </c>
      <c r="D6254">
        <v>2</v>
      </c>
      <c r="E6254" t="s">
        <v>23</v>
      </c>
      <c r="F6254" t="s">
        <v>877</v>
      </c>
    </row>
    <row r="6255" spans="1:8" x14ac:dyDescent="0.3">
      <c r="A6255" t="s">
        <v>12221</v>
      </c>
      <c r="B6255" t="s">
        <v>12222</v>
      </c>
      <c r="D6255">
        <v>0.25</v>
      </c>
      <c r="E6255" t="s">
        <v>37</v>
      </c>
      <c r="F6255" t="s">
        <v>3454</v>
      </c>
    </row>
    <row r="6256" spans="1:8" x14ac:dyDescent="0.3">
      <c r="A6256" t="s">
        <v>2985</v>
      </c>
      <c r="B6256" t="s">
        <v>12223</v>
      </c>
      <c r="F6256" t="s">
        <v>2132</v>
      </c>
    </row>
    <row r="6257" spans="1:10" x14ac:dyDescent="0.3">
      <c r="A6257" t="s">
        <v>7761</v>
      </c>
      <c r="B6257" t="s">
        <v>12224</v>
      </c>
      <c r="D6257">
        <v>1</v>
      </c>
      <c r="E6257" t="s">
        <v>11</v>
      </c>
      <c r="F6257" t="s">
        <v>2862</v>
      </c>
      <c r="J6257" t="s">
        <v>20</v>
      </c>
    </row>
    <row r="6258" spans="1:10" x14ac:dyDescent="0.3">
      <c r="A6258" t="s">
        <v>3974</v>
      </c>
      <c r="B6258" t="s">
        <v>10939</v>
      </c>
      <c r="D6258">
        <v>25</v>
      </c>
      <c r="E6258" t="s">
        <v>29</v>
      </c>
      <c r="F6258" t="s">
        <v>793</v>
      </c>
    </row>
    <row r="6259" spans="1:10" x14ac:dyDescent="0.3">
      <c r="A6259" t="s">
        <v>12225</v>
      </c>
      <c r="B6259" t="s">
        <v>4094</v>
      </c>
      <c r="D6259">
        <v>0.5</v>
      </c>
      <c r="E6259" t="s">
        <v>23</v>
      </c>
      <c r="F6259" t="s">
        <v>281</v>
      </c>
    </row>
    <row r="6260" spans="1:10" x14ac:dyDescent="0.3">
      <c r="A6260" t="s">
        <v>12226</v>
      </c>
      <c r="B6260" t="s">
        <v>4094</v>
      </c>
      <c r="D6260">
        <v>0.5</v>
      </c>
      <c r="E6260" t="s">
        <v>23</v>
      </c>
      <c r="F6260" t="s">
        <v>281</v>
      </c>
    </row>
    <row r="6261" spans="1:10" x14ac:dyDescent="0.3">
      <c r="A6261" t="s">
        <v>12227</v>
      </c>
      <c r="B6261" t="s">
        <v>3446</v>
      </c>
      <c r="D6261">
        <v>2</v>
      </c>
      <c r="E6261" t="s">
        <v>23</v>
      </c>
      <c r="F6261" t="s">
        <v>3447</v>
      </c>
    </row>
    <row r="6262" spans="1:10" x14ac:dyDescent="0.3">
      <c r="A6262" t="s">
        <v>10876</v>
      </c>
      <c r="B6262" t="s">
        <v>12228</v>
      </c>
      <c r="D6262">
        <v>1.5</v>
      </c>
      <c r="E6262" t="s">
        <v>345</v>
      </c>
      <c r="F6262" t="s">
        <v>12229</v>
      </c>
      <c r="J6262" t="s">
        <v>1470</v>
      </c>
    </row>
    <row r="6263" spans="1:10" x14ac:dyDescent="0.3">
      <c r="A6263" t="s">
        <v>5583</v>
      </c>
      <c r="B6263" t="s">
        <v>12230</v>
      </c>
      <c r="D6263">
        <v>10</v>
      </c>
      <c r="F6263" t="s">
        <v>813</v>
      </c>
    </row>
    <row r="6264" spans="1:10" x14ac:dyDescent="0.3">
      <c r="A6264" t="s">
        <v>12231</v>
      </c>
      <c r="B6264" t="s">
        <v>1737</v>
      </c>
      <c r="D6264">
        <v>2</v>
      </c>
      <c r="E6264" t="s">
        <v>23</v>
      </c>
      <c r="F6264" t="s">
        <v>320</v>
      </c>
    </row>
    <row r="6265" spans="1:10" x14ac:dyDescent="0.3">
      <c r="A6265" t="s">
        <v>12232</v>
      </c>
      <c r="B6265" t="s">
        <v>10255</v>
      </c>
      <c r="D6265">
        <v>1</v>
      </c>
      <c r="E6265" t="s">
        <v>23</v>
      </c>
      <c r="F6265" t="s">
        <v>2014</v>
      </c>
    </row>
    <row r="6266" spans="1:10" x14ac:dyDescent="0.3">
      <c r="A6266" t="s">
        <v>12233</v>
      </c>
      <c r="B6266" t="s">
        <v>407</v>
      </c>
      <c r="D6266">
        <v>1</v>
      </c>
      <c r="E6266" t="s">
        <v>23</v>
      </c>
      <c r="F6266" t="s">
        <v>171</v>
      </c>
    </row>
    <row r="6267" spans="1:10" x14ac:dyDescent="0.3">
      <c r="A6267" t="s">
        <v>12234</v>
      </c>
      <c r="B6267" t="s">
        <v>1763</v>
      </c>
      <c r="D6267">
        <v>45</v>
      </c>
      <c r="E6267" t="s">
        <v>29</v>
      </c>
      <c r="F6267" t="s">
        <v>1764</v>
      </c>
    </row>
    <row r="6268" spans="1:10" x14ac:dyDescent="0.3">
      <c r="A6268" t="s">
        <v>12235</v>
      </c>
      <c r="B6268" t="s">
        <v>348</v>
      </c>
      <c r="D6268">
        <v>1</v>
      </c>
      <c r="E6268" t="s">
        <v>23</v>
      </c>
      <c r="F6268" t="s">
        <v>349</v>
      </c>
    </row>
    <row r="6269" spans="1:10" x14ac:dyDescent="0.3">
      <c r="A6269" t="s">
        <v>12236</v>
      </c>
      <c r="B6269" t="s">
        <v>12237</v>
      </c>
      <c r="D6269">
        <v>6</v>
      </c>
      <c r="E6269" t="s">
        <v>176</v>
      </c>
      <c r="F6269" t="s">
        <v>728</v>
      </c>
    </row>
    <row r="6270" spans="1:10" x14ac:dyDescent="0.3">
      <c r="A6270" t="s">
        <v>9931</v>
      </c>
      <c r="B6270" t="s">
        <v>12238</v>
      </c>
      <c r="D6270">
        <v>1</v>
      </c>
      <c r="E6270" t="s">
        <v>23</v>
      </c>
      <c r="F6270" t="s">
        <v>12239</v>
      </c>
    </row>
    <row r="6271" spans="1:10" x14ac:dyDescent="0.3">
      <c r="A6271" t="s">
        <v>12240</v>
      </c>
      <c r="B6271" t="s">
        <v>6166</v>
      </c>
      <c r="D6271">
        <v>4</v>
      </c>
      <c r="E6271" t="s">
        <v>23</v>
      </c>
      <c r="F6271" t="s">
        <v>1077</v>
      </c>
    </row>
    <row r="6272" spans="1:10" x14ac:dyDescent="0.3">
      <c r="A6272" t="s">
        <v>7079</v>
      </c>
      <c r="B6272" t="s">
        <v>12241</v>
      </c>
      <c r="D6272">
        <v>2.5</v>
      </c>
      <c r="E6272" t="s">
        <v>23</v>
      </c>
      <c r="F6272" t="s">
        <v>7714</v>
      </c>
    </row>
    <row r="6273" spans="1:10" x14ac:dyDescent="0.3">
      <c r="A6273" t="s">
        <v>12242</v>
      </c>
      <c r="B6273" t="s">
        <v>12243</v>
      </c>
      <c r="D6273">
        <v>8</v>
      </c>
      <c r="E6273" t="s">
        <v>29</v>
      </c>
      <c r="F6273" t="s">
        <v>581</v>
      </c>
      <c r="I6273" t="s">
        <v>3945</v>
      </c>
    </row>
    <row r="6274" spans="1:10" x14ac:dyDescent="0.3">
      <c r="A6274" t="s">
        <v>2111</v>
      </c>
      <c r="B6274" t="s">
        <v>3772</v>
      </c>
      <c r="D6274">
        <v>2</v>
      </c>
      <c r="E6274" t="s">
        <v>91</v>
      </c>
      <c r="F6274" t="s">
        <v>1003</v>
      </c>
    </row>
    <row r="6275" spans="1:10" x14ac:dyDescent="0.3">
      <c r="A6275" t="s">
        <v>7775</v>
      </c>
      <c r="B6275" t="s">
        <v>12244</v>
      </c>
      <c r="D6275">
        <v>5</v>
      </c>
      <c r="E6275" t="s">
        <v>23</v>
      </c>
      <c r="F6275" t="s">
        <v>253</v>
      </c>
    </row>
    <row r="6276" spans="1:10" x14ac:dyDescent="0.3">
      <c r="A6276" t="s">
        <v>12245</v>
      </c>
      <c r="B6276" t="s">
        <v>4492</v>
      </c>
      <c r="D6276">
        <v>1</v>
      </c>
      <c r="E6276" t="s">
        <v>23</v>
      </c>
      <c r="F6276" t="s">
        <v>3447</v>
      </c>
    </row>
    <row r="6277" spans="1:10" x14ac:dyDescent="0.3">
      <c r="A6277" t="s">
        <v>2628</v>
      </c>
      <c r="B6277" t="s">
        <v>12246</v>
      </c>
      <c r="D6277">
        <v>2</v>
      </c>
      <c r="E6277" t="s">
        <v>176</v>
      </c>
      <c r="F6277" t="s">
        <v>160</v>
      </c>
    </row>
    <row r="6278" spans="1:10" x14ac:dyDescent="0.3">
      <c r="A6278" t="s">
        <v>12247</v>
      </c>
      <c r="B6278" t="s">
        <v>12248</v>
      </c>
      <c r="D6278">
        <v>1.5</v>
      </c>
      <c r="E6278" t="s">
        <v>460</v>
      </c>
      <c r="F6278" t="s">
        <v>199</v>
      </c>
    </row>
    <row r="6279" spans="1:10" x14ac:dyDescent="0.3">
      <c r="A6279" t="s">
        <v>3639</v>
      </c>
      <c r="B6279" t="s">
        <v>12249</v>
      </c>
      <c r="D6279">
        <v>0.5</v>
      </c>
      <c r="E6279" t="s">
        <v>23</v>
      </c>
      <c r="F6279" t="s">
        <v>761</v>
      </c>
    </row>
    <row r="6280" spans="1:10" x14ac:dyDescent="0.3">
      <c r="A6280" t="s">
        <v>12250</v>
      </c>
      <c r="B6280" t="s">
        <v>12251</v>
      </c>
      <c r="D6280" t="s">
        <v>1176</v>
      </c>
      <c r="F6280" t="s">
        <v>538</v>
      </c>
      <c r="J6280" t="s">
        <v>548</v>
      </c>
    </row>
    <row r="6281" spans="1:10" x14ac:dyDescent="0.3">
      <c r="A6281" t="s">
        <v>12252</v>
      </c>
      <c r="B6281" t="s">
        <v>9537</v>
      </c>
      <c r="D6281">
        <v>1</v>
      </c>
      <c r="E6281" t="s">
        <v>23</v>
      </c>
      <c r="F6281" t="s">
        <v>7403</v>
      </c>
    </row>
    <row r="6282" spans="1:10" x14ac:dyDescent="0.3">
      <c r="A6282" t="s">
        <v>4696</v>
      </c>
      <c r="B6282" t="s">
        <v>5161</v>
      </c>
      <c r="F6282" t="s">
        <v>5161</v>
      </c>
    </row>
    <row r="6283" spans="1:10" x14ac:dyDescent="0.3">
      <c r="A6283" t="s">
        <v>8938</v>
      </c>
      <c r="B6283" t="s">
        <v>12253</v>
      </c>
      <c r="D6283">
        <v>0.75</v>
      </c>
      <c r="E6283" t="s">
        <v>37</v>
      </c>
      <c r="F6283" t="s">
        <v>12254</v>
      </c>
    </row>
    <row r="6284" spans="1:10" x14ac:dyDescent="0.3">
      <c r="A6284" t="s">
        <v>12255</v>
      </c>
      <c r="B6284" t="s">
        <v>4926</v>
      </c>
      <c r="D6284">
        <v>2</v>
      </c>
      <c r="E6284" t="s">
        <v>23</v>
      </c>
      <c r="F6284" t="s">
        <v>880</v>
      </c>
    </row>
    <row r="6285" spans="1:10" x14ac:dyDescent="0.3">
      <c r="A6285" t="s">
        <v>12256</v>
      </c>
      <c r="B6285" t="s">
        <v>4346</v>
      </c>
      <c r="D6285">
        <v>10</v>
      </c>
      <c r="E6285" t="s">
        <v>29</v>
      </c>
      <c r="F6285" t="s">
        <v>423</v>
      </c>
    </row>
    <row r="6286" spans="1:10" x14ac:dyDescent="0.3">
      <c r="A6286" t="s">
        <v>12257</v>
      </c>
      <c r="B6286" t="s">
        <v>12258</v>
      </c>
      <c r="D6286">
        <v>4</v>
      </c>
      <c r="E6286" t="s">
        <v>23</v>
      </c>
      <c r="F6286" t="s">
        <v>4478</v>
      </c>
    </row>
    <row r="6287" spans="1:10" x14ac:dyDescent="0.3">
      <c r="A6287" t="s">
        <v>12259</v>
      </c>
      <c r="B6287" t="s">
        <v>9230</v>
      </c>
      <c r="D6287">
        <v>2</v>
      </c>
      <c r="E6287" t="s">
        <v>23</v>
      </c>
      <c r="F6287" t="s">
        <v>241</v>
      </c>
    </row>
    <row r="6288" spans="1:10" x14ac:dyDescent="0.3">
      <c r="A6288" t="s">
        <v>12260</v>
      </c>
      <c r="B6288" t="s">
        <v>3352</v>
      </c>
      <c r="D6288">
        <v>2</v>
      </c>
      <c r="E6288" t="s">
        <v>60</v>
      </c>
      <c r="F6288" t="s">
        <v>3353</v>
      </c>
    </row>
    <row r="6289" spans="1:10" x14ac:dyDescent="0.3">
      <c r="A6289" t="s">
        <v>2527</v>
      </c>
      <c r="B6289" t="s">
        <v>12261</v>
      </c>
      <c r="D6289">
        <v>1</v>
      </c>
      <c r="E6289" t="s">
        <v>284</v>
      </c>
      <c r="F6289" t="s">
        <v>12262</v>
      </c>
    </row>
    <row r="6290" spans="1:10" x14ac:dyDescent="0.3">
      <c r="A6290" t="s">
        <v>8033</v>
      </c>
      <c r="B6290" t="s">
        <v>12263</v>
      </c>
      <c r="D6290">
        <v>1</v>
      </c>
      <c r="E6290" t="s">
        <v>2210</v>
      </c>
      <c r="F6290" t="s">
        <v>12264</v>
      </c>
    </row>
    <row r="6291" spans="1:10" x14ac:dyDescent="0.3">
      <c r="A6291" t="s">
        <v>12265</v>
      </c>
      <c r="B6291" t="s">
        <v>12266</v>
      </c>
      <c r="D6291">
        <v>1.75</v>
      </c>
      <c r="E6291" t="s">
        <v>23</v>
      </c>
      <c r="F6291" t="s">
        <v>12267</v>
      </c>
    </row>
    <row r="6292" spans="1:10" x14ac:dyDescent="0.3">
      <c r="A6292" t="s">
        <v>12268</v>
      </c>
      <c r="B6292" t="s">
        <v>12269</v>
      </c>
      <c r="D6292">
        <v>0.12</v>
      </c>
      <c r="E6292" t="s">
        <v>11</v>
      </c>
      <c r="F6292" t="s">
        <v>88</v>
      </c>
    </row>
    <row r="6293" spans="1:10" x14ac:dyDescent="0.3">
      <c r="A6293" t="s">
        <v>12270</v>
      </c>
      <c r="B6293" t="s">
        <v>1706</v>
      </c>
      <c r="D6293">
        <v>1</v>
      </c>
      <c r="E6293" t="s">
        <v>11</v>
      </c>
      <c r="F6293" t="s">
        <v>793</v>
      </c>
    </row>
    <row r="6294" spans="1:10" x14ac:dyDescent="0.3">
      <c r="A6294" t="s">
        <v>3418</v>
      </c>
      <c r="B6294" t="s">
        <v>4579</v>
      </c>
      <c r="D6294">
        <v>1</v>
      </c>
      <c r="F6294" t="s">
        <v>4580</v>
      </c>
    </row>
    <row r="6295" spans="1:10" x14ac:dyDescent="0.3">
      <c r="A6295" t="s">
        <v>12271</v>
      </c>
      <c r="B6295" t="s">
        <v>12272</v>
      </c>
      <c r="F6295" t="s">
        <v>12272</v>
      </c>
    </row>
    <row r="6296" spans="1:10" x14ac:dyDescent="0.3">
      <c r="A6296" t="s">
        <v>12273</v>
      </c>
      <c r="B6296" t="s">
        <v>6568</v>
      </c>
      <c r="D6296">
        <v>1</v>
      </c>
      <c r="E6296" t="s">
        <v>460</v>
      </c>
      <c r="F6296" t="s">
        <v>2078</v>
      </c>
      <c r="G6296" t="s">
        <v>6569</v>
      </c>
    </row>
    <row r="6297" spans="1:10" x14ac:dyDescent="0.3">
      <c r="A6297" t="s">
        <v>994</v>
      </c>
      <c r="B6297" t="s">
        <v>1278</v>
      </c>
      <c r="D6297">
        <v>3</v>
      </c>
      <c r="E6297" t="s">
        <v>23</v>
      </c>
      <c r="F6297" t="s">
        <v>738</v>
      </c>
    </row>
    <row r="6298" spans="1:10" x14ac:dyDescent="0.3">
      <c r="A6298" t="s">
        <v>12274</v>
      </c>
      <c r="B6298" t="s">
        <v>12275</v>
      </c>
      <c r="D6298">
        <v>100</v>
      </c>
      <c r="E6298" t="s">
        <v>29</v>
      </c>
      <c r="F6298" t="s">
        <v>57</v>
      </c>
    </row>
    <row r="6299" spans="1:10" x14ac:dyDescent="0.3">
      <c r="A6299" t="s">
        <v>3418</v>
      </c>
      <c r="B6299" t="s">
        <v>12276</v>
      </c>
      <c r="D6299">
        <v>1</v>
      </c>
      <c r="E6299" t="s">
        <v>18</v>
      </c>
      <c r="F6299" t="s">
        <v>11011</v>
      </c>
    </row>
    <row r="6300" spans="1:10" x14ac:dyDescent="0.3">
      <c r="A6300" t="s">
        <v>12277</v>
      </c>
      <c r="B6300" t="s">
        <v>12278</v>
      </c>
      <c r="D6300">
        <v>5</v>
      </c>
      <c r="E6300" t="s">
        <v>23</v>
      </c>
      <c r="F6300" t="s">
        <v>224</v>
      </c>
    </row>
    <row r="6301" spans="1:10" x14ac:dyDescent="0.3">
      <c r="A6301" t="s">
        <v>12279</v>
      </c>
      <c r="B6301" t="s">
        <v>8396</v>
      </c>
      <c r="F6301" t="s">
        <v>8396</v>
      </c>
    </row>
    <row r="6302" spans="1:10" x14ac:dyDescent="0.3">
      <c r="A6302" t="s">
        <v>9933</v>
      </c>
      <c r="B6302" t="s">
        <v>4002</v>
      </c>
      <c r="D6302">
        <v>1</v>
      </c>
      <c r="E6302" t="s">
        <v>23</v>
      </c>
      <c r="F6302" t="s">
        <v>1003</v>
      </c>
    </row>
    <row r="6303" spans="1:10" x14ac:dyDescent="0.3">
      <c r="A6303" t="s">
        <v>4307</v>
      </c>
      <c r="B6303" t="s">
        <v>12280</v>
      </c>
      <c r="D6303">
        <v>6</v>
      </c>
      <c r="F6303" t="s">
        <v>813</v>
      </c>
      <c r="J6303" t="s">
        <v>12281</v>
      </c>
    </row>
    <row r="6304" spans="1:10" x14ac:dyDescent="0.3">
      <c r="A6304" t="s">
        <v>12282</v>
      </c>
      <c r="B6304" t="s">
        <v>12283</v>
      </c>
      <c r="D6304">
        <v>1</v>
      </c>
      <c r="E6304" t="s">
        <v>11</v>
      </c>
      <c r="F6304" t="s">
        <v>3679</v>
      </c>
    </row>
    <row r="6305" spans="1:10" x14ac:dyDescent="0.3">
      <c r="A6305" t="s">
        <v>12284</v>
      </c>
      <c r="B6305" t="s">
        <v>337</v>
      </c>
      <c r="D6305">
        <v>1</v>
      </c>
      <c r="E6305" t="s">
        <v>23</v>
      </c>
      <c r="F6305" t="s">
        <v>338</v>
      </c>
    </row>
    <row r="6306" spans="1:10" x14ac:dyDescent="0.3">
      <c r="A6306" t="s">
        <v>174</v>
      </c>
      <c r="B6306" t="s">
        <v>12285</v>
      </c>
      <c r="D6306">
        <v>1</v>
      </c>
      <c r="E6306" t="s">
        <v>37</v>
      </c>
      <c r="F6306" t="s">
        <v>230</v>
      </c>
      <c r="J6306" t="s">
        <v>12286</v>
      </c>
    </row>
    <row r="6307" spans="1:10" x14ac:dyDescent="0.3">
      <c r="A6307" t="s">
        <v>12287</v>
      </c>
      <c r="B6307" t="s">
        <v>12288</v>
      </c>
      <c r="D6307">
        <v>0.25</v>
      </c>
      <c r="E6307" t="s">
        <v>460</v>
      </c>
      <c r="F6307" t="s">
        <v>1097</v>
      </c>
    </row>
    <row r="6308" spans="1:10" x14ac:dyDescent="0.3">
      <c r="A6308" t="s">
        <v>9979</v>
      </c>
      <c r="B6308" t="s">
        <v>12289</v>
      </c>
      <c r="D6308">
        <v>1</v>
      </c>
      <c r="E6308" t="s">
        <v>12290</v>
      </c>
      <c r="F6308" t="s">
        <v>497</v>
      </c>
      <c r="J6308" t="s">
        <v>12291</v>
      </c>
    </row>
    <row r="6309" spans="1:10" x14ac:dyDescent="0.3">
      <c r="A6309" t="s">
        <v>1544</v>
      </c>
      <c r="B6309" t="s">
        <v>12292</v>
      </c>
      <c r="D6309">
        <v>1.5</v>
      </c>
      <c r="E6309" t="s">
        <v>23</v>
      </c>
      <c r="F6309" t="s">
        <v>199</v>
      </c>
    </row>
    <row r="6310" spans="1:10" x14ac:dyDescent="0.3">
      <c r="A6310" t="s">
        <v>10129</v>
      </c>
      <c r="B6310" t="s">
        <v>543</v>
      </c>
      <c r="D6310">
        <v>10</v>
      </c>
      <c r="E6310" t="s">
        <v>29</v>
      </c>
      <c r="F6310" t="s">
        <v>183</v>
      </c>
    </row>
    <row r="6311" spans="1:10" x14ac:dyDescent="0.3">
      <c r="A6311" t="s">
        <v>8121</v>
      </c>
      <c r="B6311" t="s">
        <v>3282</v>
      </c>
      <c r="D6311">
        <v>50</v>
      </c>
      <c r="E6311" t="s">
        <v>29</v>
      </c>
      <c r="F6311" t="s">
        <v>12293</v>
      </c>
    </row>
    <row r="6312" spans="1:10" x14ac:dyDescent="0.3">
      <c r="A6312" t="s">
        <v>12294</v>
      </c>
      <c r="B6312" t="s">
        <v>12295</v>
      </c>
      <c r="D6312">
        <v>2</v>
      </c>
      <c r="E6312" t="s">
        <v>23</v>
      </c>
      <c r="F6312" t="s">
        <v>331</v>
      </c>
    </row>
    <row r="6313" spans="1:10" x14ac:dyDescent="0.3">
      <c r="A6313" t="s">
        <v>12296</v>
      </c>
      <c r="B6313" t="s">
        <v>12297</v>
      </c>
      <c r="D6313">
        <v>2</v>
      </c>
      <c r="E6313" t="s">
        <v>91</v>
      </c>
      <c r="F6313" t="s">
        <v>12298</v>
      </c>
    </row>
    <row r="6314" spans="1:10" x14ac:dyDescent="0.3">
      <c r="A6314" t="s">
        <v>12299</v>
      </c>
      <c r="B6314" t="s">
        <v>12300</v>
      </c>
      <c r="D6314">
        <v>0.5</v>
      </c>
      <c r="E6314" t="s">
        <v>284</v>
      </c>
      <c r="F6314" t="s">
        <v>12301</v>
      </c>
      <c r="J6314" t="s">
        <v>464</v>
      </c>
    </row>
    <row r="6315" spans="1:10" x14ac:dyDescent="0.3">
      <c r="A6315" t="s">
        <v>5176</v>
      </c>
      <c r="B6315" t="s">
        <v>12302</v>
      </c>
      <c r="D6315">
        <v>2</v>
      </c>
      <c r="F6315" t="s">
        <v>12303</v>
      </c>
      <c r="I6315" t="s">
        <v>12304</v>
      </c>
      <c r="J6315" t="s">
        <v>12305</v>
      </c>
    </row>
    <row r="6316" spans="1:10" x14ac:dyDescent="0.3">
      <c r="A6316" t="s">
        <v>12306</v>
      </c>
      <c r="B6316" t="s">
        <v>4299</v>
      </c>
      <c r="D6316">
        <v>2</v>
      </c>
      <c r="E6316" t="s">
        <v>23</v>
      </c>
      <c r="F6316" t="s">
        <v>98</v>
      </c>
    </row>
    <row r="6317" spans="1:10" x14ac:dyDescent="0.3">
      <c r="A6317" t="s">
        <v>12307</v>
      </c>
      <c r="B6317" t="s">
        <v>12308</v>
      </c>
      <c r="D6317">
        <v>0.25</v>
      </c>
      <c r="E6317" t="s">
        <v>23</v>
      </c>
      <c r="F6317" t="s">
        <v>102</v>
      </c>
    </row>
    <row r="6318" spans="1:10" x14ac:dyDescent="0.3">
      <c r="A6318" t="s">
        <v>12309</v>
      </c>
      <c r="B6318" t="s">
        <v>2584</v>
      </c>
      <c r="D6318">
        <v>1.5</v>
      </c>
      <c r="E6318" t="s">
        <v>23</v>
      </c>
      <c r="F6318" t="s">
        <v>171</v>
      </c>
    </row>
    <row r="6319" spans="1:10" x14ac:dyDescent="0.3">
      <c r="A6319" t="s">
        <v>12310</v>
      </c>
      <c r="B6319" t="s">
        <v>12311</v>
      </c>
      <c r="D6319">
        <v>10.5</v>
      </c>
      <c r="E6319" t="s">
        <v>91</v>
      </c>
      <c r="F6319" t="s">
        <v>2115</v>
      </c>
    </row>
    <row r="6320" spans="1:10" x14ac:dyDescent="0.3">
      <c r="A6320" t="s">
        <v>12312</v>
      </c>
      <c r="B6320" t="s">
        <v>4094</v>
      </c>
      <c r="D6320">
        <v>0.5</v>
      </c>
      <c r="E6320" t="s">
        <v>23</v>
      </c>
      <c r="F6320" t="s">
        <v>281</v>
      </c>
    </row>
    <row r="6321" spans="1:10" x14ac:dyDescent="0.3">
      <c r="A6321" t="s">
        <v>12313</v>
      </c>
      <c r="B6321" t="s">
        <v>6760</v>
      </c>
      <c r="D6321">
        <v>1.5</v>
      </c>
      <c r="E6321" t="s">
        <v>23</v>
      </c>
      <c r="F6321" t="s">
        <v>1506</v>
      </c>
    </row>
    <row r="6322" spans="1:10" x14ac:dyDescent="0.3">
      <c r="A6322" t="s">
        <v>12314</v>
      </c>
      <c r="B6322" t="s">
        <v>5192</v>
      </c>
      <c r="D6322">
        <v>2</v>
      </c>
      <c r="E6322" t="s">
        <v>23</v>
      </c>
      <c r="F6322" t="s">
        <v>233</v>
      </c>
    </row>
    <row r="6323" spans="1:10" x14ac:dyDescent="0.3">
      <c r="A6323" t="s">
        <v>12315</v>
      </c>
      <c r="B6323" t="s">
        <v>12316</v>
      </c>
      <c r="D6323">
        <v>1</v>
      </c>
      <c r="E6323" t="s">
        <v>23</v>
      </c>
      <c r="F6323" t="s">
        <v>12317</v>
      </c>
    </row>
    <row r="6324" spans="1:10" x14ac:dyDescent="0.3">
      <c r="A6324" t="s">
        <v>2616</v>
      </c>
      <c r="B6324" t="s">
        <v>12318</v>
      </c>
      <c r="D6324">
        <v>1</v>
      </c>
      <c r="F6324" t="s">
        <v>12319</v>
      </c>
      <c r="J6324" t="s">
        <v>1968</v>
      </c>
    </row>
    <row r="6325" spans="1:10" x14ac:dyDescent="0.3">
      <c r="A6325" t="s">
        <v>12320</v>
      </c>
      <c r="B6325" t="s">
        <v>80</v>
      </c>
      <c r="D6325">
        <v>0.5</v>
      </c>
      <c r="E6325" t="s">
        <v>37</v>
      </c>
      <c r="F6325" t="s">
        <v>81</v>
      </c>
    </row>
    <row r="6326" spans="1:10" x14ac:dyDescent="0.3">
      <c r="A6326" t="s">
        <v>12321</v>
      </c>
      <c r="B6326" t="s">
        <v>1156</v>
      </c>
      <c r="D6326">
        <v>4</v>
      </c>
      <c r="E6326" t="s">
        <v>189</v>
      </c>
      <c r="F6326" t="s">
        <v>190</v>
      </c>
    </row>
    <row r="6327" spans="1:10" x14ac:dyDescent="0.3">
      <c r="A6327" t="s">
        <v>3978</v>
      </c>
      <c r="B6327" t="s">
        <v>12322</v>
      </c>
      <c r="F6327" t="s">
        <v>6614</v>
      </c>
      <c r="J6327" t="s">
        <v>164</v>
      </c>
    </row>
    <row r="6328" spans="1:10" x14ac:dyDescent="0.3">
      <c r="A6328" t="s">
        <v>7547</v>
      </c>
      <c r="B6328" t="s">
        <v>12323</v>
      </c>
      <c r="D6328">
        <v>8</v>
      </c>
      <c r="F6328" t="s">
        <v>1193</v>
      </c>
    </row>
    <row r="6329" spans="1:10" x14ac:dyDescent="0.3">
      <c r="A6329" t="s">
        <v>12324</v>
      </c>
      <c r="B6329" t="s">
        <v>12325</v>
      </c>
      <c r="D6329">
        <v>10</v>
      </c>
      <c r="E6329" t="s">
        <v>29</v>
      </c>
      <c r="F6329" t="s">
        <v>5327</v>
      </c>
    </row>
    <row r="6330" spans="1:10" x14ac:dyDescent="0.3">
      <c r="A6330" t="s">
        <v>12326</v>
      </c>
      <c r="B6330" t="s">
        <v>8760</v>
      </c>
      <c r="D6330">
        <v>2</v>
      </c>
      <c r="E6330" t="s">
        <v>23</v>
      </c>
      <c r="F6330" t="s">
        <v>2927</v>
      </c>
    </row>
    <row r="6331" spans="1:10" x14ac:dyDescent="0.3">
      <c r="A6331" t="s">
        <v>12327</v>
      </c>
      <c r="B6331" t="s">
        <v>3595</v>
      </c>
      <c r="D6331">
        <v>2</v>
      </c>
      <c r="E6331" t="s">
        <v>23</v>
      </c>
      <c r="F6331" t="s">
        <v>365</v>
      </c>
    </row>
    <row r="6332" spans="1:10" x14ac:dyDescent="0.3">
      <c r="A6332" t="s">
        <v>12328</v>
      </c>
      <c r="B6332" t="s">
        <v>12329</v>
      </c>
      <c r="D6332">
        <v>0.5</v>
      </c>
      <c r="E6332" t="s">
        <v>23</v>
      </c>
      <c r="F6332" t="s">
        <v>11616</v>
      </c>
    </row>
    <row r="6333" spans="1:10" x14ac:dyDescent="0.3">
      <c r="A6333" t="s">
        <v>12330</v>
      </c>
      <c r="B6333" t="s">
        <v>7223</v>
      </c>
      <c r="D6333">
        <v>1</v>
      </c>
      <c r="E6333" t="s">
        <v>23</v>
      </c>
      <c r="F6333" t="s">
        <v>7224</v>
      </c>
    </row>
    <row r="6334" spans="1:10" x14ac:dyDescent="0.3">
      <c r="A6334" t="s">
        <v>12331</v>
      </c>
      <c r="B6334" t="s">
        <v>1276</v>
      </c>
      <c r="D6334">
        <v>1</v>
      </c>
      <c r="E6334" t="s">
        <v>368</v>
      </c>
      <c r="F6334" t="s">
        <v>1097</v>
      </c>
    </row>
    <row r="6335" spans="1:10" x14ac:dyDescent="0.3">
      <c r="A6335" t="s">
        <v>12273</v>
      </c>
      <c r="B6335" t="s">
        <v>5984</v>
      </c>
      <c r="D6335">
        <v>2</v>
      </c>
      <c r="E6335" t="s">
        <v>23</v>
      </c>
      <c r="F6335" t="s">
        <v>1003</v>
      </c>
    </row>
    <row r="6336" spans="1:10" x14ac:dyDescent="0.3">
      <c r="A6336" t="s">
        <v>12332</v>
      </c>
      <c r="B6336" t="s">
        <v>923</v>
      </c>
      <c r="D6336">
        <v>1.5</v>
      </c>
      <c r="E6336" t="s">
        <v>23</v>
      </c>
      <c r="F6336" t="s">
        <v>233</v>
      </c>
    </row>
    <row r="6337" spans="1:10" x14ac:dyDescent="0.3">
      <c r="A6337" t="s">
        <v>12333</v>
      </c>
      <c r="B6337" t="s">
        <v>12334</v>
      </c>
      <c r="D6337">
        <v>8</v>
      </c>
      <c r="E6337" t="s">
        <v>345</v>
      </c>
      <c r="F6337" t="s">
        <v>8425</v>
      </c>
      <c r="J6337" t="s">
        <v>12335</v>
      </c>
    </row>
    <row r="6338" spans="1:10" x14ac:dyDescent="0.3">
      <c r="A6338" t="s">
        <v>9239</v>
      </c>
      <c r="B6338" t="s">
        <v>12336</v>
      </c>
      <c r="D6338">
        <v>15</v>
      </c>
      <c r="E6338" t="s">
        <v>29</v>
      </c>
      <c r="F6338" t="s">
        <v>233</v>
      </c>
      <c r="J6338" t="s">
        <v>289</v>
      </c>
    </row>
    <row r="6339" spans="1:10" x14ac:dyDescent="0.3">
      <c r="A6339" t="s">
        <v>12337</v>
      </c>
      <c r="B6339" t="s">
        <v>12338</v>
      </c>
      <c r="D6339">
        <v>1</v>
      </c>
      <c r="E6339" t="s">
        <v>23</v>
      </c>
      <c r="F6339" t="s">
        <v>12339</v>
      </c>
    </row>
    <row r="6340" spans="1:10" x14ac:dyDescent="0.3">
      <c r="A6340" t="s">
        <v>12340</v>
      </c>
      <c r="B6340" t="s">
        <v>12341</v>
      </c>
      <c r="D6340">
        <v>20</v>
      </c>
      <c r="E6340" t="s">
        <v>29</v>
      </c>
      <c r="F6340" t="s">
        <v>233</v>
      </c>
    </row>
    <row r="6341" spans="1:10" x14ac:dyDescent="0.3">
      <c r="A6341" t="s">
        <v>12342</v>
      </c>
      <c r="B6341" t="s">
        <v>12343</v>
      </c>
      <c r="D6341">
        <v>2</v>
      </c>
      <c r="E6341" t="s">
        <v>91</v>
      </c>
      <c r="F6341" t="s">
        <v>638</v>
      </c>
    </row>
    <row r="6342" spans="1:10" x14ac:dyDescent="0.3">
      <c r="A6342" t="s">
        <v>2639</v>
      </c>
      <c r="B6342" t="s">
        <v>12344</v>
      </c>
      <c r="D6342">
        <v>0.5</v>
      </c>
      <c r="E6342" t="s">
        <v>37</v>
      </c>
      <c r="F6342" t="s">
        <v>288</v>
      </c>
    </row>
    <row r="6343" spans="1:10" x14ac:dyDescent="0.3">
      <c r="A6343" t="s">
        <v>12345</v>
      </c>
      <c r="B6343" t="s">
        <v>12346</v>
      </c>
      <c r="D6343" t="s">
        <v>5125</v>
      </c>
      <c r="E6343" t="s">
        <v>23</v>
      </c>
      <c r="F6343" t="s">
        <v>1488</v>
      </c>
      <c r="J6343" t="s">
        <v>1177</v>
      </c>
    </row>
    <row r="6344" spans="1:10" x14ac:dyDescent="0.3">
      <c r="A6344" t="s">
        <v>12347</v>
      </c>
      <c r="B6344" t="s">
        <v>12348</v>
      </c>
      <c r="D6344">
        <v>8</v>
      </c>
      <c r="E6344" t="s">
        <v>23</v>
      </c>
      <c r="F6344" t="s">
        <v>2703</v>
      </c>
    </row>
    <row r="6345" spans="1:10" x14ac:dyDescent="0.3">
      <c r="A6345" t="s">
        <v>5230</v>
      </c>
      <c r="B6345" t="s">
        <v>3925</v>
      </c>
      <c r="D6345">
        <v>0.5</v>
      </c>
      <c r="E6345" t="s">
        <v>23</v>
      </c>
      <c r="F6345" t="s">
        <v>793</v>
      </c>
    </row>
    <row r="6346" spans="1:10" x14ac:dyDescent="0.3">
      <c r="A6346" t="s">
        <v>3249</v>
      </c>
      <c r="B6346" t="s">
        <v>5237</v>
      </c>
      <c r="F6346" t="s">
        <v>2166</v>
      </c>
      <c r="G6346" t="s">
        <v>4383</v>
      </c>
      <c r="J6346" t="s">
        <v>1124</v>
      </c>
    </row>
    <row r="6347" spans="1:10" x14ac:dyDescent="0.3">
      <c r="A6347" t="s">
        <v>12349</v>
      </c>
      <c r="B6347" t="s">
        <v>12350</v>
      </c>
      <c r="D6347">
        <v>1.5</v>
      </c>
      <c r="E6347" t="s">
        <v>2210</v>
      </c>
      <c r="F6347" t="s">
        <v>233</v>
      </c>
      <c r="J6347" t="s">
        <v>289</v>
      </c>
    </row>
    <row r="6348" spans="1:10" x14ac:dyDescent="0.3">
      <c r="A6348" t="s">
        <v>6736</v>
      </c>
      <c r="B6348" t="s">
        <v>12351</v>
      </c>
      <c r="D6348">
        <v>0.5</v>
      </c>
      <c r="E6348" t="s">
        <v>460</v>
      </c>
      <c r="F6348" t="s">
        <v>2078</v>
      </c>
      <c r="G6348" t="s">
        <v>6569</v>
      </c>
    </row>
    <row r="6349" spans="1:10" x14ac:dyDescent="0.3">
      <c r="A6349" t="s">
        <v>2419</v>
      </c>
      <c r="B6349" t="s">
        <v>12352</v>
      </c>
      <c r="D6349">
        <v>2</v>
      </c>
      <c r="E6349" t="s">
        <v>345</v>
      </c>
      <c r="F6349" t="s">
        <v>1003</v>
      </c>
    </row>
    <row r="6350" spans="1:10" x14ac:dyDescent="0.3">
      <c r="A6350" t="s">
        <v>7544</v>
      </c>
      <c r="B6350" t="s">
        <v>12353</v>
      </c>
      <c r="D6350">
        <v>0.25</v>
      </c>
      <c r="E6350" t="s">
        <v>37</v>
      </c>
      <c r="F6350" t="s">
        <v>4337</v>
      </c>
    </row>
    <row r="6351" spans="1:10" x14ac:dyDescent="0.3">
      <c r="A6351" t="s">
        <v>12354</v>
      </c>
      <c r="B6351" t="s">
        <v>12355</v>
      </c>
      <c r="D6351">
        <v>0.5</v>
      </c>
      <c r="E6351" t="s">
        <v>23</v>
      </c>
      <c r="F6351" t="s">
        <v>4506</v>
      </c>
    </row>
    <row r="6352" spans="1:10" x14ac:dyDescent="0.3">
      <c r="A6352" t="s">
        <v>12356</v>
      </c>
      <c r="B6352" t="s">
        <v>12357</v>
      </c>
      <c r="D6352">
        <v>0.25</v>
      </c>
      <c r="F6352" t="s">
        <v>1056</v>
      </c>
      <c r="J6352" t="s">
        <v>11496</v>
      </c>
    </row>
    <row r="6353" spans="1:10" x14ac:dyDescent="0.3">
      <c r="A6353" t="s">
        <v>12358</v>
      </c>
      <c r="B6353" t="s">
        <v>12359</v>
      </c>
      <c r="D6353">
        <v>0.5</v>
      </c>
      <c r="E6353" t="s">
        <v>37</v>
      </c>
      <c r="F6353" t="s">
        <v>12360</v>
      </c>
    </row>
    <row r="6354" spans="1:10" x14ac:dyDescent="0.3">
      <c r="A6354" t="s">
        <v>12361</v>
      </c>
      <c r="B6354" t="s">
        <v>12362</v>
      </c>
      <c r="D6354">
        <v>15</v>
      </c>
      <c r="E6354" t="s">
        <v>29</v>
      </c>
      <c r="F6354" t="s">
        <v>112</v>
      </c>
    </row>
    <row r="6355" spans="1:10" x14ac:dyDescent="0.3">
      <c r="A6355" t="s">
        <v>4010</v>
      </c>
      <c r="B6355" t="s">
        <v>12363</v>
      </c>
      <c r="D6355">
        <v>1</v>
      </c>
      <c r="E6355" t="s">
        <v>23</v>
      </c>
      <c r="F6355" t="s">
        <v>4644</v>
      </c>
    </row>
    <row r="6356" spans="1:10" x14ac:dyDescent="0.3">
      <c r="A6356" t="s">
        <v>12364</v>
      </c>
      <c r="B6356" t="s">
        <v>12365</v>
      </c>
      <c r="F6356" t="s">
        <v>12365</v>
      </c>
    </row>
    <row r="6357" spans="1:10" x14ac:dyDescent="0.3">
      <c r="A6357" t="s">
        <v>12366</v>
      </c>
      <c r="B6357" t="s">
        <v>12367</v>
      </c>
      <c r="D6357">
        <v>20</v>
      </c>
      <c r="E6357" t="s">
        <v>29</v>
      </c>
      <c r="F6357" t="s">
        <v>12368</v>
      </c>
    </row>
    <row r="6358" spans="1:10" x14ac:dyDescent="0.3">
      <c r="A6358" t="s">
        <v>12369</v>
      </c>
      <c r="B6358" t="s">
        <v>10110</v>
      </c>
      <c r="D6358">
        <v>2</v>
      </c>
      <c r="E6358" t="s">
        <v>1338</v>
      </c>
      <c r="F6358" t="s">
        <v>3353</v>
      </c>
      <c r="J6358" t="s">
        <v>289</v>
      </c>
    </row>
    <row r="6359" spans="1:10" x14ac:dyDescent="0.3">
      <c r="A6359" t="s">
        <v>12370</v>
      </c>
      <c r="B6359" t="s">
        <v>2760</v>
      </c>
      <c r="D6359">
        <v>0.75</v>
      </c>
      <c r="E6359" t="s">
        <v>23</v>
      </c>
      <c r="F6359" t="s">
        <v>331</v>
      </c>
    </row>
    <row r="6360" spans="1:10" x14ac:dyDescent="0.3">
      <c r="A6360" t="s">
        <v>12371</v>
      </c>
      <c r="B6360" t="s">
        <v>139</v>
      </c>
      <c r="D6360">
        <v>0.5</v>
      </c>
      <c r="E6360" t="s">
        <v>11</v>
      </c>
      <c r="F6360" t="s">
        <v>140</v>
      </c>
    </row>
    <row r="6361" spans="1:10" x14ac:dyDescent="0.3">
      <c r="A6361" t="s">
        <v>12372</v>
      </c>
      <c r="B6361" t="s">
        <v>1858</v>
      </c>
      <c r="D6361">
        <v>1</v>
      </c>
      <c r="E6361" t="s">
        <v>1785</v>
      </c>
      <c r="F6361" t="s">
        <v>233</v>
      </c>
    </row>
    <row r="6362" spans="1:10" x14ac:dyDescent="0.3">
      <c r="A6362" t="s">
        <v>12373</v>
      </c>
      <c r="B6362" t="s">
        <v>12374</v>
      </c>
      <c r="D6362">
        <v>0.5</v>
      </c>
      <c r="E6362" t="s">
        <v>284</v>
      </c>
      <c r="F6362" t="s">
        <v>160</v>
      </c>
      <c r="G6362" t="s">
        <v>167</v>
      </c>
      <c r="H6362" t="s">
        <v>168</v>
      </c>
      <c r="J6362" t="s">
        <v>12375</v>
      </c>
    </row>
    <row r="6363" spans="1:10" x14ac:dyDescent="0.3">
      <c r="A6363" t="s">
        <v>334</v>
      </c>
      <c r="B6363" t="s">
        <v>6901</v>
      </c>
      <c r="D6363">
        <v>1.5</v>
      </c>
      <c r="E6363" t="s">
        <v>345</v>
      </c>
      <c r="F6363" t="s">
        <v>516</v>
      </c>
    </row>
    <row r="6364" spans="1:10" x14ac:dyDescent="0.3">
      <c r="A6364" t="s">
        <v>12376</v>
      </c>
      <c r="B6364" t="s">
        <v>12377</v>
      </c>
      <c r="D6364">
        <v>0.5</v>
      </c>
      <c r="E6364" t="s">
        <v>23</v>
      </c>
      <c r="F6364" t="s">
        <v>1543</v>
      </c>
    </row>
    <row r="6365" spans="1:10" x14ac:dyDescent="0.3">
      <c r="A6365" t="s">
        <v>12378</v>
      </c>
      <c r="B6365" t="s">
        <v>11533</v>
      </c>
      <c r="D6365">
        <v>2</v>
      </c>
      <c r="E6365" t="s">
        <v>23</v>
      </c>
      <c r="F6365" t="s">
        <v>11151</v>
      </c>
    </row>
    <row r="6366" spans="1:10" x14ac:dyDescent="0.3">
      <c r="A6366" t="s">
        <v>12379</v>
      </c>
      <c r="B6366" t="s">
        <v>12380</v>
      </c>
      <c r="D6366">
        <v>0.5</v>
      </c>
      <c r="E6366" t="s">
        <v>37</v>
      </c>
      <c r="F6366" t="s">
        <v>12381</v>
      </c>
    </row>
    <row r="6367" spans="1:10" x14ac:dyDescent="0.3">
      <c r="A6367" t="s">
        <v>4124</v>
      </c>
      <c r="B6367" t="s">
        <v>12382</v>
      </c>
      <c r="D6367">
        <v>1</v>
      </c>
      <c r="E6367" t="s">
        <v>1843</v>
      </c>
      <c r="F6367" t="s">
        <v>7950</v>
      </c>
      <c r="G6367" t="s">
        <v>12383</v>
      </c>
      <c r="J6367" t="s">
        <v>12384</v>
      </c>
    </row>
    <row r="6368" spans="1:10" x14ac:dyDescent="0.3">
      <c r="A6368" t="s">
        <v>12385</v>
      </c>
      <c r="B6368" t="s">
        <v>12386</v>
      </c>
      <c r="D6368">
        <v>30</v>
      </c>
      <c r="E6368" t="s">
        <v>29</v>
      </c>
      <c r="F6368" t="s">
        <v>12387</v>
      </c>
    </row>
    <row r="6369" spans="1:10" x14ac:dyDescent="0.3">
      <c r="A6369" t="s">
        <v>12388</v>
      </c>
      <c r="B6369" t="s">
        <v>12389</v>
      </c>
      <c r="D6369">
        <v>1</v>
      </c>
      <c r="F6369" t="s">
        <v>4865</v>
      </c>
      <c r="G6369" t="s">
        <v>2854</v>
      </c>
      <c r="J6369" t="s">
        <v>325</v>
      </c>
    </row>
    <row r="6370" spans="1:10" x14ac:dyDescent="0.3">
      <c r="A6370" t="s">
        <v>12390</v>
      </c>
      <c r="B6370" t="s">
        <v>12391</v>
      </c>
      <c r="D6370">
        <v>1</v>
      </c>
      <c r="E6370" t="s">
        <v>37</v>
      </c>
      <c r="F6370" t="s">
        <v>12392</v>
      </c>
    </row>
    <row r="6371" spans="1:10" x14ac:dyDescent="0.3">
      <c r="A6371" t="s">
        <v>12393</v>
      </c>
      <c r="B6371" t="s">
        <v>12394</v>
      </c>
      <c r="D6371">
        <v>2</v>
      </c>
      <c r="E6371" t="s">
        <v>345</v>
      </c>
      <c r="F6371" t="s">
        <v>1476</v>
      </c>
    </row>
    <row r="6372" spans="1:10" x14ac:dyDescent="0.3">
      <c r="A6372" t="s">
        <v>12395</v>
      </c>
      <c r="B6372" t="s">
        <v>12396</v>
      </c>
      <c r="D6372">
        <v>2.5</v>
      </c>
      <c r="E6372" t="s">
        <v>473</v>
      </c>
      <c r="F6372" t="s">
        <v>3710</v>
      </c>
    </row>
    <row r="6373" spans="1:10" x14ac:dyDescent="0.3">
      <c r="A6373" t="s">
        <v>2755</v>
      </c>
      <c r="B6373" t="s">
        <v>1055</v>
      </c>
      <c r="D6373">
        <v>1</v>
      </c>
      <c r="F6373" t="s">
        <v>1056</v>
      </c>
      <c r="G6373" t="s">
        <v>585</v>
      </c>
      <c r="J6373" t="s">
        <v>12070</v>
      </c>
    </row>
    <row r="6374" spans="1:10" x14ac:dyDescent="0.3">
      <c r="A6374" t="s">
        <v>12397</v>
      </c>
      <c r="B6374" t="s">
        <v>12398</v>
      </c>
      <c r="D6374">
        <v>2</v>
      </c>
      <c r="F6374" t="s">
        <v>12399</v>
      </c>
      <c r="J6374" t="s">
        <v>1124</v>
      </c>
    </row>
    <row r="6375" spans="1:10" x14ac:dyDescent="0.3">
      <c r="A6375" t="s">
        <v>228</v>
      </c>
      <c r="B6375" t="s">
        <v>12400</v>
      </c>
      <c r="D6375">
        <v>2</v>
      </c>
      <c r="E6375" t="s">
        <v>23</v>
      </c>
      <c r="F6375" t="s">
        <v>5257</v>
      </c>
    </row>
    <row r="6376" spans="1:10" x14ac:dyDescent="0.3">
      <c r="A6376" t="s">
        <v>12401</v>
      </c>
      <c r="B6376" t="s">
        <v>333</v>
      </c>
      <c r="F6376" t="s">
        <v>333</v>
      </c>
    </row>
    <row r="6377" spans="1:10" x14ac:dyDescent="0.3">
      <c r="A6377" t="s">
        <v>12402</v>
      </c>
      <c r="B6377" t="s">
        <v>12403</v>
      </c>
      <c r="D6377">
        <v>4</v>
      </c>
      <c r="E6377" t="s">
        <v>60</v>
      </c>
      <c r="F6377" t="s">
        <v>4035</v>
      </c>
    </row>
    <row r="6378" spans="1:10" x14ac:dyDescent="0.3">
      <c r="A6378" t="s">
        <v>6809</v>
      </c>
      <c r="B6378" t="s">
        <v>12404</v>
      </c>
      <c r="D6378">
        <v>1</v>
      </c>
      <c r="E6378" t="s">
        <v>361</v>
      </c>
      <c r="F6378" t="s">
        <v>1006</v>
      </c>
    </row>
    <row r="6379" spans="1:10" x14ac:dyDescent="0.3">
      <c r="A6379" t="s">
        <v>12405</v>
      </c>
      <c r="B6379" t="s">
        <v>333</v>
      </c>
      <c r="F6379" t="s">
        <v>333</v>
      </c>
    </row>
    <row r="6380" spans="1:10" x14ac:dyDescent="0.3">
      <c r="A6380" t="s">
        <v>12406</v>
      </c>
      <c r="B6380" t="s">
        <v>12407</v>
      </c>
      <c r="D6380" t="s">
        <v>8811</v>
      </c>
      <c r="E6380" t="s">
        <v>189</v>
      </c>
      <c r="F6380" t="s">
        <v>3891</v>
      </c>
    </row>
    <row r="6381" spans="1:10" x14ac:dyDescent="0.3">
      <c r="A6381" t="s">
        <v>12333</v>
      </c>
      <c r="B6381" t="s">
        <v>12408</v>
      </c>
      <c r="D6381">
        <v>8</v>
      </c>
      <c r="E6381" t="s">
        <v>345</v>
      </c>
      <c r="F6381" t="s">
        <v>12409</v>
      </c>
      <c r="J6381" t="s">
        <v>12410</v>
      </c>
    </row>
    <row r="6382" spans="1:10" x14ac:dyDescent="0.3">
      <c r="A6382" t="s">
        <v>12411</v>
      </c>
      <c r="B6382" t="s">
        <v>63</v>
      </c>
      <c r="F6382" t="s">
        <v>64</v>
      </c>
      <c r="J6382" t="s">
        <v>65</v>
      </c>
    </row>
    <row r="6383" spans="1:10" x14ac:dyDescent="0.3">
      <c r="A6383" t="s">
        <v>12412</v>
      </c>
      <c r="B6383" t="s">
        <v>11257</v>
      </c>
      <c r="D6383">
        <v>3</v>
      </c>
      <c r="E6383" t="s">
        <v>91</v>
      </c>
      <c r="F6383" t="s">
        <v>1030</v>
      </c>
    </row>
    <row r="6384" spans="1:10" x14ac:dyDescent="0.3">
      <c r="A6384" t="s">
        <v>6245</v>
      </c>
      <c r="B6384" t="s">
        <v>12413</v>
      </c>
      <c r="D6384">
        <v>1.5</v>
      </c>
      <c r="E6384" t="s">
        <v>23</v>
      </c>
      <c r="F6384" t="s">
        <v>638</v>
      </c>
    </row>
    <row r="6385" spans="1:10" x14ac:dyDescent="0.3">
      <c r="A6385" t="s">
        <v>2278</v>
      </c>
      <c r="B6385" t="s">
        <v>1317</v>
      </c>
      <c r="D6385">
        <v>1</v>
      </c>
      <c r="E6385" t="s">
        <v>11</v>
      </c>
      <c r="F6385" t="s">
        <v>524</v>
      </c>
    </row>
    <row r="6386" spans="1:10" x14ac:dyDescent="0.3">
      <c r="A6386" t="s">
        <v>12414</v>
      </c>
      <c r="B6386" t="s">
        <v>264</v>
      </c>
      <c r="D6386">
        <v>1</v>
      </c>
      <c r="E6386" t="s">
        <v>11</v>
      </c>
      <c r="F6386" t="s">
        <v>265</v>
      </c>
    </row>
    <row r="6387" spans="1:10" x14ac:dyDescent="0.3">
      <c r="A6387" t="s">
        <v>293</v>
      </c>
      <c r="B6387" t="s">
        <v>12415</v>
      </c>
      <c r="D6387">
        <v>1</v>
      </c>
      <c r="E6387" t="s">
        <v>469</v>
      </c>
      <c r="F6387" t="s">
        <v>2166</v>
      </c>
      <c r="G6387" t="s">
        <v>4383</v>
      </c>
      <c r="H6387" t="s">
        <v>168</v>
      </c>
    </row>
    <row r="6388" spans="1:10" x14ac:dyDescent="0.3">
      <c r="A6388" t="s">
        <v>12416</v>
      </c>
      <c r="B6388" t="s">
        <v>12417</v>
      </c>
      <c r="D6388">
        <v>3</v>
      </c>
      <c r="E6388" t="s">
        <v>345</v>
      </c>
      <c r="F6388" t="s">
        <v>12418</v>
      </c>
      <c r="J6388" t="s">
        <v>12419</v>
      </c>
    </row>
    <row r="6389" spans="1:10" x14ac:dyDescent="0.3">
      <c r="A6389" t="s">
        <v>12420</v>
      </c>
      <c r="B6389" t="s">
        <v>1567</v>
      </c>
      <c r="D6389">
        <v>3</v>
      </c>
      <c r="E6389" t="s">
        <v>1212</v>
      </c>
      <c r="F6389" t="s">
        <v>1568</v>
      </c>
    </row>
    <row r="6390" spans="1:10" x14ac:dyDescent="0.3">
      <c r="A6390" t="s">
        <v>12421</v>
      </c>
      <c r="B6390" t="s">
        <v>7239</v>
      </c>
      <c r="D6390">
        <v>50</v>
      </c>
      <c r="E6390" t="s">
        <v>29</v>
      </c>
      <c r="F6390" t="s">
        <v>12387</v>
      </c>
    </row>
    <row r="6391" spans="1:10" x14ac:dyDescent="0.3">
      <c r="A6391" t="s">
        <v>12422</v>
      </c>
      <c r="B6391" t="s">
        <v>12423</v>
      </c>
      <c r="D6391">
        <v>0.5</v>
      </c>
      <c r="F6391" t="s">
        <v>12424</v>
      </c>
    </row>
    <row r="6392" spans="1:10" x14ac:dyDescent="0.3">
      <c r="A6392" t="s">
        <v>12425</v>
      </c>
      <c r="B6392" t="s">
        <v>2988</v>
      </c>
      <c r="D6392">
        <v>0.75</v>
      </c>
      <c r="E6392" t="s">
        <v>37</v>
      </c>
      <c r="F6392" t="s">
        <v>81</v>
      </c>
    </row>
    <row r="6393" spans="1:10" x14ac:dyDescent="0.3">
      <c r="A6393" t="s">
        <v>9604</v>
      </c>
      <c r="B6393" t="s">
        <v>12426</v>
      </c>
      <c r="D6393">
        <v>25</v>
      </c>
      <c r="E6393" t="s">
        <v>29</v>
      </c>
      <c r="F6393" t="s">
        <v>1328</v>
      </c>
    </row>
    <row r="6394" spans="1:10" x14ac:dyDescent="0.3">
      <c r="A6394" t="s">
        <v>6962</v>
      </c>
      <c r="B6394" t="s">
        <v>1055</v>
      </c>
      <c r="D6394">
        <v>1</v>
      </c>
      <c r="E6394" t="s">
        <v>585</v>
      </c>
      <c r="F6394" t="s">
        <v>1056</v>
      </c>
      <c r="J6394" t="s">
        <v>248</v>
      </c>
    </row>
    <row r="6395" spans="1:10" x14ac:dyDescent="0.3">
      <c r="A6395" t="s">
        <v>12427</v>
      </c>
      <c r="B6395" t="s">
        <v>12428</v>
      </c>
      <c r="D6395">
        <v>2</v>
      </c>
      <c r="E6395" t="s">
        <v>23</v>
      </c>
      <c r="F6395" t="s">
        <v>12429</v>
      </c>
    </row>
    <row r="6396" spans="1:10" x14ac:dyDescent="0.3">
      <c r="A6396" t="s">
        <v>5068</v>
      </c>
      <c r="B6396" t="s">
        <v>253</v>
      </c>
      <c r="F6396" t="s">
        <v>253</v>
      </c>
    </row>
    <row r="6397" spans="1:10" x14ac:dyDescent="0.3">
      <c r="A6397" t="s">
        <v>7300</v>
      </c>
      <c r="B6397" t="s">
        <v>1173</v>
      </c>
      <c r="F6397" t="s">
        <v>1173</v>
      </c>
    </row>
    <row r="6398" spans="1:10" x14ac:dyDescent="0.3">
      <c r="A6398" t="s">
        <v>12430</v>
      </c>
      <c r="B6398" t="s">
        <v>12431</v>
      </c>
      <c r="D6398">
        <v>150</v>
      </c>
      <c r="E6398" t="s">
        <v>29</v>
      </c>
      <c r="F6398" t="s">
        <v>12432</v>
      </c>
    </row>
    <row r="6399" spans="1:10" x14ac:dyDescent="0.3">
      <c r="A6399" t="s">
        <v>12433</v>
      </c>
      <c r="B6399" t="s">
        <v>12434</v>
      </c>
      <c r="D6399">
        <v>4</v>
      </c>
      <c r="E6399" t="s">
        <v>1212</v>
      </c>
      <c r="F6399" t="s">
        <v>12435</v>
      </c>
      <c r="J6399" t="s">
        <v>1470</v>
      </c>
    </row>
    <row r="6400" spans="1:10" x14ac:dyDescent="0.3">
      <c r="A6400" t="s">
        <v>6018</v>
      </c>
      <c r="B6400" t="s">
        <v>12436</v>
      </c>
      <c r="D6400">
        <v>0.25</v>
      </c>
      <c r="E6400" t="s">
        <v>284</v>
      </c>
      <c r="F6400" t="s">
        <v>1537</v>
      </c>
    </row>
    <row r="6401" spans="1:10" x14ac:dyDescent="0.3">
      <c r="A6401" t="s">
        <v>12437</v>
      </c>
      <c r="B6401" t="s">
        <v>12438</v>
      </c>
      <c r="D6401">
        <v>2</v>
      </c>
      <c r="E6401" t="s">
        <v>23</v>
      </c>
      <c r="F6401" t="s">
        <v>2496</v>
      </c>
    </row>
    <row r="6402" spans="1:10" x14ac:dyDescent="0.3">
      <c r="A6402" t="s">
        <v>12439</v>
      </c>
      <c r="B6402" t="s">
        <v>12440</v>
      </c>
      <c r="D6402">
        <v>5</v>
      </c>
      <c r="E6402" t="s">
        <v>91</v>
      </c>
      <c r="F6402" t="s">
        <v>12059</v>
      </c>
    </row>
    <row r="6403" spans="1:10" x14ac:dyDescent="0.3">
      <c r="A6403" t="s">
        <v>1514</v>
      </c>
      <c r="B6403" t="s">
        <v>8891</v>
      </c>
      <c r="D6403">
        <v>15</v>
      </c>
      <c r="E6403" t="s">
        <v>29</v>
      </c>
      <c r="F6403" t="s">
        <v>115</v>
      </c>
    </row>
    <row r="6404" spans="1:10" x14ac:dyDescent="0.3">
      <c r="A6404" t="s">
        <v>12441</v>
      </c>
      <c r="B6404" t="s">
        <v>2697</v>
      </c>
      <c r="D6404">
        <v>1</v>
      </c>
      <c r="E6404" t="s">
        <v>60</v>
      </c>
      <c r="F6404" t="s">
        <v>331</v>
      </c>
    </row>
    <row r="6405" spans="1:10" x14ac:dyDescent="0.3">
      <c r="A6405" t="s">
        <v>12442</v>
      </c>
      <c r="B6405" t="s">
        <v>12443</v>
      </c>
      <c r="D6405">
        <v>1</v>
      </c>
      <c r="E6405" t="s">
        <v>23</v>
      </c>
      <c r="F6405" t="s">
        <v>1867</v>
      </c>
    </row>
    <row r="6406" spans="1:10" x14ac:dyDescent="0.3">
      <c r="A6406" t="s">
        <v>12444</v>
      </c>
      <c r="B6406" t="s">
        <v>12445</v>
      </c>
      <c r="D6406">
        <v>2</v>
      </c>
      <c r="E6406" t="s">
        <v>189</v>
      </c>
      <c r="F6406" t="s">
        <v>12446</v>
      </c>
      <c r="J6406" t="s">
        <v>893</v>
      </c>
    </row>
    <row r="6407" spans="1:10" x14ac:dyDescent="0.3">
      <c r="A6407" t="s">
        <v>12447</v>
      </c>
      <c r="B6407" t="s">
        <v>12448</v>
      </c>
      <c r="D6407">
        <v>0.75</v>
      </c>
      <c r="E6407" t="s">
        <v>23</v>
      </c>
      <c r="F6407" t="s">
        <v>551</v>
      </c>
      <c r="H6407" t="s">
        <v>68</v>
      </c>
    </row>
    <row r="6408" spans="1:10" x14ac:dyDescent="0.3">
      <c r="A6408" t="s">
        <v>12449</v>
      </c>
      <c r="B6408" t="s">
        <v>8905</v>
      </c>
      <c r="D6408">
        <v>1</v>
      </c>
      <c r="E6408" t="s">
        <v>23</v>
      </c>
      <c r="F6408" t="s">
        <v>1003</v>
      </c>
    </row>
    <row r="6409" spans="1:10" x14ac:dyDescent="0.3">
      <c r="A6409" t="s">
        <v>5023</v>
      </c>
      <c r="B6409" t="s">
        <v>12450</v>
      </c>
      <c r="D6409">
        <v>1</v>
      </c>
      <c r="E6409" t="s">
        <v>4545</v>
      </c>
      <c r="F6409" t="s">
        <v>9161</v>
      </c>
      <c r="G6409" t="s">
        <v>1813</v>
      </c>
    </row>
    <row r="6410" spans="1:10" x14ac:dyDescent="0.3">
      <c r="A6410" t="s">
        <v>12451</v>
      </c>
      <c r="B6410" t="s">
        <v>12452</v>
      </c>
      <c r="D6410">
        <v>1.5</v>
      </c>
      <c r="E6410" t="s">
        <v>23</v>
      </c>
      <c r="F6410" t="s">
        <v>349</v>
      </c>
    </row>
    <row r="6411" spans="1:10" x14ac:dyDescent="0.3">
      <c r="A6411" t="s">
        <v>12453</v>
      </c>
      <c r="B6411" t="s">
        <v>12454</v>
      </c>
      <c r="D6411">
        <v>0.33</v>
      </c>
      <c r="E6411" t="s">
        <v>23</v>
      </c>
      <c r="F6411" t="s">
        <v>12455</v>
      </c>
    </row>
    <row r="6412" spans="1:10" x14ac:dyDescent="0.3">
      <c r="A6412" t="s">
        <v>12456</v>
      </c>
      <c r="B6412" t="s">
        <v>12457</v>
      </c>
      <c r="D6412">
        <v>1</v>
      </c>
      <c r="E6412" t="s">
        <v>23</v>
      </c>
      <c r="F6412" t="s">
        <v>292</v>
      </c>
    </row>
    <row r="6413" spans="1:10" x14ac:dyDescent="0.3">
      <c r="A6413" t="s">
        <v>11027</v>
      </c>
      <c r="B6413" t="s">
        <v>12458</v>
      </c>
      <c r="D6413">
        <v>15</v>
      </c>
      <c r="E6413" t="s">
        <v>37</v>
      </c>
      <c r="F6413" t="s">
        <v>2602</v>
      </c>
      <c r="J6413" t="s">
        <v>12459</v>
      </c>
    </row>
    <row r="6414" spans="1:10" x14ac:dyDescent="0.3">
      <c r="A6414" t="s">
        <v>4692</v>
      </c>
      <c r="B6414" t="s">
        <v>4134</v>
      </c>
      <c r="D6414">
        <v>1</v>
      </c>
      <c r="E6414" t="s">
        <v>23</v>
      </c>
      <c r="F6414" t="s">
        <v>233</v>
      </c>
      <c r="J6414" t="s">
        <v>289</v>
      </c>
    </row>
    <row r="6415" spans="1:10" x14ac:dyDescent="0.3">
      <c r="A6415" t="s">
        <v>12460</v>
      </c>
      <c r="B6415" t="s">
        <v>12461</v>
      </c>
      <c r="D6415">
        <v>4.5</v>
      </c>
      <c r="E6415" t="s">
        <v>345</v>
      </c>
      <c r="F6415" t="s">
        <v>41</v>
      </c>
      <c r="J6415" t="s">
        <v>12462</v>
      </c>
    </row>
    <row r="6416" spans="1:10" x14ac:dyDescent="0.3">
      <c r="A6416" t="s">
        <v>1845</v>
      </c>
      <c r="B6416" t="s">
        <v>12463</v>
      </c>
      <c r="D6416">
        <v>0.25</v>
      </c>
      <c r="E6416" t="s">
        <v>23</v>
      </c>
      <c r="F6416" t="s">
        <v>979</v>
      </c>
      <c r="J6416" t="s">
        <v>289</v>
      </c>
    </row>
    <row r="6417" spans="1:10" x14ac:dyDescent="0.3">
      <c r="A6417" t="s">
        <v>12464</v>
      </c>
      <c r="B6417" t="s">
        <v>12465</v>
      </c>
      <c r="E6417" t="s">
        <v>1212</v>
      </c>
      <c r="F6417" t="s">
        <v>152</v>
      </c>
      <c r="J6417" t="s">
        <v>164</v>
      </c>
    </row>
    <row r="6418" spans="1:10" x14ac:dyDescent="0.3">
      <c r="A6418" t="s">
        <v>12466</v>
      </c>
      <c r="B6418" t="s">
        <v>1286</v>
      </c>
      <c r="D6418">
        <v>2</v>
      </c>
      <c r="E6418" t="s">
        <v>91</v>
      </c>
      <c r="F6418" t="s">
        <v>281</v>
      </c>
    </row>
    <row r="6419" spans="1:10" x14ac:dyDescent="0.3">
      <c r="A6419" t="s">
        <v>12467</v>
      </c>
      <c r="B6419" t="s">
        <v>3584</v>
      </c>
      <c r="D6419">
        <v>15</v>
      </c>
      <c r="E6419" t="s">
        <v>29</v>
      </c>
      <c r="F6419" t="s">
        <v>793</v>
      </c>
    </row>
    <row r="6420" spans="1:10" x14ac:dyDescent="0.3">
      <c r="A6420" t="s">
        <v>12468</v>
      </c>
      <c r="B6420" t="s">
        <v>3510</v>
      </c>
      <c r="D6420">
        <v>35</v>
      </c>
      <c r="E6420" t="s">
        <v>29</v>
      </c>
      <c r="F6420" t="s">
        <v>3511</v>
      </c>
    </row>
    <row r="6421" spans="1:10" x14ac:dyDescent="0.3">
      <c r="A6421" t="s">
        <v>7535</v>
      </c>
      <c r="B6421" t="s">
        <v>12469</v>
      </c>
      <c r="D6421">
        <v>50</v>
      </c>
      <c r="E6421" t="s">
        <v>29</v>
      </c>
      <c r="F6421" t="s">
        <v>311</v>
      </c>
    </row>
    <row r="6422" spans="1:10" x14ac:dyDescent="0.3">
      <c r="A6422" t="s">
        <v>12470</v>
      </c>
      <c r="B6422" t="s">
        <v>674</v>
      </c>
      <c r="D6422">
        <v>0.5</v>
      </c>
      <c r="E6422" t="s">
        <v>23</v>
      </c>
      <c r="F6422" t="s">
        <v>38</v>
      </c>
      <c r="H6422" t="s">
        <v>68</v>
      </c>
    </row>
    <row r="6423" spans="1:10" x14ac:dyDescent="0.3">
      <c r="A6423" t="s">
        <v>6572</v>
      </c>
      <c r="B6423" t="s">
        <v>12471</v>
      </c>
      <c r="D6423">
        <v>4</v>
      </c>
      <c r="E6423" t="s">
        <v>189</v>
      </c>
      <c r="F6423" t="s">
        <v>10747</v>
      </c>
    </row>
    <row r="6424" spans="1:10" x14ac:dyDescent="0.3">
      <c r="A6424" t="s">
        <v>12270</v>
      </c>
      <c r="B6424" t="s">
        <v>1286</v>
      </c>
      <c r="D6424">
        <v>2</v>
      </c>
      <c r="E6424" t="s">
        <v>91</v>
      </c>
      <c r="F6424" t="s">
        <v>281</v>
      </c>
    </row>
    <row r="6425" spans="1:10" x14ac:dyDescent="0.3">
      <c r="A6425" t="s">
        <v>10354</v>
      </c>
      <c r="B6425" t="s">
        <v>12472</v>
      </c>
      <c r="D6425">
        <v>1</v>
      </c>
      <c r="F6425" t="s">
        <v>12473</v>
      </c>
    </row>
    <row r="6426" spans="1:10" x14ac:dyDescent="0.3">
      <c r="A6426" t="s">
        <v>12474</v>
      </c>
      <c r="B6426" t="s">
        <v>12475</v>
      </c>
      <c r="D6426">
        <v>1</v>
      </c>
      <c r="E6426" t="s">
        <v>11</v>
      </c>
      <c r="F6426" t="s">
        <v>781</v>
      </c>
    </row>
    <row r="6427" spans="1:10" x14ac:dyDescent="0.3">
      <c r="A6427" t="s">
        <v>12476</v>
      </c>
      <c r="B6427" t="s">
        <v>12477</v>
      </c>
      <c r="D6427">
        <v>1</v>
      </c>
      <c r="E6427" t="s">
        <v>23</v>
      </c>
      <c r="F6427" t="s">
        <v>12478</v>
      </c>
      <c r="J6427" t="s">
        <v>12479</v>
      </c>
    </row>
    <row r="6428" spans="1:10" x14ac:dyDescent="0.3">
      <c r="A6428" t="s">
        <v>12480</v>
      </c>
      <c r="B6428" t="s">
        <v>3787</v>
      </c>
      <c r="E6428" t="s">
        <v>246</v>
      </c>
      <c r="F6428" t="s">
        <v>591</v>
      </c>
    </row>
    <row r="6429" spans="1:10" x14ac:dyDescent="0.3">
      <c r="A6429" t="s">
        <v>6316</v>
      </c>
      <c r="B6429" t="s">
        <v>12481</v>
      </c>
      <c r="D6429">
        <v>2</v>
      </c>
      <c r="E6429" t="s">
        <v>91</v>
      </c>
      <c r="F6429" t="s">
        <v>12482</v>
      </c>
      <c r="J6429" t="s">
        <v>1470</v>
      </c>
    </row>
    <row r="6430" spans="1:10" x14ac:dyDescent="0.3">
      <c r="A6430" t="s">
        <v>9444</v>
      </c>
      <c r="B6430" t="s">
        <v>12483</v>
      </c>
      <c r="E6430" t="s">
        <v>469</v>
      </c>
      <c r="F6430" t="s">
        <v>12484</v>
      </c>
      <c r="J6430" t="s">
        <v>289</v>
      </c>
    </row>
    <row r="6431" spans="1:10" x14ac:dyDescent="0.3">
      <c r="A6431" t="s">
        <v>536</v>
      </c>
      <c r="B6431" t="s">
        <v>12485</v>
      </c>
      <c r="D6431">
        <v>3</v>
      </c>
      <c r="E6431" t="s">
        <v>91</v>
      </c>
      <c r="F6431" t="s">
        <v>12486</v>
      </c>
      <c r="J6431" t="s">
        <v>1470</v>
      </c>
    </row>
    <row r="6432" spans="1:10" x14ac:dyDescent="0.3">
      <c r="A6432" t="s">
        <v>12487</v>
      </c>
      <c r="B6432" t="s">
        <v>637</v>
      </c>
      <c r="D6432">
        <v>1</v>
      </c>
      <c r="E6432" t="s">
        <v>23</v>
      </c>
      <c r="F6432" t="s">
        <v>638</v>
      </c>
    </row>
    <row r="6433" spans="1:10" x14ac:dyDescent="0.3">
      <c r="A6433" t="s">
        <v>5693</v>
      </c>
      <c r="B6433" t="s">
        <v>12488</v>
      </c>
      <c r="D6433">
        <v>0.25</v>
      </c>
      <c r="E6433" t="s">
        <v>23</v>
      </c>
      <c r="F6433" t="s">
        <v>12489</v>
      </c>
    </row>
    <row r="6434" spans="1:10" x14ac:dyDescent="0.3">
      <c r="A6434" t="s">
        <v>12490</v>
      </c>
      <c r="B6434" t="s">
        <v>3987</v>
      </c>
      <c r="D6434">
        <v>1</v>
      </c>
      <c r="F6434" t="s">
        <v>1436</v>
      </c>
    </row>
    <row r="6435" spans="1:10" x14ac:dyDescent="0.3">
      <c r="A6435" t="s">
        <v>7103</v>
      </c>
      <c r="B6435" t="s">
        <v>981</v>
      </c>
      <c r="D6435">
        <v>1</v>
      </c>
      <c r="E6435" t="s">
        <v>151</v>
      </c>
      <c r="F6435" t="s">
        <v>163</v>
      </c>
    </row>
    <row r="6436" spans="1:10" x14ac:dyDescent="0.3">
      <c r="A6436" t="s">
        <v>12491</v>
      </c>
      <c r="B6436" t="s">
        <v>12492</v>
      </c>
      <c r="D6436">
        <v>25</v>
      </c>
      <c r="E6436" t="s">
        <v>29</v>
      </c>
      <c r="F6436" t="s">
        <v>12493</v>
      </c>
    </row>
    <row r="6437" spans="1:10" x14ac:dyDescent="0.3">
      <c r="A6437" t="s">
        <v>2687</v>
      </c>
      <c r="B6437" t="s">
        <v>12494</v>
      </c>
      <c r="D6437" t="s">
        <v>5342</v>
      </c>
      <c r="F6437" t="s">
        <v>538</v>
      </c>
      <c r="H6437" t="s">
        <v>68</v>
      </c>
      <c r="J6437" t="s">
        <v>548</v>
      </c>
    </row>
    <row r="6438" spans="1:10" x14ac:dyDescent="0.3">
      <c r="A6438" t="s">
        <v>12495</v>
      </c>
      <c r="B6438" t="s">
        <v>518</v>
      </c>
      <c r="F6438" t="s">
        <v>518</v>
      </c>
    </row>
    <row r="6439" spans="1:10" x14ac:dyDescent="0.3">
      <c r="A6439" t="s">
        <v>4895</v>
      </c>
      <c r="B6439" t="s">
        <v>2988</v>
      </c>
      <c r="D6439">
        <v>0.75</v>
      </c>
      <c r="E6439" t="s">
        <v>37</v>
      </c>
      <c r="F6439" t="s">
        <v>81</v>
      </c>
    </row>
    <row r="6440" spans="1:10" x14ac:dyDescent="0.3">
      <c r="A6440" t="s">
        <v>12496</v>
      </c>
      <c r="B6440" t="s">
        <v>459</v>
      </c>
      <c r="D6440">
        <v>2</v>
      </c>
      <c r="E6440" t="s">
        <v>460</v>
      </c>
      <c r="F6440" t="s">
        <v>30</v>
      </c>
    </row>
    <row r="6441" spans="1:10" x14ac:dyDescent="0.3">
      <c r="A6441" t="s">
        <v>7786</v>
      </c>
      <c r="B6441" t="s">
        <v>1392</v>
      </c>
      <c r="D6441">
        <v>1</v>
      </c>
      <c r="E6441" t="s">
        <v>151</v>
      </c>
      <c r="F6441" t="s">
        <v>152</v>
      </c>
    </row>
    <row r="6442" spans="1:10" x14ac:dyDescent="0.3">
      <c r="A6442" t="s">
        <v>805</v>
      </c>
      <c r="B6442" t="s">
        <v>3057</v>
      </c>
      <c r="D6442">
        <v>8</v>
      </c>
      <c r="E6442" t="s">
        <v>23</v>
      </c>
      <c r="F6442" t="s">
        <v>581</v>
      </c>
      <c r="I6442" t="s">
        <v>3058</v>
      </c>
    </row>
    <row r="6443" spans="1:10" x14ac:dyDescent="0.3">
      <c r="A6443" t="s">
        <v>12497</v>
      </c>
      <c r="B6443" t="s">
        <v>4926</v>
      </c>
      <c r="D6443">
        <v>2</v>
      </c>
      <c r="E6443" t="s">
        <v>23</v>
      </c>
      <c r="F6443" t="s">
        <v>880</v>
      </c>
    </row>
    <row r="6444" spans="1:10" x14ac:dyDescent="0.3">
      <c r="A6444" t="s">
        <v>12498</v>
      </c>
      <c r="B6444" t="s">
        <v>12499</v>
      </c>
      <c r="D6444">
        <v>0.5</v>
      </c>
      <c r="E6444" t="s">
        <v>23</v>
      </c>
      <c r="F6444" t="s">
        <v>1532</v>
      </c>
    </row>
    <row r="6445" spans="1:10" x14ac:dyDescent="0.3">
      <c r="A6445" t="s">
        <v>12500</v>
      </c>
      <c r="B6445" t="s">
        <v>8170</v>
      </c>
      <c r="D6445">
        <v>4</v>
      </c>
      <c r="E6445" t="s">
        <v>23</v>
      </c>
      <c r="F6445" t="s">
        <v>738</v>
      </c>
    </row>
    <row r="6446" spans="1:10" x14ac:dyDescent="0.3">
      <c r="A6446" t="s">
        <v>1350</v>
      </c>
      <c r="B6446" t="s">
        <v>7206</v>
      </c>
      <c r="D6446">
        <v>70</v>
      </c>
      <c r="E6446" t="s">
        <v>29</v>
      </c>
      <c r="F6446" t="s">
        <v>12501</v>
      </c>
    </row>
    <row r="6447" spans="1:10" x14ac:dyDescent="0.3">
      <c r="A6447" t="s">
        <v>8237</v>
      </c>
      <c r="B6447" t="s">
        <v>3134</v>
      </c>
      <c r="D6447">
        <v>2</v>
      </c>
      <c r="E6447" t="s">
        <v>23</v>
      </c>
      <c r="F6447" t="s">
        <v>1209</v>
      </c>
    </row>
    <row r="6448" spans="1:10" x14ac:dyDescent="0.3">
      <c r="A6448" t="s">
        <v>12502</v>
      </c>
      <c r="B6448" t="s">
        <v>12503</v>
      </c>
      <c r="F6448" t="s">
        <v>12503</v>
      </c>
    </row>
    <row r="6449" spans="1:10" x14ac:dyDescent="0.3">
      <c r="A6449" t="s">
        <v>2481</v>
      </c>
      <c r="B6449" t="s">
        <v>12504</v>
      </c>
      <c r="D6449">
        <v>12.5</v>
      </c>
      <c r="E6449" t="s">
        <v>29</v>
      </c>
      <c r="F6449" t="s">
        <v>2410</v>
      </c>
    </row>
    <row r="6450" spans="1:10" x14ac:dyDescent="0.3">
      <c r="A6450" t="s">
        <v>5522</v>
      </c>
      <c r="B6450" t="s">
        <v>152</v>
      </c>
      <c r="F6450" t="s">
        <v>152</v>
      </c>
    </row>
    <row r="6451" spans="1:10" x14ac:dyDescent="0.3">
      <c r="A6451" t="s">
        <v>12505</v>
      </c>
      <c r="B6451" t="s">
        <v>12506</v>
      </c>
      <c r="F6451" t="s">
        <v>12506</v>
      </c>
    </row>
    <row r="6452" spans="1:10" x14ac:dyDescent="0.3">
      <c r="A6452" t="s">
        <v>12507</v>
      </c>
      <c r="B6452" t="s">
        <v>8520</v>
      </c>
      <c r="D6452">
        <v>1</v>
      </c>
      <c r="E6452" t="s">
        <v>246</v>
      </c>
      <c r="F6452" t="s">
        <v>591</v>
      </c>
      <c r="J6452" t="s">
        <v>248</v>
      </c>
    </row>
    <row r="6453" spans="1:10" x14ac:dyDescent="0.3">
      <c r="A6453" t="s">
        <v>232</v>
      </c>
      <c r="B6453" t="s">
        <v>8760</v>
      </c>
      <c r="D6453">
        <v>2</v>
      </c>
      <c r="E6453" t="s">
        <v>23</v>
      </c>
      <c r="F6453" t="s">
        <v>2927</v>
      </c>
    </row>
    <row r="6454" spans="1:10" x14ac:dyDescent="0.3">
      <c r="A6454" t="s">
        <v>12508</v>
      </c>
      <c r="B6454" t="s">
        <v>2809</v>
      </c>
      <c r="D6454">
        <v>1</v>
      </c>
      <c r="E6454" t="s">
        <v>1671</v>
      </c>
      <c r="F6454" t="s">
        <v>152</v>
      </c>
      <c r="J6454" t="s">
        <v>248</v>
      </c>
    </row>
    <row r="6455" spans="1:10" x14ac:dyDescent="0.3">
      <c r="A6455" t="s">
        <v>12509</v>
      </c>
      <c r="B6455" t="s">
        <v>12510</v>
      </c>
      <c r="D6455">
        <v>0.25</v>
      </c>
      <c r="E6455" t="s">
        <v>460</v>
      </c>
      <c r="F6455" t="s">
        <v>822</v>
      </c>
    </row>
    <row r="6456" spans="1:10" x14ac:dyDescent="0.3">
      <c r="A6456" t="s">
        <v>12511</v>
      </c>
      <c r="B6456" t="s">
        <v>12512</v>
      </c>
      <c r="D6456">
        <v>3</v>
      </c>
      <c r="E6456" t="s">
        <v>23</v>
      </c>
      <c r="F6456" t="s">
        <v>880</v>
      </c>
    </row>
    <row r="6457" spans="1:10" x14ac:dyDescent="0.3">
      <c r="A6457" t="s">
        <v>12513</v>
      </c>
      <c r="B6457" t="s">
        <v>1269</v>
      </c>
      <c r="D6457">
        <v>1</v>
      </c>
      <c r="E6457" t="s">
        <v>23</v>
      </c>
      <c r="F6457" t="s">
        <v>380</v>
      </c>
    </row>
    <row r="6458" spans="1:10" x14ac:dyDescent="0.3">
      <c r="A6458" t="s">
        <v>12514</v>
      </c>
      <c r="B6458" t="s">
        <v>12515</v>
      </c>
      <c r="D6458">
        <v>10</v>
      </c>
      <c r="E6458" t="s">
        <v>29</v>
      </c>
      <c r="F6458" t="s">
        <v>4600</v>
      </c>
    </row>
    <row r="6459" spans="1:10" x14ac:dyDescent="0.3">
      <c r="A6459" t="s">
        <v>12516</v>
      </c>
      <c r="B6459" t="s">
        <v>12517</v>
      </c>
      <c r="D6459">
        <v>10</v>
      </c>
      <c r="E6459" t="s">
        <v>345</v>
      </c>
      <c r="F6459" t="s">
        <v>877</v>
      </c>
      <c r="J6459" t="s">
        <v>12518</v>
      </c>
    </row>
    <row r="6460" spans="1:10" x14ac:dyDescent="0.3">
      <c r="A6460" t="s">
        <v>12519</v>
      </c>
      <c r="B6460" t="s">
        <v>12520</v>
      </c>
      <c r="D6460">
        <v>2</v>
      </c>
      <c r="E6460" t="s">
        <v>23</v>
      </c>
      <c r="F6460" t="s">
        <v>10571</v>
      </c>
    </row>
    <row r="6461" spans="1:10" x14ac:dyDescent="0.3">
      <c r="A6461" t="s">
        <v>12340</v>
      </c>
      <c r="B6461" t="s">
        <v>12521</v>
      </c>
      <c r="D6461">
        <v>10</v>
      </c>
      <c r="E6461" t="s">
        <v>29</v>
      </c>
      <c r="F6461" t="s">
        <v>12522</v>
      </c>
    </row>
    <row r="6462" spans="1:10" x14ac:dyDescent="0.3">
      <c r="A6462" t="s">
        <v>12523</v>
      </c>
      <c r="B6462" t="s">
        <v>10336</v>
      </c>
      <c r="D6462">
        <v>0.75</v>
      </c>
      <c r="E6462" t="s">
        <v>23</v>
      </c>
      <c r="F6462" t="s">
        <v>199</v>
      </c>
    </row>
    <row r="6463" spans="1:10" x14ac:dyDescent="0.3">
      <c r="A6463" t="s">
        <v>12524</v>
      </c>
      <c r="B6463" t="s">
        <v>12525</v>
      </c>
      <c r="D6463">
        <v>1</v>
      </c>
      <c r="E6463" t="s">
        <v>23</v>
      </c>
      <c r="F6463" t="s">
        <v>12526</v>
      </c>
    </row>
    <row r="6464" spans="1:10" x14ac:dyDescent="0.3">
      <c r="A6464" t="s">
        <v>12527</v>
      </c>
      <c r="B6464" t="s">
        <v>12528</v>
      </c>
      <c r="D6464">
        <v>0.5</v>
      </c>
      <c r="F6464" t="s">
        <v>10868</v>
      </c>
      <c r="J6464" t="s">
        <v>12529</v>
      </c>
    </row>
    <row r="6465" spans="1:10" x14ac:dyDescent="0.3">
      <c r="A6465" t="s">
        <v>10856</v>
      </c>
      <c r="B6465" t="s">
        <v>8034</v>
      </c>
      <c r="D6465">
        <v>1</v>
      </c>
      <c r="E6465" t="s">
        <v>23</v>
      </c>
      <c r="F6465" t="s">
        <v>4212</v>
      </c>
    </row>
    <row r="6466" spans="1:10" x14ac:dyDescent="0.3">
      <c r="A6466" t="s">
        <v>12530</v>
      </c>
      <c r="B6466" t="s">
        <v>12531</v>
      </c>
      <c r="D6466">
        <v>1</v>
      </c>
      <c r="E6466" t="s">
        <v>23</v>
      </c>
      <c r="F6466" t="s">
        <v>5948</v>
      </c>
    </row>
    <row r="6467" spans="1:10" x14ac:dyDescent="0.3">
      <c r="A6467" t="s">
        <v>5535</v>
      </c>
      <c r="B6467" t="s">
        <v>6392</v>
      </c>
      <c r="D6467">
        <v>2</v>
      </c>
      <c r="E6467" t="s">
        <v>189</v>
      </c>
      <c r="F6467" t="s">
        <v>2214</v>
      </c>
    </row>
    <row r="6468" spans="1:10" x14ac:dyDescent="0.3">
      <c r="A6468" t="s">
        <v>536</v>
      </c>
      <c r="B6468" t="s">
        <v>12532</v>
      </c>
      <c r="D6468">
        <v>1</v>
      </c>
      <c r="F6468" t="s">
        <v>12533</v>
      </c>
      <c r="J6468" t="s">
        <v>12534</v>
      </c>
    </row>
    <row r="6469" spans="1:10" x14ac:dyDescent="0.3">
      <c r="A6469" t="s">
        <v>12535</v>
      </c>
      <c r="B6469" t="s">
        <v>9777</v>
      </c>
      <c r="D6469">
        <v>25</v>
      </c>
      <c r="E6469" t="s">
        <v>29</v>
      </c>
      <c r="F6469" t="s">
        <v>8731</v>
      </c>
    </row>
    <row r="6470" spans="1:10" x14ac:dyDescent="0.3">
      <c r="A6470" t="s">
        <v>12536</v>
      </c>
      <c r="B6470" t="s">
        <v>333</v>
      </c>
      <c r="F6470" t="s">
        <v>333</v>
      </c>
    </row>
    <row r="6471" spans="1:10" x14ac:dyDescent="0.3">
      <c r="A6471" t="s">
        <v>12537</v>
      </c>
      <c r="B6471" t="s">
        <v>12538</v>
      </c>
      <c r="D6471">
        <v>1.5</v>
      </c>
      <c r="E6471" t="s">
        <v>460</v>
      </c>
      <c r="F6471" t="s">
        <v>10391</v>
      </c>
    </row>
    <row r="6472" spans="1:10" x14ac:dyDescent="0.3">
      <c r="A6472" t="s">
        <v>9982</v>
      </c>
      <c r="B6472" t="s">
        <v>12539</v>
      </c>
      <c r="D6472">
        <v>30</v>
      </c>
      <c r="E6472" t="s">
        <v>29</v>
      </c>
      <c r="F6472" t="s">
        <v>12540</v>
      </c>
    </row>
    <row r="6473" spans="1:10" x14ac:dyDescent="0.3">
      <c r="A6473" t="s">
        <v>12541</v>
      </c>
      <c r="B6473" t="s">
        <v>12542</v>
      </c>
      <c r="D6473">
        <v>10</v>
      </c>
      <c r="E6473" t="s">
        <v>23</v>
      </c>
      <c r="F6473" t="s">
        <v>3366</v>
      </c>
    </row>
    <row r="6474" spans="1:10" x14ac:dyDescent="0.3">
      <c r="A6474" t="s">
        <v>4800</v>
      </c>
      <c r="B6474" t="s">
        <v>12543</v>
      </c>
      <c r="D6474">
        <v>3</v>
      </c>
      <c r="E6474" t="s">
        <v>176</v>
      </c>
      <c r="F6474" t="s">
        <v>2763</v>
      </c>
    </row>
    <row r="6475" spans="1:10" x14ac:dyDescent="0.3">
      <c r="A6475" t="s">
        <v>12544</v>
      </c>
      <c r="B6475" t="s">
        <v>3471</v>
      </c>
      <c r="F6475" t="s">
        <v>3471</v>
      </c>
    </row>
    <row r="6476" spans="1:10" x14ac:dyDescent="0.3">
      <c r="A6476" t="s">
        <v>12545</v>
      </c>
      <c r="B6476" t="s">
        <v>11067</v>
      </c>
      <c r="D6476">
        <v>10</v>
      </c>
      <c r="E6476" t="s">
        <v>29</v>
      </c>
      <c r="F6476" t="s">
        <v>857</v>
      </c>
    </row>
    <row r="6477" spans="1:10" x14ac:dyDescent="0.3">
      <c r="A6477" t="s">
        <v>12546</v>
      </c>
      <c r="B6477" t="s">
        <v>12547</v>
      </c>
      <c r="D6477">
        <v>15</v>
      </c>
      <c r="E6477" t="s">
        <v>29</v>
      </c>
      <c r="F6477" t="s">
        <v>12548</v>
      </c>
    </row>
    <row r="6478" spans="1:10" x14ac:dyDescent="0.3">
      <c r="A6478" t="s">
        <v>12549</v>
      </c>
      <c r="B6478" t="s">
        <v>12550</v>
      </c>
      <c r="D6478">
        <v>3</v>
      </c>
      <c r="E6478" t="s">
        <v>12551</v>
      </c>
      <c r="F6478" t="s">
        <v>98</v>
      </c>
      <c r="J6478" t="s">
        <v>289</v>
      </c>
    </row>
    <row r="6479" spans="1:10" x14ac:dyDescent="0.3">
      <c r="A6479" t="s">
        <v>10678</v>
      </c>
      <c r="B6479" t="s">
        <v>12552</v>
      </c>
      <c r="D6479">
        <v>0.75</v>
      </c>
      <c r="E6479" t="s">
        <v>23</v>
      </c>
      <c r="F6479" t="s">
        <v>12553</v>
      </c>
    </row>
    <row r="6480" spans="1:10" x14ac:dyDescent="0.3">
      <c r="A6480" t="s">
        <v>566</v>
      </c>
      <c r="B6480" t="s">
        <v>12554</v>
      </c>
      <c r="D6480">
        <v>2</v>
      </c>
      <c r="F6480" t="s">
        <v>12555</v>
      </c>
      <c r="H6480" t="s">
        <v>12556</v>
      </c>
      <c r="J6480" t="s">
        <v>325</v>
      </c>
    </row>
    <row r="6481" spans="1:10" x14ac:dyDescent="0.3">
      <c r="A6481" t="s">
        <v>12557</v>
      </c>
      <c r="B6481" t="s">
        <v>12558</v>
      </c>
      <c r="F6481" t="s">
        <v>2955</v>
      </c>
      <c r="J6481" t="s">
        <v>12559</v>
      </c>
    </row>
    <row r="6482" spans="1:10" x14ac:dyDescent="0.3">
      <c r="A6482" t="s">
        <v>12560</v>
      </c>
      <c r="B6482" t="s">
        <v>1361</v>
      </c>
      <c r="F6482" t="s">
        <v>1361</v>
      </c>
    </row>
    <row r="6483" spans="1:10" x14ac:dyDescent="0.3">
      <c r="A6483" t="s">
        <v>12561</v>
      </c>
      <c r="B6483" t="s">
        <v>5643</v>
      </c>
      <c r="D6483">
        <v>0.5</v>
      </c>
      <c r="E6483" t="s">
        <v>23</v>
      </c>
      <c r="F6483" t="s">
        <v>4728</v>
      </c>
    </row>
    <row r="6484" spans="1:10" x14ac:dyDescent="0.3">
      <c r="A6484" t="s">
        <v>8039</v>
      </c>
      <c r="B6484" t="s">
        <v>12562</v>
      </c>
      <c r="D6484">
        <v>4</v>
      </c>
      <c r="E6484" t="s">
        <v>345</v>
      </c>
      <c r="F6484" t="s">
        <v>1644</v>
      </c>
    </row>
    <row r="6485" spans="1:10" x14ac:dyDescent="0.3">
      <c r="A6485" t="s">
        <v>1045</v>
      </c>
      <c r="B6485" t="s">
        <v>12563</v>
      </c>
      <c r="D6485">
        <v>0.5</v>
      </c>
      <c r="E6485" t="s">
        <v>23</v>
      </c>
      <c r="F6485" t="s">
        <v>8653</v>
      </c>
    </row>
    <row r="6486" spans="1:10" x14ac:dyDescent="0.3">
      <c r="A6486" t="s">
        <v>12564</v>
      </c>
      <c r="B6486" t="s">
        <v>12565</v>
      </c>
      <c r="D6486">
        <v>0.75</v>
      </c>
      <c r="E6486" t="s">
        <v>12566</v>
      </c>
      <c r="F6486" t="s">
        <v>41</v>
      </c>
    </row>
    <row r="6487" spans="1:10" x14ac:dyDescent="0.3">
      <c r="A6487" t="s">
        <v>12567</v>
      </c>
      <c r="B6487" t="s">
        <v>12568</v>
      </c>
      <c r="D6487">
        <v>0.75</v>
      </c>
      <c r="E6487" t="s">
        <v>11</v>
      </c>
      <c r="F6487" t="s">
        <v>12569</v>
      </c>
      <c r="J6487" t="s">
        <v>1470</v>
      </c>
    </row>
    <row r="6488" spans="1:10" x14ac:dyDescent="0.3">
      <c r="A6488" t="s">
        <v>5819</v>
      </c>
      <c r="B6488" t="s">
        <v>12570</v>
      </c>
      <c r="D6488">
        <v>0.5</v>
      </c>
      <c r="E6488" t="s">
        <v>37</v>
      </c>
      <c r="F6488" t="s">
        <v>1006</v>
      </c>
      <c r="J6488" t="s">
        <v>12571</v>
      </c>
    </row>
    <row r="6489" spans="1:10" x14ac:dyDescent="0.3">
      <c r="A6489" t="s">
        <v>9720</v>
      </c>
      <c r="B6489" t="s">
        <v>12572</v>
      </c>
      <c r="D6489">
        <v>2</v>
      </c>
      <c r="E6489" t="s">
        <v>12573</v>
      </c>
      <c r="F6489" t="s">
        <v>51</v>
      </c>
      <c r="G6489" t="s">
        <v>10695</v>
      </c>
    </row>
    <row r="6490" spans="1:10" x14ac:dyDescent="0.3">
      <c r="A6490" t="s">
        <v>1845</v>
      </c>
      <c r="B6490" t="s">
        <v>12574</v>
      </c>
      <c r="D6490">
        <v>0.25</v>
      </c>
      <c r="E6490" t="s">
        <v>37</v>
      </c>
      <c r="F6490" t="s">
        <v>3576</v>
      </c>
    </row>
    <row r="6491" spans="1:10" x14ac:dyDescent="0.3">
      <c r="A6491" t="s">
        <v>12575</v>
      </c>
      <c r="B6491" t="s">
        <v>12576</v>
      </c>
      <c r="D6491">
        <v>1</v>
      </c>
      <c r="E6491" t="s">
        <v>23</v>
      </c>
      <c r="F6491" t="s">
        <v>781</v>
      </c>
    </row>
    <row r="6492" spans="1:10" x14ac:dyDescent="0.3">
      <c r="A6492" t="s">
        <v>11536</v>
      </c>
      <c r="B6492" t="s">
        <v>12577</v>
      </c>
      <c r="D6492">
        <v>1</v>
      </c>
      <c r="E6492" t="s">
        <v>23</v>
      </c>
      <c r="F6492" t="s">
        <v>587</v>
      </c>
    </row>
    <row r="6493" spans="1:10" x14ac:dyDescent="0.3">
      <c r="A6493" t="s">
        <v>12578</v>
      </c>
      <c r="B6493" t="s">
        <v>2011</v>
      </c>
      <c r="D6493">
        <v>2</v>
      </c>
      <c r="E6493" t="s">
        <v>12579</v>
      </c>
      <c r="F6493" t="s">
        <v>61</v>
      </c>
    </row>
    <row r="6494" spans="1:10" x14ac:dyDescent="0.3">
      <c r="A6494" t="s">
        <v>12580</v>
      </c>
      <c r="B6494" t="s">
        <v>12581</v>
      </c>
      <c r="D6494">
        <v>1</v>
      </c>
      <c r="E6494" t="s">
        <v>368</v>
      </c>
      <c r="F6494" t="s">
        <v>2268</v>
      </c>
    </row>
    <row r="6495" spans="1:10" x14ac:dyDescent="0.3">
      <c r="A6495" t="s">
        <v>10325</v>
      </c>
      <c r="B6495" t="s">
        <v>12582</v>
      </c>
      <c r="D6495">
        <v>0.5</v>
      </c>
      <c r="E6495" t="s">
        <v>23</v>
      </c>
      <c r="F6495" t="s">
        <v>2638</v>
      </c>
    </row>
    <row r="6496" spans="1:10" x14ac:dyDescent="0.3">
      <c r="A6496" t="s">
        <v>4690</v>
      </c>
      <c r="B6496" t="s">
        <v>7163</v>
      </c>
      <c r="D6496">
        <v>2</v>
      </c>
      <c r="E6496" t="s">
        <v>23</v>
      </c>
      <c r="F6496" t="s">
        <v>281</v>
      </c>
      <c r="J6496" t="s">
        <v>289</v>
      </c>
    </row>
    <row r="6497" spans="1:10" x14ac:dyDescent="0.3">
      <c r="A6497" t="s">
        <v>2585</v>
      </c>
      <c r="B6497" t="s">
        <v>1056</v>
      </c>
      <c r="F6497" t="s">
        <v>1056</v>
      </c>
    </row>
    <row r="6498" spans="1:10" x14ac:dyDescent="0.3">
      <c r="A6498" t="s">
        <v>9251</v>
      </c>
      <c r="B6498" t="s">
        <v>12583</v>
      </c>
      <c r="D6498">
        <v>1</v>
      </c>
      <c r="E6498" t="s">
        <v>284</v>
      </c>
      <c r="F6498" t="s">
        <v>413</v>
      </c>
      <c r="J6498" t="s">
        <v>9978</v>
      </c>
    </row>
    <row r="6499" spans="1:10" x14ac:dyDescent="0.3">
      <c r="A6499" t="s">
        <v>12584</v>
      </c>
      <c r="B6499" t="s">
        <v>12585</v>
      </c>
      <c r="D6499">
        <v>1</v>
      </c>
      <c r="E6499" t="s">
        <v>460</v>
      </c>
      <c r="F6499" t="s">
        <v>12586</v>
      </c>
      <c r="G6499" t="s">
        <v>12587</v>
      </c>
      <c r="J6499" t="s">
        <v>12588</v>
      </c>
    </row>
    <row r="6500" spans="1:10" x14ac:dyDescent="0.3">
      <c r="A6500" t="s">
        <v>12589</v>
      </c>
      <c r="B6500" t="s">
        <v>3787</v>
      </c>
      <c r="E6500" t="s">
        <v>246</v>
      </c>
      <c r="F6500" t="s">
        <v>591</v>
      </c>
    </row>
    <row r="6501" spans="1:10" x14ac:dyDescent="0.3">
      <c r="A6501" t="s">
        <v>5704</v>
      </c>
      <c r="B6501" t="s">
        <v>12590</v>
      </c>
      <c r="D6501">
        <v>3</v>
      </c>
      <c r="E6501" t="s">
        <v>23</v>
      </c>
      <c r="F6501" t="s">
        <v>12591</v>
      </c>
    </row>
    <row r="6502" spans="1:10" x14ac:dyDescent="0.3">
      <c r="A6502" t="s">
        <v>12592</v>
      </c>
      <c r="B6502" t="s">
        <v>12593</v>
      </c>
      <c r="D6502">
        <v>1</v>
      </c>
      <c r="E6502" t="s">
        <v>435</v>
      </c>
      <c r="F6502" t="s">
        <v>152</v>
      </c>
    </row>
    <row r="6503" spans="1:10" x14ac:dyDescent="0.3">
      <c r="A6503" t="s">
        <v>12594</v>
      </c>
      <c r="B6503" t="s">
        <v>2140</v>
      </c>
      <c r="D6503">
        <v>1</v>
      </c>
      <c r="E6503" t="s">
        <v>23</v>
      </c>
      <c r="F6503" t="s">
        <v>716</v>
      </c>
    </row>
    <row r="6504" spans="1:10" x14ac:dyDescent="0.3">
      <c r="A6504" t="s">
        <v>5886</v>
      </c>
      <c r="B6504" t="s">
        <v>12595</v>
      </c>
      <c r="D6504">
        <v>1</v>
      </c>
      <c r="E6504" t="s">
        <v>270</v>
      </c>
      <c r="F6504" t="s">
        <v>932</v>
      </c>
    </row>
    <row r="6505" spans="1:10" x14ac:dyDescent="0.3">
      <c r="A6505" t="s">
        <v>12596</v>
      </c>
      <c r="B6505" t="s">
        <v>12597</v>
      </c>
      <c r="E6505" t="s">
        <v>33</v>
      </c>
      <c r="F6505" t="s">
        <v>377</v>
      </c>
      <c r="J6505" t="s">
        <v>12598</v>
      </c>
    </row>
    <row r="6506" spans="1:10" x14ac:dyDescent="0.3">
      <c r="A6506" t="s">
        <v>11534</v>
      </c>
      <c r="B6506" t="s">
        <v>12599</v>
      </c>
      <c r="D6506">
        <v>0.75</v>
      </c>
      <c r="F6506" t="s">
        <v>30</v>
      </c>
    </row>
    <row r="6507" spans="1:10" x14ac:dyDescent="0.3">
      <c r="A6507" t="s">
        <v>12600</v>
      </c>
      <c r="B6507" t="s">
        <v>1977</v>
      </c>
      <c r="F6507" t="s">
        <v>1977</v>
      </c>
    </row>
    <row r="6508" spans="1:10" x14ac:dyDescent="0.3">
      <c r="A6508" t="s">
        <v>7937</v>
      </c>
      <c r="B6508" t="s">
        <v>12601</v>
      </c>
      <c r="D6508">
        <v>2</v>
      </c>
      <c r="E6508" t="s">
        <v>12602</v>
      </c>
      <c r="F6508" t="s">
        <v>1204</v>
      </c>
      <c r="I6508" t="s">
        <v>1078</v>
      </c>
    </row>
    <row r="6509" spans="1:10" x14ac:dyDescent="0.3">
      <c r="A6509" t="s">
        <v>12603</v>
      </c>
      <c r="B6509" t="s">
        <v>12604</v>
      </c>
      <c r="D6509">
        <v>1</v>
      </c>
      <c r="E6509" t="s">
        <v>37</v>
      </c>
      <c r="F6509" t="s">
        <v>12605</v>
      </c>
    </row>
    <row r="6510" spans="1:10" x14ac:dyDescent="0.3">
      <c r="A6510" t="s">
        <v>5379</v>
      </c>
      <c r="B6510" t="s">
        <v>3528</v>
      </c>
      <c r="D6510">
        <v>1</v>
      </c>
      <c r="E6510" t="s">
        <v>23</v>
      </c>
      <c r="F6510" t="s">
        <v>1407</v>
      </c>
    </row>
    <row r="6511" spans="1:10" x14ac:dyDescent="0.3">
      <c r="A6511" t="s">
        <v>12606</v>
      </c>
      <c r="B6511" t="s">
        <v>12607</v>
      </c>
      <c r="D6511">
        <v>8</v>
      </c>
      <c r="F6511" t="s">
        <v>11607</v>
      </c>
    </row>
    <row r="6512" spans="1:10" x14ac:dyDescent="0.3">
      <c r="A6512" t="s">
        <v>2195</v>
      </c>
      <c r="B6512" t="s">
        <v>3218</v>
      </c>
      <c r="F6512" t="s">
        <v>3218</v>
      </c>
    </row>
    <row r="6513" spans="1:10" x14ac:dyDescent="0.3">
      <c r="A6513" t="s">
        <v>10012</v>
      </c>
      <c r="B6513" t="s">
        <v>7062</v>
      </c>
      <c r="D6513">
        <v>1</v>
      </c>
      <c r="E6513" t="s">
        <v>23</v>
      </c>
      <c r="F6513" t="s">
        <v>7063</v>
      </c>
    </row>
    <row r="6514" spans="1:10" x14ac:dyDescent="0.3">
      <c r="A6514" t="s">
        <v>5872</v>
      </c>
      <c r="B6514" t="s">
        <v>9537</v>
      </c>
      <c r="D6514">
        <v>1</v>
      </c>
      <c r="E6514" t="s">
        <v>23</v>
      </c>
      <c r="F6514" t="s">
        <v>7403</v>
      </c>
    </row>
    <row r="6515" spans="1:10" x14ac:dyDescent="0.3">
      <c r="A6515" t="s">
        <v>5559</v>
      </c>
      <c r="B6515" t="s">
        <v>1011</v>
      </c>
      <c r="F6515" t="s">
        <v>1011</v>
      </c>
    </row>
    <row r="6516" spans="1:10" x14ac:dyDescent="0.3">
      <c r="A6516" t="s">
        <v>12608</v>
      </c>
      <c r="B6516" t="s">
        <v>12609</v>
      </c>
      <c r="D6516">
        <v>1</v>
      </c>
      <c r="E6516" t="s">
        <v>850</v>
      </c>
      <c r="F6516" t="s">
        <v>1087</v>
      </c>
    </row>
    <row r="6517" spans="1:10" x14ac:dyDescent="0.3">
      <c r="A6517" t="s">
        <v>12610</v>
      </c>
      <c r="B6517" t="s">
        <v>4386</v>
      </c>
      <c r="D6517">
        <v>50</v>
      </c>
      <c r="E6517" t="s">
        <v>29</v>
      </c>
      <c r="F6517" t="s">
        <v>4387</v>
      </c>
    </row>
    <row r="6518" spans="1:10" x14ac:dyDescent="0.3">
      <c r="A6518" t="s">
        <v>12611</v>
      </c>
      <c r="B6518" t="s">
        <v>1838</v>
      </c>
      <c r="D6518">
        <v>1.5</v>
      </c>
      <c r="E6518" t="s">
        <v>345</v>
      </c>
      <c r="F6518" t="s">
        <v>41</v>
      </c>
    </row>
    <row r="6519" spans="1:10" x14ac:dyDescent="0.3">
      <c r="A6519" t="s">
        <v>12612</v>
      </c>
      <c r="B6519" t="s">
        <v>540</v>
      </c>
      <c r="D6519">
        <v>1</v>
      </c>
      <c r="E6519" t="s">
        <v>18</v>
      </c>
      <c r="F6519" t="s">
        <v>541</v>
      </c>
    </row>
    <row r="6520" spans="1:10" x14ac:dyDescent="0.3">
      <c r="A6520" t="s">
        <v>12613</v>
      </c>
      <c r="B6520" t="s">
        <v>12614</v>
      </c>
      <c r="D6520">
        <v>1</v>
      </c>
      <c r="E6520" t="s">
        <v>11</v>
      </c>
      <c r="F6520" t="s">
        <v>292</v>
      </c>
    </row>
    <row r="6521" spans="1:10" x14ac:dyDescent="0.3">
      <c r="A6521" t="s">
        <v>12615</v>
      </c>
      <c r="B6521" t="s">
        <v>12616</v>
      </c>
      <c r="D6521">
        <v>0.5</v>
      </c>
      <c r="E6521" t="s">
        <v>23</v>
      </c>
      <c r="F6521" t="s">
        <v>12617</v>
      </c>
    </row>
    <row r="6522" spans="1:10" x14ac:dyDescent="0.3">
      <c r="A6522" t="s">
        <v>12527</v>
      </c>
      <c r="B6522" t="s">
        <v>12618</v>
      </c>
      <c r="D6522">
        <v>60</v>
      </c>
      <c r="E6522" t="s">
        <v>29</v>
      </c>
      <c r="F6522" t="s">
        <v>1385</v>
      </c>
    </row>
    <row r="6523" spans="1:10" x14ac:dyDescent="0.3">
      <c r="A6523" t="s">
        <v>12619</v>
      </c>
      <c r="B6523" t="s">
        <v>261</v>
      </c>
      <c r="D6523">
        <v>1</v>
      </c>
      <c r="E6523" t="s">
        <v>111</v>
      </c>
      <c r="F6523" t="s">
        <v>12620</v>
      </c>
    </row>
    <row r="6524" spans="1:10" x14ac:dyDescent="0.3">
      <c r="A6524" t="s">
        <v>12621</v>
      </c>
      <c r="B6524" t="s">
        <v>12622</v>
      </c>
      <c r="D6524">
        <v>0.5</v>
      </c>
      <c r="E6524" t="s">
        <v>23</v>
      </c>
      <c r="F6524" t="s">
        <v>12623</v>
      </c>
      <c r="J6524" t="s">
        <v>289</v>
      </c>
    </row>
    <row r="6525" spans="1:10" x14ac:dyDescent="0.3">
      <c r="A6525" t="s">
        <v>12624</v>
      </c>
      <c r="B6525" t="s">
        <v>5192</v>
      </c>
      <c r="D6525">
        <v>2</v>
      </c>
      <c r="E6525" t="s">
        <v>23</v>
      </c>
      <c r="F6525" t="s">
        <v>233</v>
      </c>
    </row>
    <row r="6526" spans="1:10" x14ac:dyDescent="0.3">
      <c r="A6526" t="s">
        <v>12625</v>
      </c>
      <c r="B6526" t="s">
        <v>12626</v>
      </c>
      <c r="D6526">
        <v>0.5</v>
      </c>
      <c r="E6526" t="s">
        <v>23</v>
      </c>
      <c r="F6526" t="s">
        <v>738</v>
      </c>
      <c r="J6526" t="s">
        <v>289</v>
      </c>
    </row>
    <row r="6527" spans="1:10" x14ac:dyDescent="0.3">
      <c r="A6527" t="s">
        <v>12627</v>
      </c>
      <c r="B6527" t="s">
        <v>7823</v>
      </c>
      <c r="D6527">
        <v>1</v>
      </c>
      <c r="E6527" t="s">
        <v>37</v>
      </c>
      <c r="F6527" t="s">
        <v>1644</v>
      </c>
      <c r="I6527" t="s">
        <v>1078</v>
      </c>
      <c r="J6527" t="s">
        <v>325</v>
      </c>
    </row>
    <row r="6528" spans="1:10" x14ac:dyDescent="0.3">
      <c r="A6528" t="s">
        <v>12628</v>
      </c>
      <c r="B6528" t="s">
        <v>8500</v>
      </c>
      <c r="D6528">
        <v>1</v>
      </c>
      <c r="E6528" t="s">
        <v>18</v>
      </c>
      <c r="F6528" t="s">
        <v>8711</v>
      </c>
      <c r="J6528" t="s">
        <v>1470</v>
      </c>
    </row>
    <row r="6529" spans="1:10" x14ac:dyDescent="0.3">
      <c r="A6529" t="s">
        <v>12629</v>
      </c>
      <c r="B6529" t="s">
        <v>12630</v>
      </c>
      <c r="D6529" t="s">
        <v>12631</v>
      </c>
      <c r="F6529" t="s">
        <v>7333</v>
      </c>
      <c r="J6529" t="s">
        <v>548</v>
      </c>
    </row>
    <row r="6530" spans="1:10" x14ac:dyDescent="0.3">
      <c r="A6530" t="s">
        <v>12632</v>
      </c>
      <c r="B6530" t="s">
        <v>6392</v>
      </c>
      <c r="D6530">
        <v>2</v>
      </c>
      <c r="E6530" t="s">
        <v>189</v>
      </c>
      <c r="F6530" t="s">
        <v>2214</v>
      </c>
    </row>
    <row r="6531" spans="1:10" x14ac:dyDescent="0.3">
      <c r="A6531" t="s">
        <v>12633</v>
      </c>
      <c r="B6531" t="s">
        <v>12634</v>
      </c>
      <c r="D6531">
        <v>10</v>
      </c>
      <c r="F6531" t="s">
        <v>333</v>
      </c>
      <c r="G6531" t="s">
        <v>1247</v>
      </c>
    </row>
    <row r="6532" spans="1:10" x14ac:dyDescent="0.3">
      <c r="A6532" t="s">
        <v>6044</v>
      </c>
      <c r="B6532" t="s">
        <v>12635</v>
      </c>
      <c r="D6532">
        <v>2</v>
      </c>
      <c r="E6532" t="s">
        <v>176</v>
      </c>
      <c r="F6532" t="s">
        <v>12636</v>
      </c>
    </row>
    <row r="6533" spans="1:10" x14ac:dyDescent="0.3">
      <c r="A6533" t="s">
        <v>12637</v>
      </c>
      <c r="B6533" t="s">
        <v>59</v>
      </c>
      <c r="D6533">
        <v>1</v>
      </c>
      <c r="E6533" t="s">
        <v>60</v>
      </c>
      <c r="F6533" t="s">
        <v>61</v>
      </c>
    </row>
    <row r="6534" spans="1:10" x14ac:dyDescent="0.3">
      <c r="A6534" t="s">
        <v>10433</v>
      </c>
      <c r="B6534" t="s">
        <v>12638</v>
      </c>
      <c r="D6534">
        <v>0.5</v>
      </c>
      <c r="E6534" t="s">
        <v>23</v>
      </c>
      <c r="F6534" t="s">
        <v>12639</v>
      </c>
    </row>
    <row r="6535" spans="1:10" x14ac:dyDescent="0.3">
      <c r="A6535" t="s">
        <v>12640</v>
      </c>
      <c r="B6535" t="s">
        <v>945</v>
      </c>
      <c r="D6535">
        <v>10.5</v>
      </c>
      <c r="E6535" t="s">
        <v>91</v>
      </c>
      <c r="F6535" t="s">
        <v>57</v>
      </c>
    </row>
    <row r="6536" spans="1:10" x14ac:dyDescent="0.3">
      <c r="A6536" t="s">
        <v>4918</v>
      </c>
      <c r="B6536" t="s">
        <v>2905</v>
      </c>
      <c r="D6536">
        <v>6</v>
      </c>
      <c r="E6536" t="s">
        <v>23</v>
      </c>
      <c r="F6536" t="s">
        <v>262</v>
      </c>
    </row>
    <row r="6537" spans="1:10" x14ac:dyDescent="0.3">
      <c r="A6537" t="s">
        <v>12641</v>
      </c>
      <c r="B6537" t="s">
        <v>12642</v>
      </c>
      <c r="D6537">
        <v>1</v>
      </c>
      <c r="E6537" t="s">
        <v>11</v>
      </c>
      <c r="F6537" t="s">
        <v>12643</v>
      </c>
    </row>
    <row r="6538" spans="1:10" x14ac:dyDescent="0.3">
      <c r="A6538" t="s">
        <v>12644</v>
      </c>
      <c r="B6538" t="s">
        <v>12645</v>
      </c>
      <c r="D6538">
        <v>4</v>
      </c>
      <c r="E6538" t="s">
        <v>23</v>
      </c>
      <c r="F6538" t="s">
        <v>12646</v>
      </c>
    </row>
    <row r="6539" spans="1:10" x14ac:dyDescent="0.3">
      <c r="A6539" t="s">
        <v>9561</v>
      </c>
      <c r="B6539" t="s">
        <v>5331</v>
      </c>
      <c r="D6539">
        <v>0.5</v>
      </c>
      <c r="E6539" t="s">
        <v>23</v>
      </c>
      <c r="F6539" t="s">
        <v>81</v>
      </c>
      <c r="J6539" t="s">
        <v>289</v>
      </c>
    </row>
    <row r="6540" spans="1:10" x14ac:dyDescent="0.3">
      <c r="A6540" t="s">
        <v>12647</v>
      </c>
      <c r="B6540" t="s">
        <v>12648</v>
      </c>
      <c r="D6540">
        <v>1</v>
      </c>
      <c r="E6540" t="s">
        <v>11</v>
      </c>
      <c r="F6540" t="s">
        <v>12649</v>
      </c>
    </row>
    <row r="6541" spans="1:10" x14ac:dyDescent="0.3">
      <c r="A6541" t="s">
        <v>10871</v>
      </c>
      <c r="B6541" t="s">
        <v>889</v>
      </c>
      <c r="D6541">
        <v>1</v>
      </c>
      <c r="E6541" t="s">
        <v>23</v>
      </c>
      <c r="F6541" t="s">
        <v>524</v>
      </c>
    </row>
    <row r="6542" spans="1:10" x14ac:dyDescent="0.3">
      <c r="A6542" t="s">
        <v>12650</v>
      </c>
      <c r="B6542" t="s">
        <v>12651</v>
      </c>
      <c r="D6542">
        <v>2</v>
      </c>
      <c r="E6542" t="s">
        <v>345</v>
      </c>
      <c r="F6542" t="s">
        <v>2218</v>
      </c>
    </row>
    <row r="6543" spans="1:10" x14ac:dyDescent="0.3">
      <c r="A6543" t="s">
        <v>12652</v>
      </c>
      <c r="B6543" t="s">
        <v>4002</v>
      </c>
      <c r="D6543">
        <v>1</v>
      </c>
      <c r="E6543" t="s">
        <v>23</v>
      </c>
      <c r="F6543" t="s">
        <v>1003</v>
      </c>
    </row>
    <row r="6544" spans="1:10" x14ac:dyDescent="0.3">
      <c r="A6544" t="s">
        <v>12653</v>
      </c>
      <c r="B6544" t="s">
        <v>12654</v>
      </c>
      <c r="D6544">
        <v>0.5</v>
      </c>
      <c r="E6544" t="s">
        <v>37</v>
      </c>
      <c r="F6544" t="s">
        <v>12655</v>
      </c>
      <c r="J6544" t="s">
        <v>12462</v>
      </c>
    </row>
    <row r="6545" spans="1:10" x14ac:dyDescent="0.3">
      <c r="A6545" t="s">
        <v>12656</v>
      </c>
      <c r="B6545" t="s">
        <v>2011</v>
      </c>
      <c r="D6545">
        <v>2</v>
      </c>
      <c r="E6545" t="s">
        <v>189</v>
      </c>
      <c r="F6545" t="s">
        <v>61</v>
      </c>
    </row>
    <row r="6546" spans="1:10" x14ac:dyDescent="0.3">
      <c r="A6546" t="s">
        <v>12657</v>
      </c>
      <c r="B6546" t="s">
        <v>12658</v>
      </c>
      <c r="D6546">
        <v>1</v>
      </c>
      <c r="E6546" t="s">
        <v>11</v>
      </c>
      <c r="F6546" t="s">
        <v>12659</v>
      </c>
    </row>
    <row r="6547" spans="1:10" x14ac:dyDescent="0.3">
      <c r="A6547" t="s">
        <v>4769</v>
      </c>
      <c r="B6547" t="s">
        <v>12660</v>
      </c>
      <c r="D6547">
        <v>25</v>
      </c>
      <c r="E6547" t="s">
        <v>4211</v>
      </c>
      <c r="F6547" t="s">
        <v>1209</v>
      </c>
    </row>
    <row r="6548" spans="1:10" x14ac:dyDescent="0.3">
      <c r="A6548" t="s">
        <v>12661</v>
      </c>
      <c r="B6548" t="s">
        <v>3471</v>
      </c>
      <c r="F6548" t="s">
        <v>3471</v>
      </c>
    </row>
    <row r="6549" spans="1:10" x14ac:dyDescent="0.3">
      <c r="A6549" t="s">
        <v>12662</v>
      </c>
      <c r="B6549" t="s">
        <v>12663</v>
      </c>
      <c r="D6549">
        <v>15</v>
      </c>
      <c r="E6549" t="s">
        <v>29</v>
      </c>
      <c r="F6549" t="s">
        <v>712</v>
      </c>
    </row>
    <row r="6550" spans="1:10" x14ac:dyDescent="0.3">
      <c r="A6550" t="s">
        <v>12664</v>
      </c>
      <c r="B6550" t="s">
        <v>278</v>
      </c>
      <c r="F6550" t="s">
        <v>278</v>
      </c>
    </row>
    <row r="6551" spans="1:10" x14ac:dyDescent="0.3">
      <c r="A6551" t="s">
        <v>12665</v>
      </c>
      <c r="B6551" t="s">
        <v>12666</v>
      </c>
      <c r="D6551">
        <v>4</v>
      </c>
      <c r="E6551" t="s">
        <v>91</v>
      </c>
      <c r="F6551" t="s">
        <v>2138</v>
      </c>
    </row>
    <row r="6552" spans="1:10" x14ac:dyDescent="0.3">
      <c r="A6552" t="s">
        <v>12667</v>
      </c>
      <c r="B6552" t="s">
        <v>413</v>
      </c>
      <c r="F6552" t="s">
        <v>413</v>
      </c>
    </row>
    <row r="6553" spans="1:10" x14ac:dyDescent="0.3">
      <c r="A6553" t="s">
        <v>2252</v>
      </c>
      <c r="B6553" t="s">
        <v>12668</v>
      </c>
      <c r="D6553">
        <v>8</v>
      </c>
      <c r="E6553" t="s">
        <v>189</v>
      </c>
      <c r="F6553" t="s">
        <v>11244</v>
      </c>
    </row>
    <row r="6554" spans="1:10" x14ac:dyDescent="0.3">
      <c r="A6554" t="s">
        <v>6965</v>
      </c>
      <c r="B6554" t="s">
        <v>9025</v>
      </c>
      <c r="D6554">
        <v>0.75</v>
      </c>
      <c r="E6554" t="s">
        <v>284</v>
      </c>
      <c r="F6554" t="s">
        <v>2078</v>
      </c>
      <c r="G6554" t="s">
        <v>2079</v>
      </c>
    </row>
    <row r="6555" spans="1:10" x14ac:dyDescent="0.3">
      <c r="A6555" t="s">
        <v>3307</v>
      </c>
      <c r="B6555" t="s">
        <v>12669</v>
      </c>
      <c r="D6555">
        <v>0.5</v>
      </c>
      <c r="E6555" t="s">
        <v>23</v>
      </c>
      <c r="F6555" t="s">
        <v>5344</v>
      </c>
    </row>
    <row r="6556" spans="1:10" x14ac:dyDescent="0.3">
      <c r="A6556" t="s">
        <v>12670</v>
      </c>
      <c r="B6556" t="s">
        <v>12671</v>
      </c>
      <c r="D6556">
        <v>3</v>
      </c>
      <c r="E6556" t="s">
        <v>284</v>
      </c>
      <c r="F6556" t="s">
        <v>333</v>
      </c>
      <c r="G6556" t="s">
        <v>1571</v>
      </c>
    </row>
    <row r="6557" spans="1:10" x14ac:dyDescent="0.3">
      <c r="A6557" t="s">
        <v>10771</v>
      </c>
      <c r="B6557" t="s">
        <v>12672</v>
      </c>
      <c r="D6557">
        <v>1</v>
      </c>
      <c r="E6557" t="s">
        <v>284</v>
      </c>
      <c r="F6557" t="s">
        <v>3071</v>
      </c>
      <c r="J6557" t="s">
        <v>12673</v>
      </c>
    </row>
    <row r="6558" spans="1:10" x14ac:dyDescent="0.3">
      <c r="A6558" t="s">
        <v>2666</v>
      </c>
      <c r="B6558" t="s">
        <v>12674</v>
      </c>
      <c r="D6558">
        <v>0.5</v>
      </c>
      <c r="E6558" t="s">
        <v>37</v>
      </c>
      <c r="F6558" t="s">
        <v>551</v>
      </c>
    </row>
    <row r="6559" spans="1:10" x14ac:dyDescent="0.3">
      <c r="A6559" t="s">
        <v>12675</v>
      </c>
      <c r="B6559" t="s">
        <v>12676</v>
      </c>
      <c r="D6559">
        <v>1</v>
      </c>
      <c r="E6559" t="s">
        <v>37</v>
      </c>
      <c r="F6559" t="s">
        <v>220</v>
      </c>
      <c r="J6559" t="s">
        <v>12677</v>
      </c>
    </row>
    <row r="6560" spans="1:10" x14ac:dyDescent="0.3">
      <c r="A6560" t="s">
        <v>2737</v>
      </c>
      <c r="B6560" t="s">
        <v>5192</v>
      </c>
      <c r="D6560">
        <v>2</v>
      </c>
      <c r="E6560" t="s">
        <v>23</v>
      </c>
      <c r="F6560" t="s">
        <v>233</v>
      </c>
    </row>
    <row r="6561" spans="1:10" x14ac:dyDescent="0.3">
      <c r="A6561" t="s">
        <v>5933</v>
      </c>
      <c r="B6561" t="s">
        <v>12678</v>
      </c>
      <c r="D6561">
        <v>0.75</v>
      </c>
      <c r="E6561" t="s">
        <v>206</v>
      </c>
      <c r="F6561" t="s">
        <v>12679</v>
      </c>
    </row>
    <row r="6562" spans="1:10" x14ac:dyDescent="0.3">
      <c r="A6562" t="s">
        <v>12680</v>
      </c>
      <c r="B6562" t="s">
        <v>12681</v>
      </c>
      <c r="D6562">
        <v>2</v>
      </c>
      <c r="E6562" t="s">
        <v>91</v>
      </c>
      <c r="F6562" t="s">
        <v>12682</v>
      </c>
    </row>
    <row r="6563" spans="1:10" x14ac:dyDescent="0.3">
      <c r="A6563" t="s">
        <v>12683</v>
      </c>
      <c r="B6563" t="s">
        <v>775</v>
      </c>
      <c r="D6563">
        <v>1</v>
      </c>
      <c r="F6563" t="s">
        <v>776</v>
      </c>
    </row>
    <row r="6564" spans="1:10" x14ac:dyDescent="0.3">
      <c r="A6564" t="s">
        <v>12684</v>
      </c>
      <c r="B6564" t="s">
        <v>12685</v>
      </c>
      <c r="D6564">
        <v>50</v>
      </c>
      <c r="E6564" t="s">
        <v>29</v>
      </c>
      <c r="F6564" t="s">
        <v>262</v>
      </c>
      <c r="H6564" t="s">
        <v>814</v>
      </c>
    </row>
    <row r="6565" spans="1:10" x14ac:dyDescent="0.3">
      <c r="A6565" t="s">
        <v>12686</v>
      </c>
      <c r="B6565" t="s">
        <v>12687</v>
      </c>
      <c r="D6565">
        <v>0.25</v>
      </c>
      <c r="E6565" t="s">
        <v>11</v>
      </c>
      <c r="F6565" t="s">
        <v>1457</v>
      </c>
    </row>
    <row r="6566" spans="1:10" x14ac:dyDescent="0.3">
      <c r="A6566" t="s">
        <v>2578</v>
      </c>
      <c r="B6566" t="s">
        <v>12688</v>
      </c>
      <c r="D6566">
        <v>3</v>
      </c>
      <c r="E6566" t="s">
        <v>345</v>
      </c>
      <c r="F6566" t="s">
        <v>38</v>
      </c>
    </row>
    <row r="6567" spans="1:10" x14ac:dyDescent="0.3">
      <c r="A6567" t="s">
        <v>12689</v>
      </c>
      <c r="B6567" t="s">
        <v>12690</v>
      </c>
      <c r="D6567">
        <v>6</v>
      </c>
      <c r="E6567" t="s">
        <v>473</v>
      </c>
      <c r="F6567" t="s">
        <v>2078</v>
      </c>
      <c r="J6567" t="s">
        <v>2345</v>
      </c>
    </row>
    <row r="6568" spans="1:10" x14ac:dyDescent="0.3">
      <c r="A6568" t="s">
        <v>12691</v>
      </c>
      <c r="B6568" t="s">
        <v>12692</v>
      </c>
      <c r="D6568">
        <v>1</v>
      </c>
      <c r="E6568" t="s">
        <v>23</v>
      </c>
      <c r="F6568" t="s">
        <v>12693</v>
      </c>
    </row>
    <row r="6569" spans="1:10" x14ac:dyDescent="0.3">
      <c r="A6569" t="s">
        <v>5182</v>
      </c>
      <c r="B6569" t="s">
        <v>12694</v>
      </c>
      <c r="D6569">
        <v>2</v>
      </c>
      <c r="E6569" t="s">
        <v>1212</v>
      </c>
      <c r="F6569" t="s">
        <v>4865</v>
      </c>
      <c r="G6569" t="s">
        <v>7270</v>
      </c>
    </row>
    <row r="6570" spans="1:10" x14ac:dyDescent="0.3">
      <c r="A6570" t="s">
        <v>6416</v>
      </c>
      <c r="B6570" t="s">
        <v>12695</v>
      </c>
      <c r="D6570">
        <v>0.5</v>
      </c>
      <c r="E6570" t="s">
        <v>23</v>
      </c>
      <c r="F6570" t="s">
        <v>85</v>
      </c>
      <c r="G6570" t="s">
        <v>12696</v>
      </c>
    </row>
    <row r="6571" spans="1:10" x14ac:dyDescent="0.3">
      <c r="A6571" t="s">
        <v>12697</v>
      </c>
      <c r="B6571" t="s">
        <v>102</v>
      </c>
      <c r="F6571" t="s">
        <v>102</v>
      </c>
    </row>
    <row r="6572" spans="1:10" x14ac:dyDescent="0.3">
      <c r="A6572" t="s">
        <v>12698</v>
      </c>
      <c r="B6572" t="s">
        <v>7084</v>
      </c>
      <c r="D6572">
        <v>3</v>
      </c>
      <c r="E6572" t="s">
        <v>189</v>
      </c>
      <c r="F6572" t="s">
        <v>7085</v>
      </c>
    </row>
    <row r="6573" spans="1:10" x14ac:dyDescent="0.3">
      <c r="A6573" t="s">
        <v>12699</v>
      </c>
      <c r="B6573" t="s">
        <v>12700</v>
      </c>
      <c r="D6573">
        <v>6</v>
      </c>
      <c r="E6573" t="s">
        <v>176</v>
      </c>
      <c r="F6573" t="s">
        <v>8015</v>
      </c>
    </row>
    <row r="6574" spans="1:10" x14ac:dyDescent="0.3">
      <c r="A6574" t="s">
        <v>5693</v>
      </c>
      <c r="B6574" t="s">
        <v>12701</v>
      </c>
      <c r="D6574">
        <v>0.5</v>
      </c>
      <c r="E6574" t="s">
        <v>23</v>
      </c>
      <c r="F6574" t="s">
        <v>9394</v>
      </c>
    </row>
    <row r="6575" spans="1:10" x14ac:dyDescent="0.3">
      <c r="A6575" t="s">
        <v>12702</v>
      </c>
      <c r="B6575" t="s">
        <v>5643</v>
      </c>
      <c r="D6575">
        <v>0.5</v>
      </c>
      <c r="E6575" t="s">
        <v>23</v>
      </c>
      <c r="F6575" t="s">
        <v>4728</v>
      </c>
    </row>
    <row r="6576" spans="1:10" x14ac:dyDescent="0.3">
      <c r="A6576" t="s">
        <v>9444</v>
      </c>
      <c r="B6576" t="s">
        <v>12703</v>
      </c>
      <c r="D6576">
        <v>0.5</v>
      </c>
      <c r="E6576" t="s">
        <v>270</v>
      </c>
      <c r="F6576" t="s">
        <v>12704</v>
      </c>
    </row>
    <row r="6577" spans="1:10" x14ac:dyDescent="0.3">
      <c r="A6577" t="s">
        <v>12705</v>
      </c>
      <c r="B6577" t="s">
        <v>12706</v>
      </c>
      <c r="D6577">
        <v>6</v>
      </c>
      <c r="E6577" t="s">
        <v>23</v>
      </c>
      <c r="F6577" t="s">
        <v>10839</v>
      </c>
    </row>
    <row r="6578" spans="1:10" x14ac:dyDescent="0.3">
      <c r="A6578" t="s">
        <v>9270</v>
      </c>
      <c r="B6578" t="s">
        <v>12707</v>
      </c>
      <c r="D6578">
        <v>15</v>
      </c>
      <c r="E6578" t="s">
        <v>29</v>
      </c>
      <c r="F6578" t="s">
        <v>12708</v>
      </c>
    </row>
    <row r="6579" spans="1:10" x14ac:dyDescent="0.3">
      <c r="A6579" t="s">
        <v>6557</v>
      </c>
      <c r="B6579" t="s">
        <v>12709</v>
      </c>
      <c r="D6579">
        <v>0.5</v>
      </c>
      <c r="E6579" t="s">
        <v>284</v>
      </c>
      <c r="F6579" t="s">
        <v>38</v>
      </c>
    </row>
    <row r="6580" spans="1:10" x14ac:dyDescent="0.3">
      <c r="A6580" t="s">
        <v>12710</v>
      </c>
      <c r="B6580" t="s">
        <v>12711</v>
      </c>
      <c r="D6580">
        <v>0.5</v>
      </c>
      <c r="E6580" t="s">
        <v>23</v>
      </c>
      <c r="F6580" t="s">
        <v>24</v>
      </c>
      <c r="J6580" t="s">
        <v>289</v>
      </c>
    </row>
    <row r="6581" spans="1:10" x14ac:dyDescent="0.3">
      <c r="A6581" t="s">
        <v>12712</v>
      </c>
      <c r="B6581" t="s">
        <v>12713</v>
      </c>
      <c r="D6581">
        <v>1.5</v>
      </c>
      <c r="E6581" t="s">
        <v>23</v>
      </c>
      <c r="F6581" t="s">
        <v>12714</v>
      </c>
    </row>
    <row r="6582" spans="1:10" x14ac:dyDescent="0.3">
      <c r="A6582" t="s">
        <v>3423</v>
      </c>
      <c r="B6582" t="s">
        <v>59</v>
      </c>
      <c r="D6582">
        <v>1</v>
      </c>
      <c r="E6582" t="s">
        <v>60</v>
      </c>
      <c r="F6582" t="s">
        <v>61</v>
      </c>
    </row>
    <row r="6583" spans="1:10" x14ac:dyDescent="0.3">
      <c r="A6583" t="s">
        <v>4150</v>
      </c>
      <c r="B6583" t="s">
        <v>2154</v>
      </c>
      <c r="F6583" t="s">
        <v>333</v>
      </c>
      <c r="J6583" t="s">
        <v>2155</v>
      </c>
    </row>
    <row r="6584" spans="1:10" x14ac:dyDescent="0.3">
      <c r="A6584" t="s">
        <v>12715</v>
      </c>
      <c r="B6584" t="s">
        <v>51</v>
      </c>
      <c r="F6584" t="s">
        <v>51</v>
      </c>
    </row>
    <row r="6585" spans="1:10" x14ac:dyDescent="0.3">
      <c r="A6585" t="s">
        <v>4436</v>
      </c>
      <c r="B6585" t="s">
        <v>540</v>
      </c>
      <c r="D6585">
        <v>1</v>
      </c>
      <c r="E6585" t="s">
        <v>18</v>
      </c>
      <c r="F6585" t="s">
        <v>541</v>
      </c>
    </row>
    <row r="6586" spans="1:10" x14ac:dyDescent="0.3">
      <c r="A6586" t="s">
        <v>5969</v>
      </c>
      <c r="B6586" t="s">
        <v>12716</v>
      </c>
      <c r="D6586">
        <v>2</v>
      </c>
      <c r="F6586" t="s">
        <v>1440</v>
      </c>
      <c r="G6586" t="s">
        <v>908</v>
      </c>
    </row>
    <row r="6587" spans="1:10" x14ac:dyDescent="0.3">
      <c r="A6587" t="s">
        <v>12717</v>
      </c>
      <c r="B6587" t="s">
        <v>12718</v>
      </c>
      <c r="D6587">
        <v>50</v>
      </c>
      <c r="E6587" t="s">
        <v>29</v>
      </c>
      <c r="F6587" t="s">
        <v>11063</v>
      </c>
    </row>
    <row r="6588" spans="1:10" x14ac:dyDescent="0.3">
      <c r="A6588" t="s">
        <v>7525</v>
      </c>
      <c r="B6588" t="s">
        <v>5630</v>
      </c>
      <c r="F6588" t="s">
        <v>5630</v>
      </c>
    </row>
    <row r="6589" spans="1:10" x14ac:dyDescent="0.3">
      <c r="A6589" t="s">
        <v>10717</v>
      </c>
      <c r="B6589" t="s">
        <v>152</v>
      </c>
      <c r="F6589" t="s">
        <v>152</v>
      </c>
    </row>
    <row r="6590" spans="1:10" x14ac:dyDescent="0.3">
      <c r="A6590" t="s">
        <v>12719</v>
      </c>
      <c r="B6590" t="s">
        <v>2260</v>
      </c>
      <c r="D6590">
        <v>25</v>
      </c>
      <c r="E6590" t="s">
        <v>29</v>
      </c>
      <c r="F6590" t="s">
        <v>30</v>
      </c>
    </row>
    <row r="6591" spans="1:10" x14ac:dyDescent="0.3">
      <c r="A6591" t="s">
        <v>5781</v>
      </c>
      <c r="B6591" t="s">
        <v>1959</v>
      </c>
      <c r="D6591">
        <v>1</v>
      </c>
      <c r="E6591" t="s">
        <v>18</v>
      </c>
      <c r="F6591" t="s">
        <v>1223</v>
      </c>
    </row>
    <row r="6592" spans="1:10" x14ac:dyDescent="0.3">
      <c r="A6592" t="s">
        <v>12720</v>
      </c>
      <c r="B6592" t="s">
        <v>8537</v>
      </c>
      <c r="D6592">
        <v>0.75</v>
      </c>
      <c r="E6592" t="s">
        <v>23</v>
      </c>
      <c r="F6592" t="s">
        <v>712</v>
      </c>
    </row>
    <row r="6593" spans="1:10" x14ac:dyDescent="0.3">
      <c r="A6593" t="s">
        <v>12721</v>
      </c>
      <c r="B6593" t="s">
        <v>12722</v>
      </c>
      <c r="D6593">
        <v>1.5</v>
      </c>
      <c r="E6593" t="s">
        <v>29</v>
      </c>
      <c r="F6593" t="s">
        <v>12061</v>
      </c>
    </row>
    <row r="6594" spans="1:10" x14ac:dyDescent="0.3">
      <c r="A6594" t="s">
        <v>8036</v>
      </c>
      <c r="B6594" t="s">
        <v>12723</v>
      </c>
      <c r="D6594">
        <v>175</v>
      </c>
      <c r="E6594" t="s">
        <v>29</v>
      </c>
      <c r="F6594" t="s">
        <v>12724</v>
      </c>
    </row>
    <row r="6595" spans="1:10" x14ac:dyDescent="0.3">
      <c r="A6595" t="s">
        <v>12725</v>
      </c>
      <c r="B6595" t="s">
        <v>12726</v>
      </c>
      <c r="D6595">
        <v>1.5</v>
      </c>
      <c r="E6595" t="s">
        <v>227</v>
      </c>
      <c r="F6595" t="s">
        <v>413</v>
      </c>
    </row>
    <row r="6596" spans="1:10" x14ac:dyDescent="0.3">
      <c r="A6596" t="s">
        <v>12727</v>
      </c>
      <c r="B6596" t="s">
        <v>4442</v>
      </c>
      <c r="D6596">
        <v>1</v>
      </c>
      <c r="E6596" t="s">
        <v>23</v>
      </c>
      <c r="F6596" t="s">
        <v>30</v>
      </c>
    </row>
    <row r="6597" spans="1:10" x14ac:dyDescent="0.3">
      <c r="A6597" t="s">
        <v>10510</v>
      </c>
      <c r="B6597" t="s">
        <v>7163</v>
      </c>
      <c r="D6597">
        <v>2</v>
      </c>
      <c r="E6597" t="s">
        <v>23</v>
      </c>
      <c r="F6597" t="s">
        <v>281</v>
      </c>
      <c r="J6597" t="s">
        <v>289</v>
      </c>
    </row>
    <row r="6598" spans="1:10" x14ac:dyDescent="0.3">
      <c r="A6598" t="s">
        <v>12728</v>
      </c>
      <c r="B6598" t="s">
        <v>3186</v>
      </c>
      <c r="D6598">
        <v>1</v>
      </c>
      <c r="F6598" t="s">
        <v>320</v>
      </c>
    </row>
    <row r="6599" spans="1:10" x14ac:dyDescent="0.3">
      <c r="A6599" t="s">
        <v>12729</v>
      </c>
      <c r="B6599" t="s">
        <v>12730</v>
      </c>
      <c r="D6599">
        <v>0.5</v>
      </c>
      <c r="E6599" t="s">
        <v>206</v>
      </c>
      <c r="F6599" t="s">
        <v>3870</v>
      </c>
    </row>
    <row r="6600" spans="1:10" x14ac:dyDescent="0.3">
      <c r="A6600" t="s">
        <v>12731</v>
      </c>
      <c r="B6600" t="s">
        <v>2846</v>
      </c>
      <c r="D6600">
        <v>1</v>
      </c>
      <c r="F6600" t="s">
        <v>1440</v>
      </c>
    </row>
    <row r="6601" spans="1:10" x14ac:dyDescent="0.3">
      <c r="A6601" t="s">
        <v>12732</v>
      </c>
      <c r="B6601" t="s">
        <v>211</v>
      </c>
      <c r="D6601">
        <v>1</v>
      </c>
      <c r="E6601" t="s">
        <v>11</v>
      </c>
      <c r="F6601" t="s">
        <v>57</v>
      </c>
    </row>
    <row r="6602" spans="1:10" x14ac:dyDescent="0.3">
      <c r="A6602" t="s">
        <v>6930</v>
      </c>
      <c r="B6602" t="s">
        <v>12733</v>
      </c>
      <c r="E6602" t="s">
        <v>12734</v>
      </c>
      <c r="F6602" t="s">
        <v>12735</v>
      </c>
      <c r="J6602" t="s">
        <v>3287</v>
      </c>
    </row>
    <row r="6603" spans="1:10" x14ac:dyDescent="0.3">
      <c r="A6603" t="s">
        <v>6277</v>
      </c>
      <c r="B6603" t="s">
        <v>6778</v>
      </c>
      <c r="D6603">
        <v>1</v>
      </c>
      <c r="E6603" t="s">
        <v>469</v>
      </c>
      <c r="F6603" t="s">
        <v>1011</v>
      </c>
    </row>
    <row r="6604" spans="1:10" x14ac:dyDescent="0.3">
      <c r="A6604" t="s">
        <v>4457</v>
      </c>
      <c r="B6604" t="s">
        <v>12148</v>
      </c>
      <c r="D6604">
        <v>2</v>
      </c>
      <c r="E6604" t="s">
        <v>345</v>
      </c>
      <c r="F6604" t="s">
        <v>728</v>
      </c>
    </row>
    <row r="6605" spans="1:10" x14ac:dyDescent="0.3">
      <c r="A6605" t="s">
        <v>1893</v>
      </c>
      <c r="B6605" t="s">
        <v>12736</v>
      </c>
      <c r="D6605">
        <v>2</v>
      </c>
      <c r="E6605" t="s">
        <v>91</v>
      </c>
      <c r="F6605" t="s">
        <v>12737</v>
      </c>
      <c r="J6605" t="s">
        <v>12738</v>
      </c>
    </row>
    <row r="6606" spans="1:10" x14ac:dyDescent="0.3">
      <c r="A6606" t="s">
        <v>3455</v>
      </c>
      <c r="B6606" t="s">
        <v>2070</v>
      </c>
      <c r="D6606">
        <v>1</v>
      </c>
      <c r="E6606" t="s">
        <v>23</v>
      </c>
      <c r="F6606" t="s">
        <v>38</v>
      </c>
      <c r="H6606" t="s">
        <v>68</v>
      </c>
    </row>
    <row r="6607" spans="1:10" x14ac:dyDescent="0.3">
      <c r="A6607" t="s">
        <v>12739</v>
      </c>
      <c r="B6607" t="s">
        <v>6200</v>
      </c>
      <c r="D6607">
        <v>5</v>
      </c>
      <c r="F6607" t="s">
        <v>538</v>
      </c>
    </row>
    <row r="6608" spans="1:10" x14ac:dyDescent="0.3">
      <c r="A6608" t="s">
        <v>12740</v>
      </c>
      <c r="B6608" t="s">
        <v>12741</v>
      </c>
      <c r="D6608">
        <v>1.75</v>
      </c>
      <c r="E6608" t="s">
        <v>345</v>
      </c>
      <c r="F6608" t="s">
        <v>6787</v>
      </c>
    </row>
    <row r="6609" spans="1:10" x14ac:dyDescent="0.3">
      <c r="A6609" t="s">
        <v>12742</v>
      </c>
      <c r="B6609" t="s">
        <v>12743</v>
      </c>
      <c r="D6609">
        <v>12.5</v>
      </c>
      <c r="E6609" t="s">
        <v>29</v>
      </c>
      <c r="F6609" t="s">
        <v>12744</v>
      </c>
    </row>
    <row r="6610" spans="1:10" x14ac:dyDescent="0.3">
      <c r="A6610" t="s">
        <v>12240</v>
      </c>
      <c r="B6610" t="s">
        <v>12745</v>
      </c>
      <c r="D6610">
        <v>1</v>
      </c>
      <c r="E6610" t="s">
        <v>18</v>
      </c>
      <c r="F6610" t="s">
        <v>10709</v>
      </c>
    </row>
    <row r="6611" spans="1:10" x14ac:dyDescent="0.3">
      <c r="A6611" t="s">
        <v>1904</v>
      </c>
      <c r="B6611" t="s">
        <v>12746</v>
      </c>
      <c r="D6611">
        <v>2</v>
      </c>
      <c r="E6611" t="s">
        <v>189</v>
      </c>
      <c r="F6611" t="s">
        <v>12747</v>
      </c>
      <c r="J6611" t="s">
        <v>654</v>
      </c>
    </row>
    <row r="6612" spans="1:10" x14ac:dyDescent="0.3">
      <c r="A6612" t="s">
        <v>12748</v>
      </c>
      <c r="B6612" t="s">
        <v>6760</v>
      </c>
      <c r="D6612">
        <v>1.5</v>
      </c>
      <c r="E6612" t="s">
        <v>23</v>
      </c>
      <c r="F6612" t="s">
        <v>1506</v>
      </c>
    </row>
    <row r="6613" spans="1:10" x14ac:dyDescent="0.3">
      <c r="A6613" t="s">
        <v>2863</v>
      </c>
      <c r="B6613" t="s">
        <v>540</v>
      </c>
      <c r="D6613">
        <v>1</v>
      </c>
      <c r="E6613" t="s">
        <v>18</v>
      </c>
      <c r="F6613" t="s">
        <v>541</v>
      </c>
    </row>
    <row r="6614" spans="1:10" x14ac:dyDescent="0.3">
      <c r="A6614" t="s">
        <v>12749</v>
      </c>
      <c r="B6614" t="s">
        <v>12750</v>
      </c>
      <c r="D6614">
        <v>2</v>
      </c>
      <c r="E6614" t="s">
        <v>460</v>
      </c>
      <c r="F6614" t="s">
        <v>12751</v>
      </c>
      <c r="J6614" t="s">
        <v>1565</v>
      </c>
    </row>
    <row r="6615" spans="1:10" x14ac:dyDescent="0.3">
      <c r="A6615" t="s">
        <v>7692</v>
      </c>
      <c r="B6615" t="s">
        <v>12752</v>
      </c>
      <c r="D6615">
        <v>15</v>
      </c>
      <c r="E6615" t="s">
        <v>29</v>
      </c>
      <c r="F6615" t="s">
        <v>12753</v>
      </c>
    </row>
    <row r="6616" spans="1:10" x14ac:dyDescent="0.3">
      <c r="A6616" t="s">
        <v>12754</v>
      </c>
      <c r="B6616" t="s">
        <v>1276</v>
      </c>
      <c r="D6616">
        <v>1</v>
      </c>
      <c r="E6616" t="s">
        <v>368</v>
      </c>
      <c r="F6616" t="s">
        <v>1097</v>
      </c>
    </row>
    <row r="6617" spans="1:10" x14ac:dyDescent="0.3">
      <c r="A6617" t="s">
        <v>12755</v>
      </c>
      <c r="B6617" t="s">
        <v>12756</v>
      </c>
      <c r="D6617">
        <v>0.5</v>
      </c>
      <c r="E6617" t="s">
        <v>23</v>
      </c>
      <c r="F6617" t="s">
        <v>262</v>
      </c>
    </row>
    <row r="6618" spans="1:10" x14ac:dyDescent="0.3">
      <c r="A6618" t="s">
        <v>1255</v>
      </c>
      <c r="B6618" t="s">
        <v>12757</v>
      </c>
      <c r="D6618">
        <v>0.75</v>
      </c>
      <c r="E6618" t="s">
        <v>37</v>
      </c>
      <c r="F6618" t="s">
        <v>288</v>
      </c>
    </row>
    <row r="6619" spans="1:10" x14ac:dyDescent="0.3">
      <c r="A6619" t="s">
        <v>12758</v>
      </c>
      <c r="B6619" t="s">
        <v>7025</v>
      </c>
      <c r="D6619">
        <v>25</v>
      </c>
      <c r="E6619" t="s">
        <v>29</v>
      </c>
      <c r="F6619" t="s">
        <v>88</v>
      </c>
    </row>
    <row r="6620" spans="1:10" x14ac:dyDescent="0.3">
      <c r="A6620" t="s">
        <v>12759</v>
      </c>
      <c r="B6620" t="s">
        <v>179</v>
      </c>
      <c r="D6620">
        <v>0.75</v>
      </c>
      <c r="E6620" t="s">
        <v>11</v>
      </c>
      <c r="F6620" t="s">
        <v>180</v>
      </c>
    </row>
    <row r="6621" spans="1:10" x14ac:dyDescent="0.3">
      <c r="A6621" t="s">
        <v>12760</v>
      </c>
      <c r="B6621" t="s">
        <v>12761</v>
      </c>
      <c r="D6621">
        <v>1</v>
      </c>
      <c r="E6621" t="s">
        <v>12762</v>
      </c>
      <c r="F6621" t="s">
        <v>5630</v>
      </c>
    </row>
    <row r="6622" spans="1:10" x14ac:dyDescent="0.3">
      <c r="A6622" t="s">
        <v>12763</v>
      </c>
      <c r="B6622" t="s">
        <v>12764</v>
      </c>
      <c r="F6622" t="s">
        <v>12765</v>
      </c>
      <c r="J6622" t="s">
        <v>12766</v>
      </c>
    </row>
    <row r="6623" spans="1:10" x14ac:dyDescent="0.3">
      <c r="A6623" t="s">
        <v>12767</v>
      </c>
      <c r="B6623" t="s">
        <v>51</v>
      </c>
      <c r="F6623" t="s">
        <v>51</v>
      </c>
    </row>
    <row r="6624" spans="1:10" x14ac:dyDescent="0.3">
      <c r="A6624" t="s">
        <v>5761</v>
      </c>
      <c r="B6624" t="s">
        <v>6275</v>
      </c>
      <c r="D6624">
        <v>1.5</v>
      </c>
      <c r="E6624" t="s">
        <v>23</v>
      </c>
      <c r="F6624" t="s">
        <v>6276</v>
      </c>
    </row>
    <row r="6625" spans="1:10" x14ac:dyDescent="0.3">
      <c r="A6625" t="s">
        <v>12768</v>
      </c>
      <c r="B6625" t="s">
        <v>3143</v>
      </c>
      <c r="D6625">
        <v>1</v>
      </c>
      <c r="E6625" t="s">
        <v>18</v>
      </c>
      <c r="F6625" t="s">
        <v>3144</v>
      </c>
    </row>
    <row r="6626" spans="1:10" x14ac:dyDescent="0.3">
      <c r="A6626" t="s">
        <v>5607</v>
      </c>
      <c r="B6626" t="s">
        <v>9189</v>
      </c>
      <c r="D6626">
        <v>1</v>
      </c>
      <c r="E6626" t="s">
        <v>23</v>
      </c>
      <c r="F6626" t="s">
        <v>4797</v>
      </c>
    </row>
    <row r="6627" spans="1:10" x14ac:dyDescent="0.3">
      <c r="A6627" t="s">
        <v>12769</v>
      </c>
      <c r="B6627" t="s">
        <v>12770</v>
      </c>
      <c r="D6627">
        <v>2</v>
      </c>
      <c r="E6627" t="s">
        <v>23</v>
      </c>
      <c r="F6627" t="s">
        <v>1027</v>
      </c>
    </row>
    <row r="6628" spans="1:10" x14ac:dyDescent="0.3">
      <c r="A6628" t="s">
        <v>12771</v>
      </c>
      <c r="B6628" t="s">
        <v>12772</v>
      </c>
      <c r="D6628">
        <v>0.5</v>
      </c>
      <c r="E6628" t="s">
        <v>23</v>
      </c>
      <c r="F6628" t="s">
        <v>1027</v>
      </c>
    </row>
    <row r="6629" spans="1:10" x14ac:dyDescent="0.3">
      <c r="A6629" t="s">
        <v>2465</v>
      </c>
      <c r="B6629" t="s">
        <v>4492</v>
      </c>
      <c r="D6629">
        <v>1</v>
      </c>
      <c r="E6629" t="s">
        <v>23</v>
      </c>
      <c r="F6629" t="s">
        <v>3447</v>
      </c>
    </row>
    <row r="6630" spans="1:10" x14ac:dyDescent="0.3">
      <c r="A6630" t="s">
        <v>12773</v>
      </c>
      <c r="B6630" t="s">
        <v>12774</v>
      </c>
      <c r="D6630">
        <v>1</v>
      </c>
      <c r="E6630" t="s">
        <v>2006</v>
      </c>
      <c r="F6630" t="s">
        <v>12775</v>
      </c>
      <c r="J6630" t="s">
        <v>289</v>
      </c>
    </row>
    <row r="6631" spans="1:10" x14ac:dyDescent="0.3">
      <c r="A6631" t="s">
        <v>12776</v>
      </c>
      <c r="B6631" t="s">
        <v>12777</v>
      </c>
      <c r="D6631">
        <v>3</v>
      </c>
      <c r="E6631" t="s">
        <v>23</v>
      </c>
      <c r="F6631" t="s">
        <v>2289</v>
      </c>
    </row>
    <row r="6632" spans="1:10" x14ac:dyDescent="0.3">
      <c r="A6632" t="s">
        <v>1255</v>
      </c>
      <c r="B6632" t="s">
        <v>12778</v>
      </c>
      <c r="D6632">
        <v>1</v>
      </c>
      <c r="E6632" t="s">
        <v>206</v>
      </c>
      <c r="F6632" t="s">
        <v>12779</v>
      </c>
    </row>
    <row r="6633" spans="1:10" x14ac:dyDescent="0.3">
      <c r="A6633" t="s">
        <v>5040</v>
      </c>
      <c r="B6633" t="s">
        <v>1611</v>
      </c>
      <c r="D6633">
        <v>0.75</v>
      </c>
      <c r="E6633" t="s">
        <v>37</v>
      </c>
      <c r="F6633" t="s">
        <v>160</v>
      </c>
    </row>
    <row r="6634" spans="1:10" x14ac:dyDescent="0.3">
      <c r="A6634" t="s">
        <v>12780</v>
      </c>
      <c r="B6634" t="s">
        <v>364</v>
      </c>
      <c r="D6634">
        <v>1</v>
      </c>
      <c r="E6634" t="s">
        <v>23</v>
      </c>
      <c r="F6634" t="s">
        <v>365</v>
      </c>
    </row>
    <row r="6635" spans="1:10" x14ac:dyDescent="0.3">
      <c r="A6635" t="s">
        <v>11858</v>
      </c>
      <c r="B6635" t="s">
        <v>968</v>
      </c>
      <c r="D6635">
        <v>1</v>
      </c>
      <c r="E6635" t="s">
        <v>23</v>
      </c>
      <c r="F6635" t="s">
        <v>199</v>
      </c>
    </row>
    <row r="6636" spans="1:10" x14ac:dyDescent="0.3">
      <c r="A6636" t="s">
        <v>12781</v>
      </c>
      <c r="B6636" t="s">
        <v>12782</v>
      </c>
      <c r="D6636">
        <v>90</v>
      </c>
      <c r="E6636" t="s">
        <v>29</v>
      </c>
      <c r="F6636" t="s">
        <v>738</v>
      </c>
    </row>
    <row r="6637" spans="1:10" x14ac:dyDescent="0.3">
      <c r="A6637" t="s">
        <v>1792</v>
      </c>
      <c r="B6637" t="s">
        <v>12783</v>
      </c>
      <c r="D6637">
        <v>1</v>
      </c>
      <c r="E6637" t="s">
        <v>361</v>
      </c>
      <c r="F6637" t="s">
        <v>12784</v>
      </c>
      <c r="J6637" t="s">
        <v>10882</v>
      </c>
    </row>
    <row r="6638" spans="1:10" x14ac:dyDescent="0.3">
      <c r="A6638" t="s">
        <v>12785</v>
      </c>
      <c r="B6638" t="s">
        <v>12786</v>
      </c>
      <c r="D6638">
        <v>1</v>
      </c>
      <c r="E6638" t="s">
        <v>11</v>
      </c>
      <c r="F6638" t="s">
        <v>1479</v>
      </c>
    </row>
    <row r="6639" spans="1:10" x14ac:dyDescent="0.3">
      <c r="A6639" t="s">
        <v>12016</v>
      </c>
      <c r="B6639" t="s">
        <v>12787</v>
      </c>
      <c r="E6639" t="s">
        <v>151</v>
      </c>
      <c r="F6639" t="s">
        <v>163</v>
      </c>
      <c r="J6639" t="s">
        <v>1968</v>
      </c>
    </row>
    <row r="6640" spans="1:10" x14ac:dyDescent="0.3">
      <c r="A6640" t="s">
        <v>12788</v>
      </c>
      <c r="B6640" t="s">
        <v>12789</v>
      </c>
      <c r="D6640">
        <v>1</v>
      </c>
      <c r="E6640" t="s">
        <v>426</v>
      </c>
      <c r="F6640" t="s">
        <v>4397</v>
      </c>
      <c r="J6640" t="s">
        <v>1470</v>
      </c>
    </row>
    <row r="6641" spans="1:9" x14ac:dyDescent="0.3">
      <c r="A6641" t="s">
        <v>2813</v>
      </c>
      <c r="B6641" t="s">
        <v>12790</v>
      </c>
      <c r="D6641">
        <v>1</v>
      </c>
      <c r="E6641" t="s">
        <v>11</v>
      </c>
      <c r="F6641" t="s">
        <v>4306</v>
      </c>
    </row>
    <row r="6642" spans="1:9" x14ac:dyDescent="0.3">
      <c r="A6642" t="s">
        <v>12791</v>
      </c>
      <c r="B6642" t="s">
        <v>12792</v>
      </c>
      <c r="F6642" t="s">
        <v>12792</v>
      </c>
    </row>
    <row r="6643" spans="1:9" x14ac:dyDescent="0.3">
      <c r="A6643" t="s">
        <v>12793</v>
      </c>
      <c r="B6643" t="s">
        <v>9230</v>
      </c>
      <c r="D6643">
        <v>2</v>
      </c>
      <c r="E6643" t="s">
        <v>23</v>
      </c>
      <c r="F6643" t="s">
        <v>241</v>
      </c>
    </row>
    <row r="6644" spans="1:9" x14ac:dyDescent="0.3">
      <c r="A6644" t="s">
        <v>12794</v>
      </c>
      <c r="B6644" t="s">
        <v>12795</v>
      </c>
      <c r="F6644" t="s">
        <v>12795</v>
      </c>
    </row>
    <row r="6645" spans="1:9" x14ac:dyDescent="0.3">
      <c r="A6645" t="s">
        <v>12796</v>
      </c>
      <c r="B6645" t="s">
        <v>12797</v>
      </c>
      <c r="D6645">
        <v>0.25</v>
      </c>
      <c r="E6645" t="s">
        <v>37</v>
      </c>
      <c r="F6645" t="s">
        <v>12798</v>
      </c>
    </row>
    <row r="6646" spans="1:9" x14ac:dyDescent="0.3">
      <c r="A6646" t="s">
        <v>12799</v>
      </c>
      <c r="B6646" t="s">
        <v>12800</v>
      </c>
      <c r="D6646">
        <v>4</v>
      </c>
      <c r="E6646" t="s">
        <v>23</v>
      </c>
      <c r="F6646" t="s">
        <v>444</v>
      </c>
    </row>
    <row r="6647" spans="1:9" x14ac:dyDescent="0.3">
      <c r="A6647" t="s">
        <v>11782</v>
      </c>
      <c r="B6647" t="s">
        <v>12801</v>
      </c>
      <c r="D6647">
        <v>1</v>
      </c>
      <c r="E6647" t="s">
        <v>284</v>
      </c>
      <c r="F6647" t="s">
        <v>1433</v>
      </c>
      <c r="I6647" t="s">
        <v>3945</v>
      </c>
    </row>
    <row r="6648" spans="1:9" x14ac:dyDescent="0.3">
      <c r="A6648" t="s">
        <v>12802</v>
      </c>
      <c r="B6648" t="s">
        <v>4762</v>
      </c>
      <c r="D6648">
        <v>1.5</v>
      </c>
      <c r="E6648" t="s">
        <v>23</v>
      </c>
      <c r="F6648" t="s">
        <v>712</v>
      </c>
    </row>
    <row r="6649" spans="1:9" x14ac:dyDescent="0.3">
      <c r="A6649" t="s">
        <v>12803</v>
      </c>
      <c r="B6649" t="s">
        <v>1187</v>
      </c>
      <c r="D6649">
        <v>1</v>
      </c>
      <c r="E6649" t="s">
        <v>23</v>
      </c>
      <c r="F6649" t="s">
        <v>1188</v>
      </c>
    </row>
    <row r="6650" spans="1:9" x14ac:dyDescent="0.3">
      <c r="A6650" t="s">
        <v>12804</v>
      </c>
      <c r="B6650" t="s">
        <v>333</v>
      </c>
      <c r="F6650" t="s">
        <v>333</v>
      </c>
    </row>
    <row r="6651" spans="1:9" x14ac:dyDescent="0.3">
      <c r="A6651" t="s">
        <v>6826</v>
      </c>
      <c r="B6651" t="s">
        <v>12805</v>
      </c>
      <c r="D6651">
        <v>1</v>
      </c>
      <c r="F6651" t="s">
        <v>1193</v>
      </c>
    </row>
    <row r="6652" spans="1:9" x14ac:dyDescent="0.3">
      <c r="A6652" t="s">
        <v>12806</v>
      </c>
      <c r="B6652" t="s">
        <v>12807</v>
      </c>
      <c r="D6652">
        <v>1</v>
      </c>
      <c r="E6652" t="s">
        <v>850</v>
      </c>
      <c r="F6652" t="s">
        <v>64</v>
      </c>
    </row>
    <row r="6653" spans="1:9" x14ac:dyDescent="0.3">
      <c r="A6653" t="s">
        <v>12808</v>
      </c>
      <c r="B6653" t="s">
        <v>12809</v>
      </c>
      <c r="D6653">
        <v>0.25</v>
      </c>
      <c r="E6653" t="s">
        <v>23</v>
      </c>
      <c r="F6653" t="s">
        <v>3573</v>
      </c>
    </row>
    <row r="6654" spans="1:9" x14ac:dyDescent="0.3">
      <c r="A6654" t="s">
        <v>12810</v>
      </c>
      <c r="B6654" t="s">
        <v>489</v>
      </c>
      <c r="D6654">
        <v>1</v>
      </c>
      <c r="E6654" t="s">
        <v>23</v>
      </c>
      <c r="F6654" t="s">
        <v>233</v>
      </c>
    </row>
    <row r="6655" spans="1:9" x14ac:dyDescent="0.3">
      <c r="A6655" t="s">
        <v>12811</v>
      </c>
      <c r="B6655" t="s">
        <v>953</v>
      </c>
      <c r="D6655">
        <v>2</v>
      </c>
      <c r="E6655" t="s">
        <v>23</v>
      </c>
      <c r="F6655" t="s">
        <v>738</v>
      </c>
    </row>
    <row r="6656" spans="1:9" x14ac:dyDescent="0.3">
      <c r="A6656" t="s">
        <v>12812</v>
      </c>
      <c r="B6656" t="s">
        <v>12813</v>
      </c>
      <c r="D6656">
        <v>0.5</v>
      </c>
      <c r="E6656" t="s">
        <v>23</v>
      </c>
      <c r="F6656" t="s">
        <v>12814</v>
      </c>
    </row>
    <row r="6657" spans="1:10" x14ac:dyDescent="0.3">
      <c r="A6657" t="s">
        <v>12815</v>
      </c>
      <c r="B6657" t="s">
        <v>12816</v>
      </c>
      <c r="D6657">
        <v>1</v>
      </c>
      <c r="E6657" t="s">
        <v>37</v>
      </c>
      <c r="F6657" t="s">
        <v>12817</v>
      </c>
      <c r="J6657" t="s">
        <v>12818</v>
      </c>
    </row>
    <row r="6658" spans="1:10" x14ac:dyDescent="0.3">
      <c r="A6658" t="s">
        <v>12819</v>
      </c>
      <c r="B6658" t="s">
        <v>12820</v>
      </c>
      <c r="D6658">
        <v>3</v>
      </c>
      <c r="E6658" t="s">
        <v>189</v>
      </c>
      <c r="F6658" t="s">
        <v>12821</v>
      </c>
    </row>
    <row r="6659" spans="1:10" x14ac:dyDescent="0.3">
      <c r="A6659" t="s">
        <v>12822</v>
      </c>
      <c r="B6659" t="s">
        <v>12823</v>
      </c>
      <c r="D6659">
        <v>1</v>
      </c>
      <c r="E6659" t="s">
        <v>37</v>
      </c>
      <c r="F6659" t="s">
        <v>12824</v>
      </c>
    </row>
    <row r="6660" spans="1:10" x14ac:dyDescent="0.3">
      <c r="A6660" t="s">
        <v>7569</v>
      </c>
      <c r="B6660" t="s">
        <v>12825</v>
      </c>
      <c r="D6660">
        <v>2.5</v>
      </c>
      <c r="E6660" t="s">
        <v>227</v>
      </c>
      <c r="F6660" t="s">
        <v>51</v>
      </c>
    </row>
    <row r="6661" spans="1:10" x14ac:dyDescent="0.3">
      <c r="A6661" t="s">
        <v>12826</v>
      </c>
      <c r="B6661" t="s">
        <v>12827</v>
      </c>
      <c r="D6661">
        <v>0.25</v>
      </c>
      <c r="E6661" t="s">
        <v>23</v>
      </c>
      <c r="F6661" t="s">
        <v>1537</v>
      </c>
    </row>
    <row r="6662" spans="1:10" x14ac:dyDescent="0.3">
      <c r="A6662" t="s">
        <v>7814</v>
      </c>
      <c r="B6662" t="s">
        <v>12828</v>
      </c>
      <c r="D6662">
        <v>1</v>
      </c>
      <c r="F6662" t="s">
        <v>12829</v>
      </c>
      <c r="J6662" t="s">
        <v>1124</v>
      </c>
    </row>
    <row r="6663" spans="1:10" x14ac:dyDescent="0.3">
      <c r="A6663" t="s">
        <v>12830</v>
      </c>
      <c r="B6663" t="s">
        <v>4220</v>
      </c>
      <c r="D6663">
        <v>2</v>
      </c>
      <c r="E6663" t="s">
        <v>23</v>
      </c>
      <c r="F6663" t="s">
        <v>487</v>
      </c>
    </row>
    <row r="6664" spans="1:10" x14ac:dyDescent="0.3">
      <c r="A6664" t="s">
        <v>4885</v>
      </c>
      <c r="B6664" t="s">
        <v>12831</v>
      </c>
      <c r="D6664">
        <v>3</v>
      </c>
      <c r="E6664" t="s">
        <v>91</v>
      </c>
      <c r="F6664" t="s">
        <v>12832</v>
      </c>
      <c r="J6664" t="s">
        <v>20</v>
      </c>
    </row>
    <row r="6665" spans="1:10" x14ac:dyDescent="0.3">
      <c r="A6665" t="s">
        <v>12833</v>
      </c>
      <c r="B6665" t="s">
        <v>12834</v>
      </c>
      <c r="D6665">
        <v>4</v>
      </c>
      <c r="E6665" t="s">
        <v>189</v>
      </c>
      <c r="F6665" t="s">
        <v>12835</v>
      </c>
    </row>
    <row r="6666" spans="1:10" x14ac:dyDescent="0.3">
      <c r="A6666" t="s">
        <v>9595</v>
      </c>
      <c r="B6666" t="s">
        <v>12836</v>
      </c>
      <c r="D6666">
        <v>1</v>
      </c>
      <c r="F6666" t="s">
        <v>11934</v>
      </c>
      <c r="J6666" t="s">
        <v>325</v>
      </c>
    </row>
    <row r="6667" spans="1:10" x14ac:dyDescent="0.3">
      <c r="A6667" t="s">
        <v>12837</v>
      </c>
      <c r="B6667" t="s">
        <v>12838</v>
      </c>
      <c r="D6667" t="s">
        <v>8478</v>
      </c>
      <c r="E6667" t="s">
        <v>227</v>
      </c>
      <c r="F6667" t="s">
        <v>12839</v>
      </c>
      <c r="J6667" t="s">
        <v>548</v>
      </c>
    </row>
    <row r="6668" spans="1:10" x14ac:dyDescent="0.3">
      <c r="A6668" t="s">
        <v>6741</v>
      </c>
      <c r="B6668" t="s">
        <v>12840</v>
      </c>
      <c r="F6668" t="s">
        <v>765</v>
      </c>
      <c r="J6668" t="s">
        <v>12841</v>
      </c>
    </row>
    <row r="6669" spans="1:10" x14ac:dyDescent="0.3">
      <c r="A6669" t="s">
        <v>12842</v>
      </c>
      <c r="B6669" t="s">
        <v>12843</v>
      </c>
      <c r="D6669">
        <v>120</v>
      </c>
      <c r="E6669" t="s">
        <v>2267</v>
      </c>
      <c r="F6669" t="s">
        <v>1534</v>
      </c>
    </row>
    <row r="6670" spans="1:10" x14ac:dyDescent="0.3">
      <c r="A6670" t="s">
        <v>12844</v>
      </c>
      <c r="B6670" t="s">
        <v>1369</v>
      </c>
      <c r="D6670">
        <v>1</v>
      </c>
      <c r="E6670" t="s">
        <v>460</v>
      </c>
      <c r="F6670" t="s">
        <v>331</v>
      </c>
    </row>
    <row r="6671" spans="1:10" x14ac:dyDescent="0.3">
      <c r="A6671" t="s">
        <v>12845</v>
      </c>
      <c r="B6671" t="s">
        <v>12846</v>
      </c>
      <c r="D6671">
        <v>0.5</v>
      </c>
      <c r="E6671" t="s">
        <v>23</v>
      </c>
      <c r="F6671" t="s">
        <v>2342</v>
      </c>
    </row>
    <row r="6672" spans="1:10" x14ac:dyDescent="0.3">
      <c r="A6672" t="s">
        <v>9021</v>
      </c>
      <c r="B6672" t="s">
        <v>12847</v>
      </c>
      <c r="E6672" t="s">
        <v>1671</v>
      </c>
      <c r="F6672" t="s">
        <v>152</v>
      </c>
    </row>
    <row r="6673" spans="1:10" x14ac:dyDescent="0.3">
      <c r="A6673" t="s">
        <v>12848</v>
      </c>
      <c r="B6673" t="s">
        <v>12849</v>
      </c>
      <c r="D6673">
        <v>1</v>
      </c>
      <c r="F6673" t="s">
        <v>11794</v>
      </c>
      <c r="J6673" t="s">
        <v>929</v>
      </c>
    </row>
    <row r="6674" spans="1:10" x14ac:dyDescent="0.3">
      <c r="A6674" t="s">
        <v>4757</v>
      </c>
      <c r="B6674" t="s">
        <v>8786</v>
      </c>
      <c r="D6674">
        <v>2</v>
      </c>
      <c r="E6674" t="s">
        <v>227</v>
      </c>
      <c r="F6674" t="s">
        <v>233</v>
      </c>
    </row>
    <row r="6675" spans="1:10" x14ac:dyDescent="0.3">
      <c r="A6675" t="s">
        <v>12850</v>
      </c>
      <c r="B6675" t="s">
        <v>12851</v>
      </c>
      <c r="D6675">
        <v>1</v>
      </c>
      <c r="F6675" t="s">
        <v>237</v>
      </c>
      <c r="G6675" t="s">
        <v>908</v>
      </c>
    </row>
    <row r="6676" spans="1:10" x14ac:dyDescent="0.3">
      <c r="A6676" t="s">
        <v>12852</v>
      </c>
      <c r="B6676" t="s">
        <v>12853</v>
      </c>
      <c r="D6676">
        <v>1.5</v>
      </c>
      <c r="E6676" t="s">
        <v>23</v>
      </c>
      <c r="F6676" t="s">
        <v>5448</v>
      </c>
    </row>
    <row r="6677" spans="1:10" x14ac:dyDescent="0.3">
      <c r="A6677" t="s">
        <v>12854</v>
      </c>
      <c r="B6677" t="s">
        <v>12855</v>
      </c>
      <c r="D6677">
        <v>1</v>
      </c>
      <c r="E6677" t="s">
        <v>227</v>
      </c>
      <c r="F6677" t="s">
        <v>51</v>
      </c>
    </row>
    <row r="6678" spans="1:10" x14ac:dyDescent="0.3">
      <c r="A6678" t="s">
        <v>12856</v>
      </c>
      <c r="B6678" t="s">
        <v>607</v>
      </c>
      <c r="D6678">
        <v>0.5</v>
      </c>
      <c r="E6678" t="s">
        <v>23</v>
      </c>
      <c r="F6678" t="s">
        <v>292</v>
      </c>
    </row>
    <row r="6679" spans="1:10" x14ac:dyDescent="0.3">
      <c r="A6679" t="s">
        <v>7798</v>
      </c>
      <c r="B6679" t="s">
        <v>12857</v>
      </c>
      <c r="F6679" t="s">
        <v>1056</v>
      </c>
      <c r="J6679" t="s">
        <v>1124</v>
      </c>
    </row>
    <row r="6680" spans="1:10" x14ac:dyDescent="0.3">
      <c r="A6680" t="s">
        <v>12858</v>
      </c>
      <c r="B6680" t="s">
        <v>12859</v>
      </c>
      <c r="D6680">
        <v>1</v>
      </c>
      <c r="E6680" t="s">
        <v>11</v>
      </c>
      <c r="F6680" t="s">
        <v>12860</v>
      </c>
    </row>
    <row r="6681" spans="1:10" x14ac:dyDescent="0.3">
      <c r="A6681" t="s">
        <v>5141</v>
      </c>
      <c r="B6681" t="s">
        <v>12861</v>
      </c>
      <c r="D6681">
        <v>1.5</v>
      </c>
      <c r="E6681" t="s">
        <v>227</v>
      </c>
      <c r="F6681" t="s">
        <v>2602</v>
      </c>
    </row>
    <row r="6682" spans="1:10" x14ac:dyDescent="0.3">
      <c r="A6682" t="s">
        <v>12862</v>
      </c>
      <c r="B6682" t="s">
        <v>12863</v>
      </c>
      <c r="D6682">
        <v>20.5</v>
      </c>
      <c r="E6682" t="s">
        <v>91</v>
      </c>
      <c r="F6682" t="s">
        <v>12864</v>
      </c>
      <c r="J6682" t="s">
        <v>654</v>
      </c>
    </row>
    <row r="6683" spans="1:10" x14ac:dyDescent="0.3">
      <c r="A6683" t="s">
        <v>12865</v>
      </c>
      <c r="B6683" t="s">
        <v>822</v>
      </c>
      <c r="F6683" t="s">
        <v>822</v>
      </c>
    </row>
    <row r="6684" spans="1:10" x14ac:dyDescent="0.3">
      <c r="A6684" t="s">
        <v>12866</v>
      </c>
      <c r="B6684" t="s">
        <v>12867</v>
      </c>
      <c r="D6684">
        <v>1</v>
      </c>
      <c r="E6684" t="s">
        <v>23</v>
      </c>
      <c r="F6684" t="s">
        <v>12868</v>
      </c>
    </row>
    <row r="6685" spans="1:10" x14ac:dyDescent="0.3">
      <c r="A6685" t="s">
        <v>7952</v>
      </c>
      <c r="B6685" t="s">
        <v>12869</v>
      </c>
      <c r="D6685">
        <v>2</v>
      </c>
      <c r="E6685" t="s">
        <v>91</v>
      </c>
      <c r="F6685" t="s">
        <v>12870</v>
      </c>
      <c r="J6685" t="s">
        <v>654</v>
      </c>
    </row>
    <row r="6686" spans="1:10" x14ac:dyDescent="0.3">
      <c r="A6686" t="s">
        <v>12803</v>
      </c>
      <c r="B6686" t="s">
        <v>3247</v>
      </c>
      <c r="D6686">
        <v>1</v>
      </c>
      <c r="E6686" t="s">
        <v>23</v>
      </c>
      <c r="F6686" t="s">
        <v>1506</v>
      </c>
    </row>
    <row r="6687" spans="1:10" x14ac:dyDescent="0.3">
      <c r="A6687" t="s">
        <v>12871</v>
      </c>
      <c r="B6687" t="s">
        <v>10950</v>
      </c>
      <c r="D6687">
        <v>6</v>
      </c>
      <c r="F6687" t="s">
        <v>538</v>
      </c>
      <c r="J6687" t="s">
        <v>10951</v>
      </c>
    </row>
    <row r="6688" spans="1:10" x14ac:dyDescent="0.3">
      <c r="A6688" t="s">
        <v>12872</v>
      </c>
      <c r="B6688" t="s">
        <v>12873</v>
      </c>
      <c r="D6688">
        <v>1</v>
      </c>
      <c r="E6688" t="s">
        <v>37</v>
      </c>
      <c r="F6688" t="s">
        <v>1915</v>
      </c>
    </row>
    <row r="6689" spans="1:10" x14ac:dyDescent="0.3">
      <c r="A6689" t="s">
        <v>12874</v>
      </c>
      <c r="B6689" t="s">
        <v>2573</v>
      </c>
      <c r="F6689" t="s">
        <v>2573</v>
      </c>
    </row>
    <row r="6690" spans="1:10" x14ac:dyDescent="0.3">
      <c r="A6690" t="s">
        <v>12875</v>
      </c>
      <c r="B6690" t="s">
        <v>12876</v>
      </c>
      <c r="D6690">
        <v>1</v>
      </c>
      <c r="E6690" t="s">
        <v>1785</v>
      </c>
      <c r="F6690" t="s">
        <v>199</v>
      </c>
    </row>
    <row r="6691" spans="1:10" x14ac:dyDescent="0.3">
      <c r="A6691" t="s">
        <v>12877</v>
      </c>
      <c r="B6691" t="s">
        <v>12292</v>
      </c>
      <c r="D6691">
        <v>1.5</v>
      </c>
      <c r="E6691" t="s">
        <v>23</v>
      </c>
      <c r="F6691" t="s">
        <v>199</v>
      </c>
    </row>
    <row r="6692" spans="1:10" x14ac:dyDescent="0.3">
      <c r="A6692" t="s">
        <v>12878</v>
      </c>
      <c r="B6692" t="s">
        <v>4157</v>
      </c>
      <c r="D6692">
        <v>2</v>
      </c>
      <c r="E6692" t="s">
        <v>23</v>
      </c>
      <c r="F6692" t="s">
        <v>10523</v>
      </c>
    </row>
    <row r="6693" spans="1:10" x14ac:dyDescent="0.3">
      <c r="A6693" t="s">
        <v>12879</v>
      </c>
      <c r="B6693" t="s">
        <v>12880</v>
      </c>
      <c r="D6693">
        <v>1.5</v>
      </c>
      <c r="E6693" t="s">
        <v>345</v>
      </c>
      <c r="F6693" t="s">
        <v>2385</v>
      </c>
      <c r="J6693" t="s">
        <v>12881</v>
      </c>
    </row>
    <row r="6694" spans="1:10" x14ac:dyDescent="0.3">
      <c r="A6694" t="s">
        <v>8481</v>
      </c>
      <c r="B6694" t="s">
        <v>12206</v>
      </c>
      <c r="D6694">
        <v>1</v>
      </c>
      <c r="E6694" t="s">
        <v>11</v>
      </c>
      <c r="F6694" t="s">
        <v>12207</v>
      </c>
    </row>
    <row r="6695" spans="1:10" x14ac:dyDescent="0.3">
      <c r="A6695" t="s">
        <v>12882</v>
      </c>
      <c r="B6695" t="s">
        <v>4919</v>
      </c>
      <c r="D6695">
        <v>0.5</v>
      </c>
      <c r="E6695" t="s">
        <v>23</v>
      </c>
      <c r="F6695" t="s">
        <v>30</v>
      </c>
    </row>
    <row r="6696" spans="1:10" x14ac:dyDescent="0.3">
      <c r="A6696" t="s">
        <v>12883</v>
      </c>
      <c r="B6696" t="s">
        <v>12884</v>
      </c>
      <c r="D6696">
        <v>12.5</v>
      </c>
      <c r="E6696" t="s">
        <v>29</v>
      </c>
      <c r="F6696" t="s">
        <v>12885</v>
      </c>
    </row>
    <row r="6697" spans="1:10" x14ac:dyDescent="0.3">
      <c r="A6697" t="s">
        <v>12886</v>
      </c>
      <c r="B6697" t="s">
        <v>9727</v>
      </c>
      <c r="D6697">
        <v>4</v>
      </c>
      <c r="E6697" t="s">
        <v>23</v>
      </c>
      <c r="F6697" t="s">
        <v>108</v>
      </c>
    </row>
    <row r="6698" spans="1:10" x14ac:dyDescent="0.3">
      <c r="A6698" t="s">
        <v>12887</v>
      </c>
      <c r="B6698" t="s">
        <v>12888</v>
      </c>
      <c r="D6698">
        <v>1</v>
      </c>
      <c r="E6698" t="s">
        <v>33</v>
      </c>
      <c r="F6698" t="s">
        <v>10868</v>
      </c>
      <c r="J6698" t="s">
        <v>164</v>
      </c>
    </row>
    <row r="6699" spans="1:10" x14ac:dyDescent="0.3">
      <c r="A6699" t="s">
        <v>12889</v>
      </c>
      <c r="B6699" t="s">
        <v>12890</v>
      </c>
      <c r="D6699">
        <v>2</v>
      </c>
      <c r="E6699" t="s">
        <v>50</v>
      </c>
      <c r="F6699" t="s">
        <v>5161</v>
      </c>
    </row>
    <row r="6700" spans="1:10" x14ac:dyDescent="0.3">
      <c r="A6700" t="s">
        <v>3931</v>
      </c>
      <c r="B6700" t="s">
        <v>12891</v>
      </c>
      <c r="D6700">
        <v>0.75</v>
      </c>
      <c r="E6700" t="s">
        <v>91</v>
      </c>
      <c r="F6700" t="s">
        <v>160</v>
      </c>
    </row>
    <row r="6701" spans="1:10" x14ac:dyDescent="0.3">
      <c r="A6701" t="s">
        <v>3376</v>
      </c>
      <c r="B6701" t="s">
        <v>12892</v>
      </c>
      <c r="D6701">
        <v>1</v>
      </c>
      <c r="E6701" t="s">
        <v>23</v>
      </c>
      <c r="F6701" t="s">
        <v>12893</v>
      </c>
    </row>
    <row r="6702" spans="1:10" x14ac:dyDescent="0.3">
      <c r="A6702" t="s">
        <v>12894</v>
      </c>
      <c r="B6702" t="s">
        <v>12895</v>
      </c>
      <c r="D6702">
        <v>0.5</v>
      </c>
      <c r="E6702" t="s">
        <v>23</v>
      </c>
      <c r="F6702" t="s">
        <v>6956</v>
      </c>
    </row>
    <row r="6703" spans="1:10" x14ac:dyDescent="0.3">
      <c r="A6703" t="s">
        <v>12896</v>
      </c>
      <c r="B6703" t="s">
        <v>12897</v>
      </c>
      <c r="D6703">
        <v>15</v>
      </c>
      <c r="E6703" t="s">
        <v>29</v>
      </c>
      <c r="F6703" t="s">
        <v>12898</v>
      </c>
    </row>
    <row r="6704" spans="1:10" x14ac:dyDescent="0.3">
      <c r="A6704" t="s">
        <v>12899</v>
      </c>
      <c r="B6704" t="s">
        <v>4094</v>
      </c>
      <c r="D6704">
        <v>0.5</v>
      </c>
      <c r="E6704" t="s">
        <v>23</v>
      </c>
      <c r="F6704" t="s">
        <v>281</v>
      </c>
    </row>
    <row r="6705" spans="1:10" x14ac:dyDescent="0.3">
      <c r="A6705" t="s">
        <v>12900</v>
      </c>
      <c r="B6705" t="s">
        <v>12901</v>
      </c>
      <c r="D6705">
        <v>1</v>
      </c>
      <c r="E6705" t="s">
        <v>469</v>
      </c>
      <c r="F6705" t="s">
        <v>10956</v>
      </c>
    </row>
    <row r="6706" spans="1:10" x14ac:dyDescent="0.3">
      <c r="A6706" t="s">
        <v>7619</v>
      </c>
      <c r="B6706" t="s">
        <v>12228</v>
      </c>
      <c r="D6706">
        <v>1.5</v>
      </c>
      <c r="E6706" t="s">
        <v>345</v>
      </c>
      <c r="F6706" t="s">
        <v>12229</v>
      </c>
      <c r="J6706" t="s">
        <v>20</v>
      </c>
    </row>
    <row r="6707" spans="1:10" x14ac:dyDescent="0.3">
      <c r="A6707" t="s">
        <v>12902</v>
      </c>
      <c r="B6707" t="s">
        <v>12903</v>
      </c>
      <c r="D6707">
        <v>2</v>
      </c>
      <c r="E6707" t="s">
        <v>686</v>
      </c>
      <c r="F6707" t="s">
        <v>2178</v>
      </c>
    </row>
    <row r="6708" spans="1:10" x14ac:dyDescent="0.3">
      <c r="A6708" t="s">
        <v>8319</v>
      </c>
      <c r="B6708" t="s">
        <v>12904</v>
      </c>
      <c r="D6708">
        <v>0.5</v>
      </c>
      <c r="E6708" t="s">
        <v>361</v>
      </c>
      <c r="F6708" t="s">
        <v>2078</v>
      </c>
    </row>
    <row r="6709" spans="1:10" x14ac:dyDescent="0.3">
      <c r="A6709" t="s">
        <v>12905</v>
      </c>
      <c r="B6709" t="s">
        <v>12906</v>
      </c>
      <c r="D6709">
        <v>10.25</v>
      </c>
      <c r="E6709" t="s">
        <v>91</v>
      </c>
      <c r="F6709" t="s">
        <v>12907</v>
      </c>
    </row>
    <row r="6710" spans="1:10" x14ac:dyDescent="0.3">
      <c r="A6710" t="s">
        <v>12908</v>
      </c>
      <c r="B6710" t="s">
        <v>12909</v>
      </c>
      <c r="D6710">
        <v>90</v>
      </c>
      <c r="E6710" t="s">
        <v>29</v>
      </c>
      <c r="F6710" t="s">
        <v>278</v>
      </c>
    </row>
    <row r="6711" spans="1:10" x14ac:dyDescent="0.3">
      <c r="A6711" t="s">
        <v>12910</v>
      </c>
      <c r="B6711" t="s">
        <v>5303</v>
      </c>
      <c r="D6711">
        <v>1.5</v>
      </c>
      <c r="E6711" t="s">
        <v>23</v>
      </c>
      <c r="F6711" t="s">
        <v>3447</v>
      </c>
    </row>
    <row r="6712" spans="1:10" x14ac:dyDescent="0.3">
      <c r="A6712" t="s">
        <v>12911</v>
      </c>
      <c r="B6712" t="s">
        <v>12912</v>
      </c>
      <c r="D6712">
        <v>1</v>
      </c>
      <c r="E6712" t="s">
        <v>23</v>
      </c>
      <c r="F6712" t="s">
        <v>12913</v>
      </c>
    </row>
    <row r="6713" spans="1:10" x14ac:dyDescent="0.3">
      <c r="A6713" t="s">
        <v>293</v>
      </c>
      <c r="B6713" t="s">
        <v>12914</v>
      </c>
      <c r="D6713">
        <v>1</v>
      </c>
      <c r="E6713" t="s">
        <v>469</v>
      </c>
      <c r="F6713" t="s">
        <v>12915</v>
      </c>
    </row>
    <row r="6714" spans="1:10" x14ac:dyDescent="0.3">
      <c r="A6714" t="s">
        <v>12916</v>
      </c>
      <c r="B6714" t="s">
        <v>1737</v>
      </c>
      <c r="D6714">
        <v>2</v>
      </c>
      <c r="E6714" t="s">
        <v>23</v>
      </c>
      <c r="F6714" t="s">
        <v>320</v>
      </c>
    </row>
    <row r="6715" spans="1:10" x14ac:dyDescent="0.3">
      <c r="A6715" t="s">
        <v>7984</v>
      </c>
      <c r="B6715" t="s">
        <v>12917</v>
      </c>
      <c r="D6715">
        <v>2.5</v>
      </c>
      <c r="E6715" t="s">
        <v>23</v>
      </c>
      <c r="F6715" t="s">
        <v>7426</v>
      </c>
    </row>
    <row r="6716" spans="1:10" x14ac:dyDescent="0.3">
      <c r="A6716" t="s">
        <v>6341</v>
      </c>
      <c r="B6716" t="s">
        <v>12918</v>
      </c>
      <c r="D6716">
        <v>1000</v>
      </c>
      <c r="E6716" t="s">
        <v>29</v>
      </c>
      <c r="F6716" t="s">
        <v>1816</v>
      </c>
      <c r="J6716" t="s">
        <v>12919</v>
      </c>
    </row>
    <row r="6717" spans="1:10" x14ac:dyDescent="0.3">
      <c r="A6717" t="s">
        <v>2878</v>
      </c>
      <c r="B6717" t="s">
        <v>792</v>
      </c>
      <c r="D6717">
        <v>0.5</v>
      </c>
      <c r="E6717" t="s">
        <v>11</v>
      </c>
      <c r="F6717" t="s">
        <v>793</v>
      </c>
    </row>
    <row r="6718" spans="1:10" x14ac:dyDescent="0.3">
      <c r="A6718" t="s">
        <v>4266</v>
      </c>
      <c r="B6718" t="s">
        <v>780</v>
      </c>
      <c r="D6718">
        <v>2</v>
      </c>
      <c r="E6718" t="s">
        <v>23</v>
      </c>
      <c r="F6718" t="s">
        <v>781</v>
      </c>
      <c r="J6718" t="s">
        <v>289</v>
      </c>
    </row>
    <row r="6719" spans="1:10" x14ac:dyDescent="0.3">
      <c r="A6719" t="s">
        <v>12920</v>
      </c>
      <c r="B6719" t="s">
        <v>12921</v>
      </c>
      <c r="D6719">
        <v>20</v>
      </c>
      <c r="E6719" t="s">
        <v>835</v>
      </c>
      <c r="F6719" t="s">
        <v>1578</v>
      </c>
    </row>
    <row r="6720" spans="1:10" x14ac:dyDescent="0.3">
      <c r="A6720" t="s">
        <v>12922</v>
      </c>
      <c r="B6720" t="s">
        <v>12923</v>
      </c>
      <c r="F6720" t="s">
        <v>12923</v>
      </c>
    </row>
    <row r="6721" spans="1:10" x14ac:dyDescent="0.3">
      <c r="A6721" t="s">
        <v>12924</v>
      </c>
      <c r="B6721" t="s">
        <v>7204</v>
      </c>
      <c r="F6721" t="s">
        <v>333</v>
      </c>
      <c r="J6721" t="s">
        <v>65</v>
      </c>
    </row>
    <row r="6722" spans="1:10" x14ac:dyDescent="0.3">
      <c r="A6722" t="s">
        <v>12925</v>
      </c>
      <c r="B6722" t="s">
        <v>2612</v>
      </c>
      <c r="D6722">
        <v>1</v>
      </c>
      <c r="E6722" t="s">
        <v>37</v>
      </c>
      <c r="F6722" t="s">
        <v>1328</v>
      </c>
    </row>
    <row r="6723" spans="1:10" x14ac:dyDescent="0.3">
      <c r="A6723" t="s">
        <v>9303</v>
      </c>
      <c r="B6723" t="s">
        <v>638</v>
      </c>
      <c r="F6723" t="s">
        <v>638</v>
      </c>
    </row>
    <row r="6724" spans="1:10" x14ac:dyDescent="0.3">
      <c r="A6724" t="s">
        <v>12926</v>
      </c>
      <c r="B6724" t="s">
        <v>5192</v>
      </c>
      <c r="D6724">
        <v>2</v>
      </c>
      <c r="E6724" t="s">
        <v>23</v>
      </c>
      <c r="F6724" t="s">
        <v>233</v>
      </c>
    </row>
    <row r="6725" spans="1:10" x14ac:dyDescent="0.3">
      <c r="A6725" t="s">
        <v>12927</v>
      </c>
      <c r="B6725" t="s">
        <v>36</v>
      </c>
      <c r="D6725">
        <v>0.75</v>
      </c>
      <c r="E6725" t="s">
        <v>37</v>
      </c>
      <c r="F6725" t="s">
        <v>38</v>
      </c>
    </row>
    <row r="6726" spans="1:10" x14ac:dyDescent="0.3">
      <c r="A6726" t="s">
        <v>5057</v>
      </c>
      <c r="B6726" t="s">
        <v>12928</v>
      </c>
      <c r="D6726">
        <v>0.5</v>
      </c>
      <c r="E6726" t="s">
        <v>23</v>
      </c>
      <c r="F6726" t="s">
        <v>12929</v>
      </c>
    </row>
    <row r="6727" spans="1:10" x14ac:dyDescent="0.3">
      <c r="A6727" t="s">
        <v>12930</v>
      </c>
      <c r="B6727" t="s">
        <v>12931</v>
      </c>
      <c r="D6727">
        <v>4</v>
      </c>
      <c r="E6727" t="s">
        <v>176</v>
      </c>
      <c r="F6727" t="s">
        <v>12932</v>
      </c>
    </row>
    <row r="6728" spans="1:10" x14ac:dyDescent="0.3">
      <c r="A6728" t="s">
        <v>3119</v>
      </c>
      <c r="B6728" t="s">
        <v>12933</v>
      </c>
      <c r="D6728">
        <v>4</v>
      </c>
      <c r="E6728" t="s">
        <v>23</v>
      </c>
      <c r="F6728" t="s">
        <v>6273</v>
      </c>
    </row>
    <row r="6729" spans="1:10" x14ac:dyDescent="0.3">
      <c r="A6729" t="s">
        <v>12934</v>
      </c>
      <c r="B6729" t="s">
        <v>12935</v>
      </c>
      <c r="D6729">
        <v>2</v>
      </c>
      <c r="E6729" t="s">
        <v>227</v>
      </c>
      <c r="F6729" t="s">
        <v>413</v>
      </c>
      <c r="G6729" t="s">
        <v>1571</v>
      </c>
      <c r="J6729" t="s">
        <v>12936</v>
      </c>
    </row>
    <row r="6730" spans="1:10" x14ac:dyDescent="0.3">
      <c r="A6730" t="s">
        <v>12937</v>
      </c>
      <c r="B6730" t="s">
        <v>12938</v>
      </c>
      <c r="D6730">
        <v>1</v>
      </c>
      <c r="E6730" t="s">
        <v>12939</v>
      </c>
      <c r="F6730" t="s">
        <v>233</v>
      </c>
    </row>
    <row r="6731" spans="1:10" x14ac:dyDescent="0.3">
      <c r="A6731" t="s">
        <v>12940</v>
      </c>
      <c r="B6731" t="s">
        <v>4749</v>
      </c>
      <c r="D6731">
        <v>0.5</v>
      </c>
      <c r="E6731" t="s">
        <v>23</v>
      </c>
      <c r="F6731" t="s">
        <v>1188</v>
      </c>
    </row>
    <row r="6732" spans="1:10" x14ac:dyDescent="0.3">
      <c r="A6732" t="s">
        <v>12941</v>
      </c>
      <c r="B6732" t="s">
        <v>9051</v>
      </c>
      <c r="D6732">
        <v>0.25</v>
      </c>
      <c r="E6732" t="s">
        <v>11</v>
      </c>
      <c r="F6732" t="s">
        <v>793</v>
      </c>
    </row>
    <row r="6733" spans="1:10" x14ac:dyDescent="0.3">
      <c r="A6733" t="s">
        <v>12942</v>
      </c>
      <c r="B6733" t="s">
        <v>12943</v>
      </c>
      <c r="D6733">
        <v>1</v>
      </c>
      <c r="E6733" t="s">
        <v>11</v>
      </c>
      <c r="F6733" t="s">
        <v>3236</v>
      </c>
    </row>
    <row r="6734" spans="1:10" x14ac:dyDescent="0.3">
      <c r="A6734" t="s">
        <v>10580</v>
      </c>
      <c r="B6734" t="s">
        <v>12944</v>
      </c>
      <c r="D6734">
        <v>0.5</v>
      </c>
      <c r="E6734" t="s">
        <v>23</v>
      </c>
      <c r="F6734" t="s">
        <v>5167</v>
      </c>
    </row>
    <row r="6735" spans="1:10" x14ac:dyDescent="0.3">
      <c r="A6735" t="s">
        <v>12945</v>
      </c>
      <c r="B6735" t="s">
        <v>540</v>
      </c>
      <c r="D6735">
        <v>1</v>
      </c>
      <c r="E6735" t="s">
        <v>18</v>
      </c>
      <c r="F6735" t="s">
        <v>541</v>
      </c>
    </row>
    <row r="6736" spans="1:10" x14ac:dyDescent="0.3">
      <c r="A6736" t="s">
        <v>12946</v>
      </c>
      <c r="B6736" t="s">
        <v>12947</v>
      </c>
      <c r="D6736">
        <v>10.5</v>
      </c>
      <c r="E6736" t="s">
        <v>91</v>
      </c>
      <c r="F6736" t="s">
        <v>3901</v>
      </c>
    </row>
    <row r="6737" spans="1:10" x14ac:dyDescent="0.3">
      <c r="A6737" t="s">
        <v>6399</v>
      </c>
      <c r="B6737" t="s">
        <v>105</v>
      </c>
      <c r="F6737" t="s">
        <v>105</v>
      </c>
    </row>
    <row r="6738" spans="1:10" x14ac:dyDescent="0.3">
      <c r="A6738" t="s">
        <v>12948</v>
      </c>
      <c r="B6738" t="s">
        <v>2154</v>
      </c>
      <c r="F6738" t="s">
        <v>333</v>
      </c>
      <c r="J6738" t="s">
        <v>2155</v>
      </c>
    </row>
    <row r="6739" spans="1:10" x14ac:dyDescent="0.3">
      <c r="A6739" t="s">
        <v>8367</v>
      </c>
      <c r="B6739" t="s">
        <v>12949</v>
      </c>
      <c r="D6739">
        <v>1</v>
      </c>
      <c r="E6739" t="s">
        <v>23</v>
      </c>
      <c r="F6739" t="s">
        <v>12950</v>
      </c>
      <c r="J6739" t="s">
        <v>20</v>
      </c>
    </row>
    <row r="6740" spans="1:10" x14ac:dyDescent="0.3">
      <c r="A6740" t="s">
        <v>12951</v>
      </c>
      <c r="B6740" t="s">
        <v>12952</v>
      </c>
      <c r="D6740">
        <v>1.5</v>
      </c>
      <c r="E6740" t="s">
        <v>23</v>
      </c>
      <c r="F6740" t="s">
        <v>12953</v>
      </c>
    </row>
    <row r="6741" spans="1:10" x14ac:dyDescent="0.3">
      <c r="A6741" t="s">
        <v>12954</v>
      </c>
      <c r="B6741" t="s">
        <v>12955</v>
      </c>
      <c r="D6741">
        <v>2</v>
      </c>
      <c r="E6741" t="s">
        <v>715</v>
      </c>
      <c r="F6741" t="s">
        <v>2955</v>
      </c>
    </row>
    <row r="6742" spans="1:10" x14ac:dyDescent="0.3">
      <c r="A6742" t="s">
        <v>12956</v>
      </c>
      <c r="B6742" t="s">
        <v>12957</v>
      </c>
      <c r="D6742">
        <v>1</v>
      </c>
      <c r="E6742" t="s">
        <v>111</v>
      </c>
      <c r="F6742" t="s">
        <v>936</v>
      </c>
    </row>
    <row r="6743" spans="1:10" x14ac:dyDescent="0.3">
      <c r="A6743" t="s">
        <v>12958</v>
      </c>
      <c r="B6743" t="s">
        <v>12959</v>
      </c>
      <c r="D6743">
        <v>2</v>
      </c>
      <c r="E6743" t="s">
        <v>23</v>
      </c>
      <c r="F6743" t="s">
        <v>9112</v>
      </c>
    </row>
    <row r="6744" spans="1:10" x14ac:dyDescent="0.3">
      <c r="A6744" t="s">
        <v>3955</v>
      </c>
      <c r="B6744" t="s">
        <v>4635</v>
      </c>
      <c r="D6744">
        <v>50</v>
      </c>
      <c r="E6744" t="s">
        <v>29</v>
      </c>
      <c r="F6744" t="s">
        <v>8731</v>
      </c>
    </row>
    <row r="6745" spans="1:10" x14ac:dyDescent="0.3">
      <c r="A6745" t="s">
        <v>12960</v>
      </c>
      <c r="B6745" t="s">
        <v>12961</v>
      </c>
      <c r="D6745">
        <v>350</v>
      </c>
      <c r="E6745" t="s">
        <v>29</v>
      </c>
      <c r="F6745" t="s">
        <v>12962</v>
      </c>
      <c r="J6745" t="s">
        <v>12963</v>
      </c>
    </row>
    <row r="6746" spans="1:10" x14ac:dyDescent="0.3">
      <c r="A6746" t="s">
        <v>3631</v>
      </c>
      <c r="B6746" t="s">
        <v>12964</v>
      </c>
      <c r="D6746">
        <v>1</v>
      </c>
      <c r="E6746" t="s">
        <v>284</v>
      </c>
      <c r="F6746" t="s">
        <v>3447</v>
      </c>
    </row>
    <row r="6747" spans="1:10" x14ac:dyDescent="0.3">
      <c r="A6747" t="s">
        <v>2000</v>
      </c>
      <c r="B6747" t="s">
        <v>12965</v>
      </c>
      <c r="D6747">
        <v>0.25</v>
      </c>
      <c r="E6747" t="s">
        <v>23</v>
      </c>
      <c r="F6747" t="s">
        <v>1867</v>
      </c>
    </row>
    <row r="6748" spans="1:10" x14ac:dyDescent="0.3">
      <c r="A6748" t="s">
        <v>12966</v>
      </c>
      <c r="B6748" t="s">
        <v>159</v>
      </c>
      <c r="D6748">
        <v>0.75</v>
      </c>
      <c r="E6748" t="s">
        <v>23</v>
      </c>
      <c r="F6748" t="s">
        <v>160</v>
      </c>
      <c r="H6748" t="s">
        <v>68</v>
      </c>
    </row>
    <row r="6749" spans="1:10" x14ac:dyDescent="0.3">
      <c r="A6749" t="s">
        <v>12427</v>
      </c>
      <c r="B6749" t="s">
        <v>12967</v>
      </c>
      <c r="F6749" t="s">
        <v>12968</v>
      </c>
      <c r="J6749" t="s">
        <v>12969</v>
      </c>
    </row>
    <row r="6750" spans="1:10" x14ac:dyDescent="0.3">
      <c r="A6750" t="s">
        <v>12970</v>
      </c>
      <c r="B6750" t="s">
        <v>9004</v>
      </c>
      <c r="D6750">
        <v>2</v>
      </c>
      <c r="E6750" t="s">
        <v>189</v>
      </c>
      <c r="F6750" t="s">
        <v>5487</v>
      </c>
    </row>
    <row r="6751" spans="1:10" x14ac:dyDescent="0.3">
      <c r="A6751" t="s">
        <v>8464</v>
      </c>
      <c r="B6751" t="s">
        <v>12971</v>
      </c>
      <c r="D6751">
        <v>0.5</v>
      </c>
      <c r="E6751" t="s">
        <v>11</v>
      </c>
      <c r="F6751" t="s">
        <v>12972</v>
      </c>
      <c r="J6751" t="s">
        <v>20</v>
      </c>
    </row>
    <row r="6752" spans="1:10" x14ac:dyDescent="0.3">
      <c r="A6752" t="s">
        <v>1386</v>
      </c>
      <c r="B6752" t="s">
        <v>12973</v>
      </c>
      <c r="D6752">
        <v>1</v>
      </c>
      <c r="E6752" t="s">
        <v>7879</v>
      </c>
      <c r="F6752" t="s">
        <v>12974</v>
      </c>
      <c r="J6752" t="s">
        <v>12975</v>
      </c>
    </row>
    <row r="6753" spans="1:10" x14ac:dyDescent="0.3">
      <c r="A6753" t="s">
        <v>12976</v>
      </c>
      <c r="B6753" t="s">
        <v>8905</v>
      </c>
      <c r="D6753">
        <v>1</v>
      </c>
      <c r="E6753" t="s">
        <v>23</v>
      </c>
      <c r="F6753" t="s">
        <v>1003</v>
      </c>
    </row>
    <row r="6754" spans="1:10" x14ac:dyDescent="0.3">
      <c r="A6754" t="s">
        <v>12977</v>
      </c>
      <c r="B6754" t="s">
        <v>12978</v>
      </c>
      <c r="D6754">
        <v>10.25</v>
      </c>
      <c r="E6754" t="s">
        <v>91</v>
      </c>
      <c r="F6754" t="s">
        <v>281</v>
      </c>
    </row>
    <row r="6755" spans="1:10" x14ac:dyDescent="0.3">
      <c r="A6755" t="s">
        <v>5955</v>
      </c>
      <c r="B6755" t="s">
        <v>12979</v>
      </c>
      <c r="D6755">
        <v>2</v>
      </c>
      <c r="E6755" t="s">
        <v>227</v>
      </c>
      <c r="F6755" t="s">
        <v>1476</v>
      </c>
    </row>
    <row r="6756" spans="1:10" x14ac:dyDescent="0.3">
      <c r="A6756" t="s">
        <v>12980</v>
      </c>
      <c r="B6756" t="s">
        <v>59</v>
      </c>
      <c r="D6756">
        <v>1</v>
      </c>
      <c r="E6756" t="s">
        <v>60</v>
      </c>
      <c r="F6756" t="s">
        <v>61</v>
      </c>
    </row>
    <row r="6757" spans="1:10" x14ac:dyDescent="0.3">
      <c r="A6757" t="s">
        <v>2097</v>
      </c>
      <c r="B6757" t="s">
        <v>7078</v>
      </c>
      <c r="D6757">
        <v>2</v>
      </c>
      <c r="E6757" t="s">
        <v>91</v>
      </c>
      <c r="F6757" t="s">
        <v>98</v>
      </c>
    </row>
    <row r="6758" spans="1:10" x14ac:dyDescent="0.3">
      <c r="A6758" t="s">
        <v>7506</v>
      </c>
      <c r="B6758" t="s">
        <v>12981</v>
      </c>
      <c r="D6758">
        <v>0.5</v>
      </c>
      <c r="E6758" t="s">
        <v>23</v>
      </c>
      <c r="F6758" t="s">
        <v>1328</v>
      </c>
    </row>
    <row r="6759" spans="1:10" x14ac:dyDescent="0.3">
      <c r="A6759" t="s">
        <v>12982</v>
      </c>
      <c r="B6759" t="s">
        <v>12983</v>
      </c>
      <c r="D6759">
        <v>0.5</v>
      </c>
      <c r="E6759" t="s">
        <v>23</v>
      </c>
      <c r="F6759" t="s">
        <v>4212</v>
      </c>
    </row>
    <row r="6760" spans="1:10" x14ac:dyDescent="0.3">
      <c r="A6760" t="s">
        <v>7233</v>
      </c>
      <c r="B6760" t="s">
        <v>857</v>
      </c>
      <c r="F6760" t="s">
        <v>857</v>
      </c>
    </row>
    <row r="6761" spans="1:10" x14ac:dyDescent="0.3">
      <c r="A6761" t="s">
        <v>12984</v>
      </c>
      <c r="B6761" t="s">
        <v>12985</v>
      </c>
      <c r="D6761">
        <v>1</v>
      </c>
      <c r="E6761" t="s">
        <v>18</v>
      </c>
      <c r="F6761" t="s">
        <v>2214</v>
      </c>
      <c r="J6761" t="s">
        <v>12986</v>
      </c>
    </row>
    <row r="6762" spans="1:10" x14ac:dyDescent="0.3">
      <c r="A6762" t="s">
        <v>6865</v>
      </c>
      <c r="B6762" t="s">
        <v>12987</v>
      </c>
      <c r="D6762">
        <v>1</v>
      </c>
      <c r="F6762" t="s">
        <v>4580</v>
      </c>
      <c r="J6762" t="s">
        <v>6578</v>
      </c>
    </row>
    <row r="6763" spans="1:10" x14ac:dyDescent="0.3">
      <c r="A6763" t="s">
        <v>12988</v>
      </c>
      <c r="B6763" t="s">
        <v>12989</v>
      </c>
      <c r="D6763">
        <v>0.5</v>
      </c>
      <c r="E6763" t="s">
        <v>23</v>
      </c>
      <c r="F6763" t="s">
        <v>857</v>
      </c>
    </row>
    <row r="6764" spans="1:10" x14ac:dyDescent="0.3">
      <c r="A6764" t="s">
        <v>3301</v>
      </c>
      <c r="B6764" t="s">
        <v>12990</v>
      </c>
      <c r="D6764">
        <v>16</v>
      </c>
      <c r="E6764" t="s">
        <v>227</v>
      </c>
      <c r="F6764" t="s">
        <v>12991</v>
      </c>
      <c r="J6764" t="s">
        <v>10282</v>
      </c>
    </row>
    <row r="6765" spans="1:10" x14ac:dyDescent="0.3">
      <c r="A6765" t="s">
        <v>12992</v>
      </c>
      <c r="B6765" t="s">
        <v>12993</v>
      </c>
      <c r="D6765">
        <v>0.25</v>
      </c>
      <c r="E6765" t="s">
        <v>23</v>
      </c>
      <c r="F6765" t="s">
        <v>5973</v>
      </c>
    </row>
    <row r="6766" spans="1:10" x14ac:dyDescent="0.3">
      <c r="A6766" t="s">
        <v>6977</v>
      </c>
      <c r="B6766" t="s">
        <v>3782</v>
      </c>
      <c r="D6766">
        <v>10</v>
      </c>
      <c r="E6766" t="s">
        <v>29</v>
      </c>
      <c r="F6766" t="s">
        <v>30</v>
      </c>
    </row>
    <row r="6767" spans="1:10" x14ac:dyDescent="0.3">
      <c r="A6767" t="s">
        <v>12994</v>
      </c>
      <c r="B6767" t="s">
        <v>3562</v>
      </c>
      <c r="D6767">
        <v>0.5</v>
      </c>
      <c r="E6767" t="s">
        <v>23</v>
      </c>
      <c r="F6767" t="s">
        <v>233</v>
      </c>
    </row>
    <row r="6768" spans="1:10" x14ac:dyDescent="0.3">
      <c r="A6768" t="s">
        <v>12995</v>
      </c>
      <c r="B6768" t="s">
        <v>12996</v>
      </c>
      <c r="D6768">
        <v>4.5</v>
      </c>
      <c r="E6768" t="s">
        <v>23</v>
      </c>
      <c r="F6768" t="s">
        <v>320</v>
      </c>
    </row>
    <row r="6769" spans="1:10" x14ac:dyDescent="0.3">
      <c r="A6769" t="s">
        <v>12997</v>
      </c>
      <c r="B6769" t="s">
        <v>12998</v>
      </c>
      <c r="D6769">
        <v>1</v>
      </c>
      <c r="E6769" t="s">
        <v>612</v>
      </c>
      <c r="F6769" t="s">
        <v>12999</v>
      </c>
      <c r="G6769" t="s">
        <v>13000</v>
      </c>
      <c r="J6769" t="s">
        <v>13001</v>
      </c>
    </row>
    <row r="6770" spans="1:10" x14ac:dyDescent="0.3">
      <c r="A6770" t="s">
        <v>13002</v>
      </c>
      <c r="B6770" t="s">
        <v>13003</v>
      </c>
      <c r="F6770" t="s">
        <v>13004</v>
      </c>
      <c r="G6770" t="s">
        <v>33</v>
      </c>
      <c r="J6770" t="s">
        <v>3515</v>
      </c>
    </row>
    <row r="6771" spans="1:10" x14ac:dyDescent="0.3">
      <c r="A6771" t="s">
        <v>13005</v>
      </c>
      <c r="B6771" t="s">
        <v>13006</v>
      </c>
      <c r="D6771">
        <v>1</v>
      </c>
      <c r="E6771" t="s">
        <v>1338</v>
      </c>
      <c r="F6771" t="s">
        <v>30</v>
      </c>
    </row>
    <row r="6772" spans="1:10" x14ac:dyDescent="0.3">
      <c r="A6772" t="s">
        <v>3056</v>
      </c>
      <c r="B6772" t="s">
        <v>13007</v>
      </c>
      <c r="D6772">
        <v>3</v>
      </c>
      <c r="E6772" t="s">
        <v>23</v>
      </c>
      <c r="F6772" t="s">
        <v>13008</v>
      </c>
    </row>
    <row r="6773" spans="1:10" x14ac:dyDescent="0.3">
      <c r="A6773" t="s">
        <v>13009</v>
      </c>
      <c r="B6773" t="s">
        <v>725</v>
      </c>
      <c r="D6773">
        <v>1</v>
      </c>
      <c r="E6773" t="s">
        <v>585</v>
      </c>
      <c r="F6773" t="s">
        <v>163</v>
      </c>
      <c r="J6773" t="s">
        <v>248</v>
      </c>
    </row>
    <row r="6774" spans="1:10" x14ac:dyDescent="0.3">
      <c r="A6774" t="s">
        <v>13010</v>
      </c>
      <c r="B6774" t="s">
        <v>13011</v>
      </c>
      <c r="D6774">
        <v>0.75</v>
      </c>
      <c r="E6774" t="s">
        <v>23</v>
      </c>
      <c r="F6774" t="s">
        <v>338</v>
      </c>
    </row>
    <row r="6775" spans="1:10" x14ac:dyDescent="0.3">
      <c r="A6775" t="s">
        <v>13012</v>
      </c>
      <c r="B6775" t="s">
        <v>988</v>
      </c>
      <c r="D6775">
        <v>0.5</v>
      </c>
      <c r="E6775" t="s">
        <v>23</v>
      </c>
      <c r="F6775" t="s">
        <v>81</v>
      </c>
    </row>
    <row r="6776" spans="1:10" x14ac:dyDescent="0.3">
      <c r="A6776" t="s">
        <v>13013</v>
      </c>
      <c r="B6776" t="s">
        <v>13014</v>
      </c>
      <c r="D6776">
        <v>1.5</v>
      </c>
      <c r="E6776" t="s">
        <v>460</v>
      </c>
      <c r="F6776" t="s">
        <v>738</v>
      </c>
    </row>
    <row r="6777" spans="1:10" x14ac:dyDescent="0.3">
      <c r="A6777" t="s">
        <v>9499</v>
      </c>
      <c r="B6777" t="s">
        <v>13015</v>
      </c>
      <c r="D6777">
        <v>20</v>
      </c>
      <c r="E6777" t="s">
        <v>23</v>
      </c>
      <c r="F6777" t="s">
        <v>2355</v>
      </c>
    </row>
    <row r="6778" spans="1:10" x14ac:dyDescent="0.3">
      <c r="A6778" t="s">
        <v>13016</v>
      </c>
      <c r="B6778" t="s">
        <v>13017</v>
      </c>
      <c r="D6778">
        <v>2.5</v>
      </c>
      <c r="E6778" t="s">
        <v>227</v>
      </c>
      <c r="F6778" t="s">
        <v>13018</v>
      </c>
      <c r="G6778" t="s">
        <v>13019</v>
      </c>
      <c r="J6778" t="s">
        <v>325</v>
      </c>
    </row>
    <row r="6779" spans="1:10" x14ac:dyDescent="0.3">
      <c r="A6779" t="s">
        <v>1762</v>
      </c>
      <c r="B6779" t="s">
        <v>13020</v>
      </c>
      <c r="D6779">
        <v>1</v>
      </c>
      <c r="E6779" t="s">
        <v>11</v>
      </c>
      <c r="F6779" t="s">
        <v>183</v>
      </c>
      <c r="G6779" t="s">
        <v>3643</v>
      </c>
      <c r="H6779" t="s">
        <v>814</v>
      </c>
    </row>
    <row r="6780" spans="1:10" x14ac:dyDescent="0.3">
      <c r="A6780" t="s">
        <v>13021</v>
      </c>
      <c r="B6780" t="s">
        <v>13022</v>
      </c>
      <c r="F6780" t="s">
        <v>6061</v>
      </c>
      <c r="J6780" t="s">
        <v>4959</v>
      </c>
    </row>
    <row r="6781" spans="1:10" x14ac:dyDescent="0.3">
      <c r="A6781" t="s">
        <v>10557</v>
      </c>
      <c r="B6781" t="s">
        <v>13023</v>
      </c>
      <c r="D6781">
        <v>0.5</v>
      </c>
      <c r="E6781" t="s">
        <v>2210</v>
      </c>
      <c r="F6781" t="s">
        <v>281</v>
      </c>
    </row>
    <row r="6782" spans="1:10" x14ac:dyDescent="0.3">
      <c r="A6782" t="s">
        <v>7098</v>
      </c>
      <c r="B6782" t="s">
        <v>9337</v>
      </c>
      <c r="D6782">
        <v>1</v>
      </c>
      <c r="E6782" t="s">
        <v>23</v>
      </c>
      <c r="F6782" t="s">
        <v>281</v>
      </c>
    </row>
    <row r="6783" spans="1:10" x14ac:dyDescent="0.3">
      <c r="A6783" t="s">
        <v>5510</v>
      </c>
      <c r="B6783" t="s">
        <v>13024</v>
      </c>
      <c r="D6783">
        <v>1</v>
      </c>
      <c r="E6783" t="s">
        <v>469</v>
      </c>
      <c r="F6783" t="s">
        <v>907</v>
      </c>
    </row>
    <row r="6784" spans="1:10" x14ac:dyDescent="0.3">
      <c r="A6784" t="s">
        <v>12719</v>
      </c>
      <c r="B6784" t="s">
        <v>1816</v>
      </c>
      <c r="F6784" t="s">
        <v>1816</v>
      </c>
    </row>
    <row r="6785" spans="1:10" x14ac:dyDescent="0.3">
      <c r="A6785" t="s">
        <v>13025</v>
      </c>
      <c r="B6785" t="s">
        <v>13026</v>
      </c>
      <c r="D6785">
        <v>1</v>
      </c>
      <c r="E6785" t="s">
        <v>23</v>
      </c>
      <c r="F6785" t="s">
        <v>7646</v>
      </c>
    </row>
    <row r="6786" spans="1:10" x14ac:dyDescent="0.3">
      <c r="A6786" t="s">
        <v>1199</v>
      </c>
      <c r="B6786" t="s">
        <v>12504</v>
      </c>
      <c r="D6786">
        <v>12.5</v>
      </c>
      <c r="E6786" t="s">
        <v>29</v>
      </c>
      <c r="F6786" t="s">
        <v>2410</v>
      </c>
    </row>
    <row r="6787" spans="1:10" x14ac:dyDescent="0.3">
      <c r="A6787" t="s">
        <v>8023</v>
      </c>
      <c r="B6787" t="s">
        <v>13027</v>
      </c>
      <c r="D6787">
        <v>0.25</v>
      </c>
      <c r="E6787" t="s">
        <v>284</v>
      </c>
      <c r="F6787" t="s">
        <v>13028</v>
      </c>
    </row>
    <row r="6788" spans="1:10" x14ac:dyDescent="0.3">
      <c r="A6788" t="s">
        <v>12956</v>
      </c>
      <c r="B6788" t="s">
        <v>1704</v>
      </c>
      <c r="D6788">
        <v>0.5</v>
      </c>
      <c r="E6788" t="s">
        <v>23</v>
      </c>
      <c r="F6788" t="s">
        <v>880</v>
      </c>
    </row>
    <row r="6789" spans="1:10" x14ac:dyDescent="0.3">
      <c r="A6789" t="s">
        <v>13029</v>
      </c>
      <c r="B6789" t="s">
        <v>337</v>
      </c>
      <c r="D6789">
        <v>1</v>
      </c>
      <c r="E6789" t="s">
        <v>23</v>
      </c>
      <c r="F6789" t="s">
        <v>338</v>
      </c>
    </row>
    <row r="6790" spans="1:10" x14ac:dyDescent="0.3">
      <c r="A6790" t="s">
        <v>13030</v>
      </c>
      <c r="B6790" t="s">
        <v>13031</v>
      </c>
      <c r="D6790">
        <v>1.5</v>
      </c>
      <c r="E6790" t="s">
        <v>23</v>
      </c>
      <c r="F6790" t="s">
        <v>13032</v>
      </c>
    </row>
    <row r="6791" spans="1:10" x14ac:dyDescent="0.3">
      <c r="A6791" t="s">
        <v>13033</v>
      </c>
      <c r="B6791" t="s">
        <v>13034</v>
      </c>
      <c r="D6791">
        <v>1</v>
      </c>
      <c r="E6791" t="s">
        <v>11</v>
      </c>
      <c r="F6791" t="s">
        <v>7327</v>
      </c>
    </row>
    <row r="6792" spans="1:10" x14ac:dyDescent="0.3">
      <c r="A6792" t="s">
        <v>8385</v>
      </c>
      <c r="B6792" t="s">
        <v>13035</v>
      </c>
      <c r="D6792">
        <v>0.5</v>
      </c>
      <c r="E6792" t="s">
        <v>23</v>
      </c>
      <c r="F6792" t="s">
        <v>13036</v>
      </c>
    </row>
    <row r="6793" spans="1:10" x14ac:dyDescent="0.3">
      <c r="A6793" t="s">
        <v>10410</v>
      </c>
      <c r="B6793" t="s">
        <v>1190</v>
      </c>
      <c r="D6793">
        <v>0.5</v>
      </c>
      <c r="E6793" t="s">
        <v>23</v>
      </c>
      <c r="F6793" t="s">
        <v>199</v>
      </c>
    </row>
    <row r="6794" spans="1:10" x14ac:dyDescent="0.3">
      <c r="A6794" t="s">
        <v>13037</v>
      </c>
      <c r="B6794" t="s">
        <v>3110</v>
      </c>
      <c r="D6794">
        <v>0.5</v>
      </c>
      <c r="E6794" t="s">
        <v>11</v>
      </c>
      <c r="F6794" t="s">
        <v>423</v>
      </c>
    </row>
    <row r="6795" spans="1:10" x14ac:dyDescent="0.3">
      <c r="A6795" t="s">
        <v>1845</v>
      </c>
      <c r="B6795" t="s">
        <v>2565</v>
      </c>
      <c r="D6795">
        <v>0.5</v>
      </c>
      <c r="E6795" t="s">
        <v>11</v>
      </c>
      <c r="F6795" t="s">
        <v>2146</v>
      </c>
    </row>
    <row r="6796" spans="1:10" x14ac:dyDescent="0.3">
      <c r="A6796" t="s">
        <v>13038</v>
      </c>
      <c r="B6796" t="s">
        <v>4570</v>
      </c>
      <c r="D6796">
        <v>0.5</v>
      </c>
      <c r="E6796" t="s">
        <v>23</v>
      </c>
      <c r="F6796" t="s">
        <v>112</v>
      </c>
      <c r="H6796" t="s">
        <v>10632</v>
      </c>
    </row>
    <row r="6797" spans="1:10" x14ac:dyDescent="0.3">
      <c r="A6797" t="s">
        <v>13039</v>
      </c>
      <c r="B6797" t="s">
        <v>13040</v>
      </c>
      <c r="D6797">
        <v>2</v>
      </c>
      <c r="E6797" t="s">
        <v>23</v>
      </c>
      <c r="F6797" t="s">
        <v>13041</v>
      </c>
    </row>
    <row r="6798" spans="1:10" x14ac:dyDescent="0.3">
      <c r="A6798" t="s">
        <v>13042</v>
      </c>
      <c r="B6798" t="s">
        <v>6030</v>
      </c>
      <c r="D6798">
        <v>1</v>
      </c>
      <c r="E6798" t="s">
        <v>585</v>
      </c>
      <c r="F6798" t="s">
        <v>152</v>
      </c>
      <c r="J6798" t="s">
        <v>248</v>
      </c>
    </row>
    <row r="6799" spans="1:10" x14ac:dyDescent="0.3">
      <c r="A6799" t="s">
        <v>13043</v>
      </c>
      <c r="B6799" t="s">
        <v>13044</v>
      </c>
      <c r="D6799">
        <v>35</v>
      </c>
      <c r="E6799" t="s">
        <v>29</v>
      </c>
      <c r="F6799" t="s">
        <v>12293</v>
      </c>
    </row>
    <row r="6800" spans="1:10" x14ac:dyDescent="0.3">
      <c r="A6800" t="s">
        <v>8256</v>
      </c>
      <c r="B6800" t="s">
        <v>13045</v>
      </c>
      <c r="D6800">
        <v>0.5</v>
      </c>
      <c r="E6800" t="s">
        <v>284</v>
      </c>
      <c r="F6800" t="s">
        <v>41</v>
      </c>
      <c r="J6800" t="s">
        <v>13046</v>
      </c>
    </row>
    <row r="6801" spans="1:10" x14ac:dyDescent="0.3">
      <c r="A6801" t="s">
        <v>13047</v>
      </c>
      <c r="B6801" t="s">
        <v>4139</v>
      </c>
      <c r="D6801">
        <v>2.5</v>
      </c>
      <c r="E6801" t="s">
        <v>23</v>
      </c>
      <c r="F6801" t="s">
        <v>41</v>
      </c>
    </row>
    <row r="6802" spans="1:10" x14ac:dyDescent="0.3">
      <c r="A6802" t="s">
        <v>13048</v>
      </c>
      <c r="B6802" t="s">
        <v>13049</v>
      </c>
      <c r="D6802">
        <v>50</v>
      </c>
      <c r="E6802" t="s">
        <v>29</v>
      </c>
      <c r="F6802" t="s">
        <v>13050</v>
      </c>
      <c r="J6802" t="s">
        <v>289</v>
      </c>
    </row>
    <row r="6803" spans="1:10" x14ac:dyDescent="0.3">
      <c r="A6803" t="s">
        <v>13051</v>
      </c>
      <c r="B6803" t="s">
        <v>13052</v>
      </c>
      <c r="D6803">
        <v>20</v>
      </c>
      <c r="E6803" t="s">
        <v>29</v>
      </c>
      <c r="F6803" t="s">
        <v>95</v>
      </c>
    </row>
    <row r="6804" spans="1:10" x14ac:dyDescent="0.3">
      <c r="A6804" t="s">
        <v>13053</v>
      </c>
      <c r="B6804" t="s">
        <v>4032</v>
      </c>
      <c r="F6804" t="s">
        <v>4032</v>
      </c>
    </row>
    <row r="6805" spans="1:10" x14ac:dyDescent="0.3">
      <c r="A6805" t="s">
        <v>4286</v>
      </c>
      <c r="B6805" t="s">
        <v>8833</v>
      </c>
      <c r="D6805">
        <v>150</v>
      </c>
      <c r="E6805" t="s">
        <v>29</v>
      </c>
      <c r="F6805" t="s">
        <v>2138</v>
      </c>
    </row>
    <row r="6806" spans="1:10" x14ac:dyDescent="0.3">
      <c r="A6806" t="s">
        <v>3260</v>
      </c>
      <c r="B6806" t="s">
        <v>5241</v>
      </c>
      <c r="D6806">
        <v>0.5</v>
      </c>
      <c r="E6806" t="s">
        <v>206</v>
      </c>
      <c r="F6806" t="s">
        <v>81</v>
      </c>
    </row>
    <row r="6807" spans="1:10" x14ac:dyDescent="0.3">
      <c r="A6807" t="s">
        <v>13054</v>
      </c>
      <c r="B6807" t="s">
        <v>1864</v>
      </c>
      <c r="D6807">
        <v>1.5</v>
      </c>
      <c r="E6807" t="s">
        <v>23</v>
      </c>
      <c r="F6807" t="s">
        <v>936</v>
      </c>
    </row>
    <row r="6808" spans="1:10" x14ac:dyDescent="0.3">
      <c r="A6808" t="s">
        <v>13055</v>
      </c>
      <c r="B6808" t="s">
        <v>13056</v>
      </c>
      <c r="D6808">
        <v>2</v>
      </c>
      <c r="F6808" t="s">
        <v>3724</v>
      </c>
    </row>
    <row r="6809" spans="1:10" x14ac:dyDescent="0.3">
      <c r="A6809" t="s">
        <v>13057</v>
      </c>
      <c r="B6809" t="s">
        <v>1141</v>
      </c>
      <c r="D6809">
        <v>50</v>
      </c>
      <c r="E6809" t="s">
        <v>29</v>
      </c>
      <c r="F6809" t="s">
        <v>1142</v>
      </c>
    </row>
    <row r="6810" spans="1:10" x14ac:dyDescent="0.3">
      <c r="A6810" t="s">
        <v>13058</v>
      </c>
      <c r="B6810" t="s">
        <v>13059</v>
      </c>
      <c r="D6810">
        <v>35</v>
      </c>
      <c r="E6810" t="s">
        <v>29</v>
      </c>
      <c r="F6810" t="s">
        <v>2207</v>
      </c>
    </row>
    <row r="6811" spans="1:10" x14ac:dyDescent="0.3">
      <c r="A6811" t="s">
        <v>13060</v>
      </c>
      <c r="B6811" t="s">
        <v>152</v>
      </c>
      <c r="F6811" t="s">
        <v>152</v>
      </c>
    </row>
    <row r="6812" spans="1:10" x14ac:dyDescent="0.3">
      <c r="A6812" t="s">
        <v>13061</v>
      </c>
      <c r="B6812" t="s">
        <v>1097</v>
      </c>
      <c r="F6812" t="s">
        <v>1097</v>
      </c>
    </row>
    <row r="6813" spans="1:10" x14ac:dyDescent="0.3">
      <c r="A6813" t="s">
        <v>4475</v>
      </c>
      <c r="B6813" t="s">
        <v>10216</v>
      </c>
      <c r="D6813">
        <v>0.5</v>
      </c>
      <c r="E6813" t="s">
        <v>23</v>
      </c>
      <c r="F6813" t="s">
        <v>423</v>
      </c>
    </row>
    <row r="6814" spans="1:10" x14ac:dyDescent="0.3">
      <c r="A6814" t="s">
        <v>12546</v>
      </c>
      <c r="B6814" t="s">
        <v>13062</v>
      </c>
      <c r="D6814">
        <v>15</v>
      </c>
      <c r="E6814" t="s">
        <v>29</v>
      </c>
      <c r="F6814" t="s">
        <v>13063</v>
      </c>
    </row>
    <row r="6815" spans="1:10" x14ac:dyDescent="0.3">
      <c r="A6815" t="s">
        <v>13064</v>
      </c>
      <c r="B6815" t="s">
        <v>13065</v>
      </c>
      <c r="D6815">
        <v>1</v>
      </c>
      <c r="E6815" t="s">
        <v>11</v>
      </c>
      <c r="F6815" t="s">
        <v>1328</v>
      </c>
    </row>
    <row r="6816" spans="1:10" x14ac:dyDescent="0.3">
      <c r="A6816" t="s">
        <v>13066</v>
      </c>
      <c r="B6816" t="s">
        <v>3230</v>
      </c>
      <c r="D6816">
        <v>10</v>
      </c>
      <c r="E6816" t="s">
        <v>29</v>
      </c>
      <c r="F6816" t="s">
        <v>1431</v>
      </c>
    </row>
    <row r="6817" spans="1:10" x14ac:dyDescent="0.3">
      <c r="A6817" t="s">
        <v>11430</v>
      </c>
      <c r="B6817" t="s">
        <v>13067</v>
      </c>
      <c r="D6817">
        <v>0.75</v>
      </c>
      <c r="E6817" t="s">
        <v>37</v>
      </c>
      <c r="F6817" t="s">
        <v>1476</v>
      </c>
    </row>
    <row r="6818" spans="1:10" x14ac:dyDescent="0.3">
      <c r="A6818" t="s">
        <v>13068</v>
      </c>
      <c r="B6818" t="s">
        <v>6023</v>
      </c>
      <c r="D6818">
        <v>50</v>
      </c>
      <c r="E6818" t="s">
        <v>29</v>
      </c>
      <c r="F6818" t="s">
        <v>6155</v>
      </c>
    </row>
    <row r="6819" spans="1:10" x14ac:dyDescent="0.3">
      <c r="A6819" t="s">
        <v>13069</v>
      </c>
      <c r="B6819" t="s">
        <v>13070</v>
      </c>
      <c r="D6819">
        <v>2</v>
      </c>
      <c r="E6819" t="s">
        <v>345</v>
      </c>
      <c r="F6819" t="s">
        <v>13071</v>
      </c>
    </row>
    <row r="6820" spans="1:10" x14ac:dyDescent="0.3">
      <c r="A6820" t="s">
        <v>11975</v>
      </c>
      <c r="B6820" t="s">
        <v>5870</v>
      </c>
      <c r="F6820" t="s">
        <v>333</v>
      </c>
      <c r="J6820" t="s">
        <v>5871</v>
      </c>
    </row>
    <row r="6821" spans="1:10" x14ac:dyDescent="0.3">
      <c r="A6821" t="s">
        <v>8690</v>
      </c>
      <c r="B6821" t="s">
        <v>3407</v>
      </c>
      <c r="D6821">
        <v>1</v>
      </c>
      <c r="E6821" t="s">
        <v>426</v>
      </c>
      <c r="F6821" t="s">
        <v>423</v>
      </c>
    </row>
    <row r="6822" spans="1:10" x14ac:dyDescent="0.3">
      <c r="A6822" t="s">
        <v>13072</v>
      </c>
      <c r="B6822" t="s">
        <v>607</v>
      </c>
      <c r="D6822">
        <v>0.5</v>
      </c>
      <c r="E6822" t="s">
        <v>23</v>
      </c>
      <c r="F6822" t="s">
        <v>292</v>
      </c>
    </row>
    <row r="6823" spans="1:10" x14ac:dyDescent="0.3">
      <c r="A6823" t="s">
        <v>5662</v>
      </c>
      <c r="B6823" t="s">
        <v>13073</v>
      </c>
      <c r="D6823">
        <v>0.25</v>
      </c>
      <c r="E6823" t="s">
        <v>37</v>
      </c>
      <c r="F6823" t="s">
        <v>13074</v>
      </c>
    </row>
    <row r="6824" spans="1:10" x14ac:dyDescent="0.3">
      <c r="A6824" t="s">
        <v>5819</v>
      </c>
      <c r="B6824" t="s">
        <v>13075</v>
      </c>
      <c r="D6824">
        <v>2</v>
      </c>
      <c r="E6824" t="s">
        <v>345</v>
      </c>
      <c r="F6824" t="s">
        <v>13076</v>
      </c>
      <c r="J6824" t="s">
        <v>13077</v>
      </c>
    </row>
    <row r="6825" spans="1:10" x14ac:dyDescent="0.3">
      <c r="A6825" t="s">
        <v>13078</v>
      </c>
      <c r="B6825" t="s">
        <v>5775</v>
      </c>
      <c r="F6825" t="s">
        <v>5775</v>
      </c>
    </row>
    <row r="6826" spans="1:10" x14ac:dyDescent="0.3">
      <c r="A6826" t="s">
        <v>13079</v>
      </c>
      <c r="B6826" t="s">
        <v>13080</v>
      </c>
      <c r="D6826">
        <v>0.5</v>
      </c>
      <c r="E6826" t="s">
        <v>37</v>
      </c>
      <c r="F6826" t="s">
        <v>979</v>
      </c>
    </row>
    <row r="6827" spans="1:10" x14ac:dyDescent="0.3">
      <c r="A6827" t="s">
        <v>13081</v>
      </c>
      <c r="B6827" t="s">
        <v>13082</v>
      </c>
      <c r="D6827">
        <v>0.5</v>
      </c>
      <c r="E6827" t="s">
        <v>37</v>
      </c>
      <c r="F6827" t="s">
        <v>6529</v>
      </c>
      <c r="J6827" t="s">
        <v>13083</v>
      </c>
    </row>
    <row r="6828" spans="1:10" x14ac:dyDescent="0.3">
      <c r="A6828" t="s">
        <v>13084</v>
      </c>
      <c r="B6828" t="s">
        <v>13085</v>
      </c>
      <c r="D6828">
        <v>0.5</v>
      </c>
      <c r="E6828" t="s">
        <v>37</v>
      </c>
      <c r="F6828" t="s">
        <v>741</v>
      </c>
      <c r="G6828" t="s">
        <v>167</v>
      </c>
      <c r="H6828" t="s">
        <v>168</v>
      </c>
      <c r="J6828" t="s">
        <v>325</v>
      </c>
    </row>
    <row r="6829" spans="1:10" x14ac:dyDescent="0.3">
      <c r="A6829" t="s">
        <v>13086</v>
      </c>
      <c r="B6829" t="s">
        <v>13087</v>
      </c>
      <c r="D6829">
        <v>1</v>
      </c>
      <c r="E6829" t="s">
        <v>11</v>
      </c>
      <c r="F6829" t="s">
        <v>4433</v>
      </c>
    </row>
    <row r="6830" spans="1:10" x14ac:dyDescent="0.3">
      <c r="A6830" t="s">
        <v>13088</v>
      </c>
      <c r="B6830" t="s">
        <v>13089</v>
      </c>
      <c r="D6830">
        <v>2</v>
      </c>
      <c r="E6830" t="s">
        <v>23</v>
      </c>
      <c r="F6830" t="s">
        <v>2518</v>
      </c>
    </row>
    <row r="6831" spans="1:10" x14ac:dyDescent="0.3">
      <c r="A6831" t="s">
        <v>2199</v>
      </c>
      <c r="B6831" t="s">
        <v>13090</v>
      </c>
      <c r="D6831">
        <v>0.67</v>
      </c>
      <c r="E6831" t="s">
        <v>227</v>
      </c>
      <c r="F6831" t="s">
        <v>13091</v>
      </c>
    </row>
    <row r="6832" spans="1:10" x14ac:dyDescent="0.3">
      <c r="A6832" t="s">
        <v>13092</v>
      </c>
      <c r="B6832" t="s">
        <v>13093</v>
      </c>
      <c r="D6832">
        <v>6</v>
      </c>
      <c r="E6832" t="s">
        <v>23</v>
      </c>
      <c r="F6832" t="s">
        <v>320</v>
      </c>
    </row>
    <row r="6833" spans="1:10" x14ac:dyDescent="0.3">
      <c r="A6833" t="s">
        <v>13094</v>
      </c>
      <c r="B6833" t="s">
        <v>13095</v>
      </c>
      <c r="D6833">
        <v>1</v>
      </c>
      <c r="E6833" t="s">
        <v>23</v>
      </c>
      <c r="F6833" t="s">
        <v>13096</v>
      </c>
    </row>
    <row r="6834" spans="1:10" x14ac:dyDescent="0.3">
      <c r="A6834" t="s">
        <v>13097</v>
      </c>
      <c r="B6834" t="s">
        <v>2225</v>
      </c>
      <c r="D6834">
        <v>1</v>
      </c>
      <c r="E6834" t="s">
        <v>23</v>
      </c>
      <c r="F6834" t="s">
        <v>183</v>
      </c>
    </row>
    <row r="6835" spans="1:10" x14ac:dyDescent="0.3">
      <c r="A6835" t="s">
        <v>3429</v>
      </c>
      <c r="B6835" t="s">
        <v>63</v>
      </c>
      <c r="F6835" t="s">
        <v>64</v>
      </c>
      <c r="J6835" t="s">
        <v>65</v>
      </c>
    </row>
    <row r="6836" spans="1:10" x14ac:dyDescent="0.3">
      <c r="A6836" t="s">
        <v>3690</v>
      </c>
      <c r="B6836" t="s">
        <v>13098</v>
      </c>
      <c r="D6836" t="s">
        <v>1577</v>
      </c>
      <c r="E6836" t="s">
        <v>23</v>
      </c>
      <c r="F6836" t="s">
        <v>3045</v>
      </c>
      <c r="J6836" t="s">
        <v>1652</v>
      </c>
    </row>
    <row r="6837" spans="1:10" x14ac:dyDescent="0.3">
      <c r="A6837" t="s">
        <v>8750</v>
      </c>
      <c r="B6837" t="s">
        <v>6131</v>
      </c>
      <c r="D6837">
        <v>1</v>
      </c>
      <c r="E6837" t="s">
        <v>18</v>
      </c>
      <c r="F6837" t="s">
        <v>61</v>
      </c>
    </row>
    <row r="6838" spans="1:10" x14ac:dyDescent="0.3">
      <c r="A6838" t="s">
        <v>10484</v>
      </c>
      <c r="B6838" t="s">
        <v>13099</v>
      </c>
      <c r="D6838">
        <v>1</v>
      </c>
      <c r="E6838" t="s">
        <v>23</v>
      </c>
      <c r="F6838" t="s">
        <v>12368</v>
      </c>
    </row>
    <row r="6839" spans="1:10" x14ac:dyDescent="0.3">
      <c r="A6839" t="s">
        <v>13100</v>
      </c>
      <c r="B6839" t="s">
        <v>13101</v>
      </c>
      <c r="D6839">
        <v>20</v>
      </c>
      <c r="E6839" t="s">
        <v>29</v>
      </c>
      <c r="F6839" t="s">
        <v>281</v>
      </c>
    </row>
    <row r="6840" spans="1:10" x14ac:dyDescent="0.3">
      <c r="A6840" t="s">
        <v>8616</v>
      </c>
      <c r="B6840" t="s">
        <v>13102</v>
      </c>
      <c r="D6840" t="s">
        <v>1577</v>
      </c>
      <c r="E6840" t="s">
        <v>189</v>
      </c>
      <c r="F6840" t="s">
        <v>190</v>
      </c>
      <c r="J6840" t="s">
        <v>1177</v>
      </c>
    </row>
    <row r="6841" spans="1:10" x14ac:dyDescent="0.3">
      <c r="A6841" t="s">
        <v>4944</v>
      </c>
      <c r="B6841" t="s">
        <v>13103</v>
      </c>
      <c r="D6841">
        <v>3</v>
      </c>
      <c r="E6841" t="s">
        <v>3648</v>
      </c>
      <c r="F6841" t="s">
        <v>575</v>
      </c>
    </row>
    <row r="6842" spans="1:10" x14ac:dyDescent="0.3">
      <c r="A6842" t="s">
        <v>13104</v>
      </c>
      <c r="B6842" t="s">
        <v>13105</v>
      </c>
      <c r="D6842">
        <v>2</v>
      </c>
      <c r="E6842" t="s">
        <v>176</v>
      </c>
      <c r="F6842" t="s">
        <v>507</v>
      </c>
    </row>
    <row r="6843" spans="1:10" x14ac:dyDescent="0.3">
      <c r="A6843" t="s">
        <v>13106</v>
      </c>
      <c r="B6843" t="s">
        <v>13107</v>
      </c>
      <c r="D6843">
        <v>0.5</v>
      </c>
      <c r="E6843" t="s">
        <v>23</v>
      </c>
      <c r="F6843" t="s">
        <v>41</v>
      </c>
    </row>
    <row r="6844" spans="1:10" x14ac:dyDescent="0.3">
      <c r="A6844" t="s">
        <v>13108</v>
      </c>
      <c r="B6844" t="s">
        <v>3448</v>
      </c>
      <c r="D6844">
        <v>1</v>
      </c>
      <c r="E6844" t="s">
        <v>11</v>
      </c>
      <c r="F6844" t="s">
        <v>3449</v>
      </c>
    </row>
    <row r="6845" spans="1:10" x14ac:dyDescent="0.3">
      <c r="A6845" t="s">
        <v>4227</v>
      </c>
      <c r="B6845" t="s">
        <v>13109</v>
      </c>
      <c r="D6845">
        <v>0.25</v>
      </c>
      <c r="E6845" t="s">
        <v>37</v>
      </c>
      <c r="F6845" t="s">
        <v>13110</v>
      </c>
    </row>
    <row r="6846" spans="1:10" x14ac:dyDescent="0.3">
      <c r="A6846" t="s">
        <v>3249</v>
      </c>
      <c r="B6846" t="s">
        <v>13111</v>
      </c>
      <c r="D6846">
        <v>1</v>
      </c>
      <c r="E6846" t="s">
        <v>284</v>
      </c>
      <c r="F6846" t="s">
        <v>1204</v>
      </c>
    </row>
    <row r="6847" spans="1:10" x14ac:dyDescent="0.3">
      <c r="A6847" t="s">
        <v>2015</v>
      </c>
      <c r="B6847" t="s">
        <v>13112</v>
      </c>
      <c r="D6847">
        <v>1</v>
      </c>
      <c r="E6847" t="s">
        <v>1843</v>
      </c>
      <c r="F6847" t="s">
        <v>13113</v>
      </c>
    </row>
    <row r="6848" spans="1:10" x14ac:dyDescent="0.3">
      <c r="A6848" t="s">
        <v>13114</v>
      </c>
      <c r="B6848" t="s">
        <v>13115</v>
      </c>
      <c r="D6848">
        <v>5</v>
      </c>
      <c r="E6848" t="s">
        <v>71</v>
      </c>
      <c r="F6848" t="s">
        <v>13116</v>
      </c>
      <c r="J6848" t="s">
        <v>13117</v>
      </c>
    </row>
    <row r="6849" spans="1:10" x14ac:dyDescent="0.3">
      <c r="A6849" t="s">
        <v>13118</v>
      </c>
      <c r="B6849" t="s">
        <v>953</v>
      </c>
      <c r="D6849">
        <v>2</v>
      </c>
      <c r="E6849" t="s">
        <v>23</v>
      </c>
      <c r="F6849" t="s">
        <v>738</v>
      </c>
    </row>
    <row r="6850" spans="1:10" x14ac:dyDescent="0.3">
      <c r="A6850" t="s">
        <v>13119</v>
      </c>
      <c r="B6850" t="s">
        <v>3600</v>
      </c>
      <c r="D6850">
        <v>1</v>
      </c>
      <c r="E6850" t="s">
        <v>11</v>
      </c>
      <c r="F6850" t="s">
        <v>2211</v>
      </c>
    </row>
    <row r="6851" spans="1:10" x14ac:dyDescent="0.3">
      <c r="A6851" t="s">
        <v>13120</v>
      </c>
      <c r="B6851" t="s">
        <v>13121</v>
      </c>
      <c r="D6851">
        <v>0.25</v>
      </c>
      <c r="E6851" t="s">
        <v>23</v>
      </c>
      <c r="F6851" t="s">
        <v>13122</v>
      </c>
    </row>
    <row r="6852" spans="1:10" x14ac:dyDescent="0.3">
      <c r="A6852" t="s">
        <v>13123</v>
      </c>
      <c r="B6852" t="s">
        <v>13124</v>
      </c>
      <c r="D6852" t="s">
        <v>546</v>
      </c>
      <c r="E6852" t="s">
        <v>1113</v>
      </c>
      <c r="F6852" t="s">
        <v>13125</v>
      </c>
      <c r="G6852" t="s">
        <v>13126</v>
      </c>
      <c r="J6852" t="s">
        <v>13127</v>
      </c>
    </row>
    <row r="6853" spans="1:10" x14ac:dyDescent="0.3">
      <c r="A6853" t="s">
        <v>13128</v>
      </c>
      <c r="B6853" t="s">
        <v>9490</v>
      </c>
      <c r="D6853">
        <v>10.5</v>
      </c>
      <c r="E6853" t="s">
        <v>23</v>
      </c>
      <c r="F6853" t="s">
        <v>602</v>
      </c>
    </row>
    <row r="6854" spans="1:10" x14ac:dyDescent="0.3">
      <c r="A6854" t="s">
        <v>11592</v>
      </c>
      <c r="B6854" t="s">
        <v>13129</v>
      </c>
      <c r="D6854">
        <v>0.25</v>
      </c>
      <c r="E6854" t="s">
        <v>23</v>
      </c>
      <c r="F6854" t="s">
        <v>399</v>
      </c>
    </row>
    <row r="6855" spans="1:10" x14ac:dyDescent="0.3">
      <c r="A6855" t="s">
        <v>13130</v>
      </c>
      <c r="B6855" t="s">
        <v>10911</v>
      </c>
      <c r="D6855">
        <v>1</v>
      </c>
      <c r="E6855" t="s">
        <v>426</v>
      </c>
      <c r="F6855" t="s">
        <v>1644</v>
      </c>
    </row>
    <row r="6856" spans="1:10" x14ac:dyDescent="0.3">
      <c r="A6856" t="s">
        <v>13131</v>
      </c>
      <c r="B6856" t="s">
        <v>13132</v>
      </c>
      <c r="D6856">
        <v>1</v>
      </c>
      <c r="E6856" t="s">
        <v>227</v>
      </c>
      <c r="F6856" t="s">
        <v>13133</v>
      </c>
    </row>
    <row r="6857" spans="1:10" x14ac:dyDescent="0.3">
      <c r="A6857" t="s">
        <v>13134</v>
      </c>
      <c r="B6857" t="s">
        <v>13135</v>
      </c>
      <c r="D6857">
        <v>0.67</v>
      </c>
      <c r="E6857" t="s">
        <v>23</v>
      </c>
      <c r="F6857" t="s">
        <v>12617</v>
      </c>
    </row>
    <row r="6858" spans="1:10" x14ac:dyDescent="0.3">
      <c r="A6858" t="s">
        <v>5733</v>
      </c>
      <c r="B6858" t="s">
        <v>13136</v>
      </c>
      <c r="D6858">
        <v>1.5</v>
      </c>
      <c r="E6858" t="s">
        <v>91</v>
      </c>
      <c r="F6858" t="s">
        <v>13137</v>
      </c>
    </row>
    <row r="6859" spans="1:10" x14ac:dyDescent="0.3">
      <c r="A6859" t="s">
        <v>12664</v>
      </c>
      <c r="B6859" t="s">
        <v>9255</v>
      </c>
      <c r="E6859" t="s">
        <v>1281</v>
      </c>
      <c r="F6859" t="s">
        <v>1056</v>
      </c>
    </row>
    <row r="6860" spans="1:10" x14ac:dyDescent="0.3">
      <c r="A6860" t="s">
        <v>4320</v>
      </c>
      <c r="B6860" t="s">
        <v>13138</v>
      </c>
      <c r="D6860">
        <v>1.5</v>
      </c>
      <c r="E6860" t="s">
        <v>227</v>
      </c>
      <c r="F6860" t="s">
        <v>13139</v>
      </c>
      <c r="G6860" t="s">
        <v>13140</v>
      </c>
    </row>
    <row r="6861" spans="1:10" x14ac:dyDescent="0.3">
      <c r="A6861" t="s">
        <v>13141</v>
      </c>
      <c r="B6861" t="s">
        <v>13142</v>
      </c>
      <c r="D6861">
        <v>1.5</v>
      </c>
      <c r="E6861" t="s">
        <v>23</v>
      </c>
      <c r="F6861" t="s">
        <v>1589</v>
      </c>
    </row>
    <row r="6862" spans="1:10" x14ac:dyDescent="0.3">
      <c r="A6862" t="s">
        <v>5935</v>
      </c>
      <c r="B6862" t="s">
        <v>13143</v>
      </c>
      <c r="D6862">
        <v>0.33</v>
      </c>
      <c r="E6862" t="s">
        <v>37</v>
      </c>
      <c r="F6862" t="s">
        <v>13144</v>
      </c>
    </row>
    <row r="6863" spans="1:10" x14ac:dyDescent="0.3">
      <c r="A6863" t="s">
        <v>10215</v>
      </c>
      <c r="B6863" t="s">
        <v>591</v>
      </c>
      <c r="F6863" t="s">
        <v>591</v>
      </c>
    </row>
    <row r="6864" spans="1:10" x14ac:dyDescent="0.3">
      <c r="A6864" t="s">
        <v>13145</v>
      </c>
      <c r="B6864" t="s">
        <v>11468</v>
      </c>
      <c r="D6864">
        <v>0.5</v>
      </c>
      <c r="E6864" t="s">
        <v>11</v>
      </c>
      <c r="F6864" t="s">
        <v>3704</v>
      </c>
    </row>
    <row r="6865" spans="1:10" x14ac:dyDescent="0.3">
      <c r="A6865" t="s">
        <v>13146</v>
      </c>
      <c r="B6865" t="s">
        <v>13147</v>
      </c>
      <c r="E6865" t="s">
        <v>33</v>
      </c>
      <c r="F6865" t="s">
        <v>13148</v>
      </c>
      <c r="J6865" t="s">
        <v>4230</v>
      </c>
    </row>
    <row r="6866" spans="1:10" x14ac:dyDescent="0.3">
      <c r="A6866" t="s">
        <v>13149</v>
      </c>
      <c r="B6866" t="s">
        <v>13150</v>
      </c>
      <c r="D6866">
        <v>140</v>
      </c>
      <c r="E6866" t="s">
        <v>29</v>
      </c>
      <c r="F6866" t="s">
        <v>3366</v>
      </c>
    </row>
    <row r="6867" spans="1:10" x14ac:dyDescent="0.3">
      <c r="A6867" t="s">
        <v>13151</v>
      </c>
      <c r="B6867" t="s">
        <v>5386</v>
      </c>
      <c r="D6867">
        <v>1.5</v>
      </c>
      <c r="E6867" t="s">
        <v>23</v>
      </c>
      <c r="F6867" t="s">
        <v>738</v>
      </c>
    </row>
    <row r="6868" spans="1:10" x14ac:dyDescent="0.3">
      <c r="A6868" t="s">
        <v>8525</v>
      </c>
      <c r="B6868" t="s">
        <v>13152</v>
      </c>
      <c r="D6868" t="s">
        <v>2588</v>
      </c>
      <c r="E6868" t="s">
        <v>345</v>
      </c>
      <c r="F6868" t="s">
        <v>3745</v>
      </c>
      <c r="J6868" t="s">
        <v>2083</v>
      </c>
    </row>
    <row r="6869" spans="1:10" x14ac:dyDescent="0.3">
      <c r="A6869" t="s">
        <v>1533</v>
      </c>
      <c r="B6869" t="s">
        <v>13153</v>
      </c>
      <c r="E6869" t="s">
        <v>189</v>
      </c>
      <c r="F6869" t="s">
        <v>13154</v>
      </c>
    </row>
    <row r="6870" spans="1:10" x14ac:dyDescent="0.3">
      <c r="A6870" t="s">
        <v>7077</v>
      </c>
      <c r="B6870" t="s">
        <v>13155</v>
      </c>
      <c r="D6870">
        <v>0.75</v>
      </c>
      <c r="E6870" t="s">
        <v>10199</v>
      </c>
      <c r="F6870" t="s">
        <v>41</v>
      </c>
    </row>
    <row r="6871" spans="1:10" x14ac:dyDescent="0.3">
      <c r="A6871" t="s">
        <v>12584</v>
      </c>
      <c r="B6871" t="s">
        <v>671</v>
      </c>
      <c r="D6871">
        <v>2</v>
      </c>
      <c r="E6871" t="s">
        <v>189</v>
      </c>
      <c r="F6871" t="s">
        <v>672</v>
      </c>
    </row>
    <row r="6872" spans="1:10" x14ac:dyDescent="0.3">
      <c r="A6872" t="s">
        <v>13156</v>
      </c>
      <c r="B6872" t="s">
        <v>13157</v>
      </c>
      <c r="D6872">
        <v>12</v>
      </c>
      <c r="E6872" t="s">
        <v>23</v>
      </c>
      <c r="F6872" t="s">
        <v>2607</v>
      </c>
      <c r="G6872" t="s">
        <v>1813</v>
      </c>
      <c r="J6872" t="s">
        <v>13158</v>
      </c>
    </row>
    <row r="6873" spans="1:10" x14ac:dyDescent="0.3">
      <c r="A6873" t="s">
        <v>3965</v>
      </c>
      <c r="B6873" t="s">
        <v>13159</v>
      </c>
      <c r="D6873">
        <v>1</v>
      </c>
      <c r="E6873" t="s">
        <v>11</v>
      </c>
      <c r="F6873" t="s">
        <v>7398</v>
      </c>
    </row>
    <row r="6874" spans="1:10" x14ac:dyDescent="0.3">
      <c r="A6874" t="s">
        <v>13160</v>
      </c>
      <c r="B6874" t="s">
        <v>13161</v>
      </c>
      <c r="D6874">
        <v>4</v>
      </c>
      <c r="E6874" t="s">
        <v>23</v>
      </c>
      <c r="F6874" t="s">
        <v>1209</v>
      </c>
    </row>
    <row r="6875" spans="1:10" x14ac:dyDescent="0.3">
      <c r="A6875" t="s">
        <v>13162</v>
      </c>
      <c r="B6875" t="s">
        <v>13163</v>
      </c>
      <c r="D6875">
        <v>1.5</v>
      </c>
      <c r="E6875" t="s">
        <v>23</v>
      </c>
      <c r="F6875" t="s">
        <v>13164</v>
      </c>
      <c r="J6875" t="s">
        <v>3310</v>
      </c>
    </row>
    <row r="6876" spans="1:10" x14ac:dyDescent="0.3">
      <c r="A6876" t="s">
        <v>13165</v>
      </c>
      <c r="B6876" t="s">
        <v>13166</v>
      </c>
      <c r="D6876">
        <v>0.75</v>
      </c>
      <c r="E6876" t="s">
        <v>23</v>
      </c>
      <c r="F6876" t="s">
        <v>13167</v>
      </c>
    </row>
    <row r="6877" spans="1:10" x14ac:dyDescent="0.3">
      <c r="A6877" t="s">
        <v>13168</v>
      </c>
      <c r="B6877" t="s">
        <v>743</v>
      </c>
      <c r="F6877" t="s">
        <v>743</v>
      </c>
    </row>
    <row r="6878" spans="1:10" x14ac:dyDescent="0.3">
      <c r="A6878" t="s">
        <v>13169</v>
      </c>
      <c r="B6878" t="s">
        <v>13170</v>
      </c>
      <c r="D6878">
        <v>0.5</v>
      </c>
      <c r="E6878" t="s">
        <v>284</v>
      </c>
      <c r="F6878" t="s">
        <v>581</v>
      </c>
      <c r="I6878" t="s">
        <v>5392</v>
      </c>
    </row>
    <row r="6879" spans="1:10" x14ac:dyDescent="0.3">
      <c r="A6879" t="s">
        <v>2044</v>
      </c>
      <c r="B6879" t="s">
        <v>2663</v>
      </c>
      <c r="D6879">
        <v>15</v>
      </c>
      <c r="E6879" t="s">
        <v>29</v>
      </c>
      <c r="F6879" t="s">
        <v>30</v>
      </c>
    </row>
    <row r="6880" spans="1:10" x14ac:dyDescent="0.3">
      <c r="A6880" t="s">
        <v>13171</v>
      </c>
      <c r="B6880" t="s">
        <v>13172</v>
      </c>
      <c r="D6880">
        <v>3</v>
      </c>
      <c r="E6880" t="s">
        <v>13173</v>
      </c>
      <c r="F6880" t="s">
        <v>152</v>
      </c>
      <c r="J6880" t="s">
        <v>248</v>
      </c>
    </row>
    <row r="6881" spans="1:10" x14ac:dyDescent="0.3">
      <c r="A6881" t="s">
        <v>13174</v>
      </c>
      <c r="B6881" t="s">
        <v>13175</v>
      </c>
      <c r="D6881">
        <v>0.5</v>
      </c>
      <c r="E6881" t="s">
        <v>23</v>
      </c>
      <c r="F6881" t="s">
        <v>13176</v>
      </c>
    </row>
    <row r="6882" spans="1:10" x14ac:dyDescent="0.3">
      <c r="A6882" t="s">
        <v>13177</v>
      </c>
      <c r="B6882" t="s">
        <v>13178</v>
      </c>
      <c r="D6882">
        <v>2</v>
      </c>
      <c r="E6882" t="s">
        <v>50</v>
      </c>
      <c r="F6882" t="s">
        <v>638</v>
      </c>
    </row>
    <row r="6883" spans="1:10" x14ac:dyDescent="0.3">
      <c r="A6883" t="s">
        <v>5543</v>
      </c>
      <c r="B6883" t="s">
        <v>13179</v>
      </c>
      <c r="D6883">
        <v>1</v>
      </c>
      <c r="E6883" t="s">
        <v>11</v>
      </c>
      <c r="F6883" t="s">
        <v>638</v>
      </c>
    </row>
    <row r="6884" spans="1:10" x14ac:dyDescent="0.3">
      <c r="A6884" t="s">
        <v>13180</v>
      </c>
      <c r="B6884" t="s">
        <v>509</v>
      </c>
      <c r="D6884">
        <v>1</v>
      </c>
      <c r="E6884" t="s">
        <v>10199</v>
      </c>
      <c r="F6884" t="s">
        <v>320</v>
      </c>
    </row>
    <row r="6885" spans="1:10" x14ac:dyDescent="0.3">
      <c r="A6885" t="s">
        <v>13181</v>
      </c>
      <c r="B6885" t="s">
        <v>841</v>
      </c>
      <c r="D6885">
        <v>1</v>
      </c>
      <c r="E6885" t="s">
        <v>23</v>
      </c>
      <c r="F6885" t="s">
        <v>793</v>
      </c>
    </row>
    <row r="6886" spans="1:10" x14ac:dyDescent="0.3">
      <c r="A6886" t="s">
        <v>13182</v>
      </c>
      <c r="B6886" t="s">
        <v>13183</v>
      </c>
      <c r="D6886">
        <v>1.5</v>
      </c>
      <c r="E6886" t="s">
        <v>23</v>
      </c>
      <c r="F6886" t="s">
        <v>8963</v>
      </c>
    </row>
    <row r="6887" spans="1:10" x14ac:dyDescent="0.3">
      <c r="A6887" t="s">
        <v>13184</v>
      </c>
      <c r="B6887" t="s">
        <v>13185</v>
      </c>
      <c r="D6887">
        <v>2</v>
      </c>
      <c r="E6887" t="s">
        <v>91</v>
      </c>
      <c r="F6887" t="s">
        <v>2385</v>
      </c>
    </row>
    <row r="6888" spans="1:10" x14ac:dyDescent="0.3">
      <c r="A6888" t="s">
        <v>13186</v>
      </c>
      <c r="B6888" t="s">
        <v>3409</v>
      </c>
      <c r="D6888">
        <v>1.5</v>
      </c>
      <c r="E6888" t="s">
        <v>91</v>
      </c>
      <c r="F6888" t="s">
        <v>3410</v>
      </c>
    </row>
    <row r="6889" spans="1:10" x14ac:dyDescent="0.3">
      <c r="A6889" t="s">
        <v>2084</v>
      </c>
      <c r="B6889" t="s">
        <v>13187</v>
      </c>
      <c r="F6889" t="s">
        <v>1133</v>
      </c>
      <c r="J6889" t="s">
        <v>1968</v>
      </c>
    </row>
    <row r="6890" spans="1:10" x14ac:dyDescent="0.3">
      <c r="A6890" t="s">
        <v>6361</v>
      </c>
      <c r="B6890" t="s">
        <v>716</v>
      </c>
      <c r="F6890" t="s">
        <v>716</v>
      </c>
    </row>
    <row r="6891" spans="1:10" x14ac:dyDescent="0.3">
      <c r="A6891" t="s">
        <v>2925</v>
      </c>
      <c r="B6891" t="s">
        <v>333</v>
      </c>
      <c r="F6891" t="s">
        <v>333</v>
      </c>
    </row>
    <row r="6892" spans="1:10" x14ac:dyDescent="0.3">
      <c r="A6892" t="s">
        <v>13188</v>
      </c>
      <c r="B6892" t="s">
        <v>4346</v>
      </c>
      <c r="D6892">
        <v>10</v>
      </c>
      <c r="E6892" t="s">
        <v>29</v>
      </c>
      <c r="F6892" t="s">
        <v>423</v>
      </c>
    </row>
    <row r="6893" spans="1:10" x14ac:dyDescent="0.3">
      <c r="A6893" t="s">
        <v>13189</v>
      </c>
      <c r="B6893" t="s">
        <v>13190</v>
      </c>
      <c r="D6893">
        <v>1</v>
      </c>
      <c r="F6893" t="s">
        <v>253</v>
      </c>
      <c r="J6893" t="s">
        <v>13191</v>
      </c>
    </row>
    <row r="6894" spans="1:10" x14ac:dyDescent="0.3">
      <c r="A6894" t="s">
        <v>13192</v>
      </c>
      <c r="B6894" t="s">
        <v>13193</v>
      </c>
      <c r="D6894">
        <v>2</v>
      </c>
      <c r="E6894" t="s">
        <v>23</v>
      </c>
      <c r="F6894" t="s">
        <v>13194</v>
      </c>
      <c r="J6894" t="s">
        <v>289</v>
      </c>
    </row>
    <row r="6895" spans="1:10" x14ac:dyDescent="0.3">
      <c r="A6895" t="s">
        <v>13195</v>
      </c>
      <c r="B6895" t="s">
        <v>13196</v>
      </c>
      <c r="D6895">
        <v>2</v>
      </c>
      <c r="E6895" t="s">
        <v>189</v>
      </c>
      <c r="F6895" t="s">
        <v>190</v>
      </c>
      <c r="J6895" t="s">
        <v>289</v>
      </c>
    </row>
    <row r="6896" spans="1:10" x14ac:dyDescent="0.3">
      <c r="A6896" t="s">
        <v>7776</v>
      </c>
      <c r="B6896" t="s">
        <v>13197</v>
      </c>
      <c r="D6896">
        <v>25</v>
      </c>
      <c r="E6896" t="s">
        <v>29</v>
      </c>
      <c r="F6896" t="s">
        <v>13198</v>
      </c>
    </row>
    <row r="6897" spans="1:10" x14ac:dyDescent="0.3">
      <c r="A6897" t="s">
        <v>9544</v>
      </c>
      <c r="B6897" t="s">
        <v>13199</v>
      </c>
      <c r="E6897" t="s">
        <v>435</v>
      </c>
      <c r="F6897" t="s">
        <v>1056</v>
      </c>
      <c r="J6897" t="s">
        <v>164</v>
      </c>
    </row>
    <row r="6898" spans="1:10" x14ac:dyDescent="0.3">
      <c r="A6898" t="s">
        <v>13200</v>
      </c>
      <c r="B6898" t="s">
        <v>13201</v>
      </c>
      <c r="D6898">
        <v>8</v>
      </c>
      <c r="F6898" t="s">
        <v>8265</v>
      </c>
      <c r="G6898" t="s">
        <v>908</v>
      </c>
    </row>
    <row r="6899" spans="1:10" x14ac:dyDescent="0.3">
      <c r="A6899" t="s">
        <v>4877</v>
      </c>
      <c r="B6899" t="s">
        <v>13202</v>
      </c>
      <c r="D6899">
        <v>1.5</v>
      </c>
      <c r="E6899" t="s">
        <v>91</v>
      </c>
      <c r="F6899" t="s">
        <v>13203</v>
      </c>
    </row>
    <row r="6900" spans="1:10" x14ac:dyDescent="0.3">
      <c r="A6900" t="s">
        <v>9994</v>
      </c>
      <c r="B6900" t="s">
        <v>13204</v>
      </c>
      <c r="D6900">
        <v>12</v>
      </c>
      <c r="E6900" t="s">
        <v>23</v>
      </c>
      <c r="F6900" t="s">
        <v>41</v>
      </c>
    </row>
    <row r="6901" spans="1:10" x14ac:dyDescent="0.3">
      <c r="A6901" t="s">
        <v>13205</v>
      </c>
      <c r="B6901" t="s">
        <v>13206</v>
      </c>
      <c r="F6901" t="s">
        <v>2178</v>
      </c>
      <c r="J6901" t="s">
        <v>8696</v>
      </c>
    </row>
    <row r="6902" spans="1:10" x14ac:dyDescent="0.3">
      <c r="A6902" t="s">
        <v>13207</v>
      </c>
      <c r="B6902" t="s">
        <v>13208</v>
      </c>
      <c r="D6902">
        <v>1.33</v>
      </c>
      <c r="E6902" t="s">
        <v>284</v>
      </c>
      <c r="F6902" t="s">
        <v>51</v>
      </c>
      <c r="G6902" t="s">
        <v>10695</v>
      </c>
    </row>
    <row r="6903" spans="1:10" x14ac:dyDescent="0.3">
      <c r="A6903" t="s">
        <v>13209</v>
      </c>
      <c r="B6903" t="s">
        <v>13210</v>
      </c>
      <c r="D6903">
        <v>7.5</v>
      </c>
      <c r="F6903" t="s">
        <v>13211</v>
      </c>
    </row>
    <row r="6904" spans="1:10" x14ac:dyDescent="0.3">
      <c r="A6904" t="s">
        <v>5379</v>
      </c>
      <c r="B6904" t="s">
        <v>489</v>
      </c>
      <c r="D6904">
        <v>1</v>
      </c>
      <c r="E6904" t="s">
        <v>23</v>
      </c>
      <c r="F6904" t="s">
        <v>41</v>
      </c>
    </row>
    <row r="6905" spans="1:10" x14ac:dyDescent="0.3">
      <c r="A6905" t="s">
        <v>2195</v>
      </c>
      <c r="B6905" t="s">
        <v>13212</v>
      </c>
      <c r="D6905">
        <v>0.75</v>
      </c>
      <c r="E6905" t="s">
        <v>37</v>
      </c>
      <c r="F6905" t="s">
        <v>13213</v>
      </c>
      <c r="J6905" t="s">
        <v>20</v>
      </c>
    </row>
    <row r="6906" spans="1:10" x14ac:dyDescent="0.3">
      <c r="A6906" t="s">
        <v>13214</v>
      </c>
      <c r="B6906" t="s">
        <v>13215</v>
      </c>
      <c r="D6906">
        <v>3</v>
      </c>
      <c r="F6906" t="s">
        <v>9140</v>
      </c>
      <c r="G6906" t="s">
        <v>13216</v>
      </c>
      <c r="J6906" t="s">
        <v>1124</v>
      </c>
    </row>
    <row r="6907" spans="1:10" x14ac:dyDescent="0.3">
      <c r="A6907" t="s">
        <v>5419</v>
      </c>
      <c r="B6907" t="s">
        <v>13217</v>
      </c>
      <c r="D6907">
        <v>40</v>
      </c>
      <c r="E6907" t="s">
        <v>29</v>
      </c>
      <c r="F6907" t="s">
        <v>13218</v>
      </c>
    </row>
    <row r="6908" spans="1:10" x14ac:dyDescent="0.3">
      <c r="A6908" t="s">
        <v>13219</v>
      </c>
      <c r="B6908" t="s">
        <v>13220</v>
      </c>
      <c r="D6908">
        <v>3</v>
      </c>
      <c r="E6908" t="s">
        <v>189</v>
      </c>
      <c r="F6908" t="s">
        <v>13221</v>
      </c>
    </row>
    <row r="6909" spans="1:10" x14ac:dyDescent="0.3">
      <c r="A6909" t="s">
        <v>9371</v>
      </c>
      <c r="B6909" t="s">
        <v>13222</v>
      </c>
      <c r="D6909" t="s">
        <v>665</v>
      </c>
      <c r="E6909" t="s">
        <v>189</v>
      </c>
      <c r="F6909" t="s">
        <v>3942</v>
      </c>
      <c r="J6909" t="s">
        <v>548</v>
      </c>
    </row>
    <row r="6910" spans="1:10" x14ac:dyDescent="0.3">
      <c r="A6910" t="s">
        <v>13223</v>
      </c>
      <c r="B6910" t="s">
        <v>3910</v>
      </c>
      <c r="D6910">
        <v>3</v>
      </c>
      <c r="E6910" t="s">
        <v>23</v>
      </c>
      <c r="F6910" t="s">
        <v>3911</v>
      </c>
    </row>
    <row r="6911" spans="1:10" x14ac:dyDescent="0.3">
      <c r="A6911" t="s">
        <v>13224</v>
      </c>
      <c r="B6911" t="s">
        <v>11867</v>
      </c>
      <c r="D6911">
        <v>25</v>
      </c>
      <c r="E6911" t="s">
        <v>29</v>
      </c>
      <c r="F6911" t="s">
        <v>817</v>
      </c>
    </row>
    <row r="6912" spans="1:10" x14ac:dyDescent="0.3">
      <c r="A6912" t="s">
        <v>8285</v>
      </c>
      <c r="B6912" t="s">
        <v>13225</v>
      </c>
      <c r="D6912">
        <v>5</v>
      </c>
      <c r="E6912" t="s">
        <v>29</v>
      </c>
      <c r="F6912" t="s">
        <v>423</v>
      </c>
    </row>
    <row r="6913" spans="1:10" x14ac:dyDescent="0.3">
      <c r="A6913" t="s">
        <v>13226</v>
      </c>
      <c r="B6913" t="s">
        <v>4653</v>
      </c>
      <c r="D6913">
        <v>1</v>
      </c>
      <c r="E6913" t="s">
        <v>460</v>
      </c>
      <c r="F6913" t="s">
        <v>51</v>
      </c>
      <c r="G6913" t="s">
        <v>10695</v>
      </c>
    </row>
    <row r="6914" spans="1:10" x14ac:dyDescent="0.3">
      <c r="A6914" t="s">
        <v>13227</v>
      </c>
      <c r="B6914" t="s">
        <v>5350</v>
      </c>
      <c r="D6914">
        <v>2</v>
      </c>
      <c r="E6914" t="s">
        <v>23</v>
      </c>
      <c r="F6914" t="s">
        <v>399</v>
      </c>
    </row>
    <row r="6915" spans="1:10" x14ac:dyDescent="0.3">
      <c r="A6915" t="s">
        <v>13228</v>
      </c>
      <c r="B6915" t="s">
        <v>5437</v>
      </c>
      <c r="F6915" t="s">
        <v>262</v>
      </c>
      <c r="J6915" t="s">
        <v>65</v>
      </c>
    </row>
    <row r="6916" spans="1:10" x14ac:dyDescent="0.3">
      <c r="A6916" t="s">
        <v>13229</v>
      </c>
      <c r="B6916" t="s">
        <v>13230</v>
      </c>
      <c r="D6916">
        <v>6</v>
      </c>
      <c r="F6916" t="s">
        <v>13231</v>
      </c>
    </row>
    <row r="6917" spans="1:10" x14ac:dyDescent="0.3">
      <c r="A6917" t="s">
        <v>13232</v>
      </c>
      <c r="B6917" t="s">
        <v>13233</v>
      </c>
      <c r="D6917">
        <v>0.75</v>
      </c>
      <c r="E6917" t="s">
        <v>11</v>
      </c>
      <c r="F6917" t="s">
        <v>13234</v>
      </c>
    </row>
    <row r="6918" spans="1:10" x14ac:dyDescent="0.3">
      <c r="A6918" t="s">
        <v>7216</v>
      </c>
      <c r="B6918" t="s">
        <v>13235</v>
      </c>
      <c r="D6918">
        <v>0.5</v>
      </c>
      <c r="E6918" t="s">
        <v>23</v>
      </c>
      <c r="F6918" t="s">
        <v>857</v>
      </c>
    </row>
    <row r="6919" spans="1:10" x14ac:dyDescent="0.3">
      <c r="A6919" t="s">
        <v>13236</v>
      </c>
      <c r="B6919" t="s">
        <v>13237</v>
      </c>
      <c r="D6919">
        <v>25</v>
      </c>
      <c r="E6919" t="s">
        <v>29</v>
      </c>
      <c r="F6919" t="s">
        <v>2385</v>
      </c>
    </row>
    <row r="6920" spans="1:10" x14ac:dyDescent="0.3">
      <c r="A6920" t="s">
        <v>13238</v>
      </c>
      <c r="B6920" t="s">
        <v>13239</v>
      </c>
      <c r="D6920">
        <v>150</v>
      </c>
      <c r="E6920" t="s">
        <v>29</v>
      </c>
      <c r="F6920" t="s">
        <v>13240</v>
      </c>
    </row>
    <row r="6921" spans="1:10" x14ac:dyDescent="0.3">
      <c r="A6921" t="s">
        <v>8828</v>
      </c>
      <c r="B6921" t="s">
        <v>13241</v>
      </c>
      <c r="D6921">
        <v>3</v>
      </c>
      <c r="E6921" t="s">
        <v>835</v>
      </c>
      <c r="F6921" t="s">
        <v>13242</v>
      </c>
    </row>
    <row r="6922" spans="1:10" x14ac:dyDescent="0.3">
      <c r="A6922" t="s">
        <v>8259</v>
      </c>
      <c r="B6922" t="s">
        <v>13243</v>
      </c>
      <c r="D6922">
        <v>15</v>
      </c>
      <c r="E6922" t="s">
        <v>29</v>
      </c>
      <c r="F6922" t="s">
        <v>13244</v>
      </c>
    </row>
    <row r="6923" spans="1:10" x14ac:dyDescent="0.3">
      <c r="A6923" t="s">
        <v>3148</v>
      </c>
      <c r="B6923" t="s">
        <v>12989</v>
      </c>
      <c r="D6923">
        <v>0.5</v>
      </c>
      <c r="E6923" t="s">
        <v>23</v>
      </c>
      <c r="F6923" t="s">
        <v>857</v>
      </c>
      <c r="J6923" t="s">
        <v>289</v>
      </c>
    </row>
    <row r="6924" spans="1:10" x14ac:dyDescent="0.3">
      <c r="A6924" t="s">
        <v>12361</v>
      </c>
      <c r="B6924" t="s">
        <v>13245</v>
      </c>
      <c r="D6924">
        <v>5</v>
      </c>
      <c r="E6924" t="s">
        <v>13246</v>
      </c>
      <c r="F6924" t="s">
        <v>30</v>
      </c>
    </row>
    <row r="6925" spans="1:10" x14ac:dyDescent="0.3">
      <c r="A6925" t="s">
        <v>13247</v>
      </c>
      <c r="B6925" t="s">
        <v>13248</v>
      </c>
      <c r="D6925">
        <v>2</v>
      </c>
      <c r="E6925" t="s">
        <v>23</v>
      </c>
      <c r="F6925" t="s">
        <v>13249</v>
      </c>
    </row>
    <row r="6926" spans="1:10" x14ac:dyDescent="0.3">
      <c r="A6926" t="s">
        <v>13250</v>
      </c>
      <c r="B6926" t="s">
        <v>6418</v>
      </c>
      <c r="E6926" t="s">
        <v>33</v>
      </c>
      <c r="F6926" t="s">
        <v>1056</v>
      </c>
      <c r="J6926" t="s">
        <v>1968</v>
      </c>
    </row>
    <row r="6927" spans="1:10" x14ac:dyDescent="0.3">
      <c r="A6927" t="s">
        <v>13251</v>
      </c>
      <c r="B6927" t="s">
        <v>348</v>
      </c>
      <c r="D6927">
        <v>1</v>
      </c>
      <c r="E6927" t="s">
        <v>23</v>
      </c>
      <c r="F6927" t="s">
        <v>349</v>
      </c>
    </row>
    <row r="6928" spans="1:10" x14ac:dyDescent="0.3">
      <c r="A6928" t="s">
        <v>4973</v>
      </c>
      <c r="B6928" t="s">
        <v>13252</v>
      </c>
      <c r="D6928">
        <v>2</v>
      </c>
      <c r="F6928" t="s">
        <v>13253</v>
      </c>
      <c r="G6928" t="s">
        <v>13254</v>
      </c>
      <c r="J6928" t="s">
        <v>13001</v>
      </c>
    </row>
    <row r="6929" spans="1:10" x14ac:dyDescent="0.3">
      <c r="A6929" t="s">
        <v>9178</v>
      </c>
      <c r="B6929" t="s">
        <v>1274</v>
      </c>
      <c r="D6929">
        <v>0.75</v>
      </c>
      <c r="E6929" t="s">
        <v>11</v>
      </c>
      <c r="F6929" t="s">
        <v>88</v>
      </c>
    </row>
    <row r="6930" spans="1:10" x14ac:dyDescent="0.3">
      <c r="A6930" t="s">
        <v>13255</v>
      </c>
      <c r="B6930" t="s">
        <v>13256</v>
      </c>
      <c r="D6930">
        <v>1</v>
      </c>
      <c r="E6930" t="s">
        <v>206</v>
      </c>
      <c r="F6930" t="s">
        <v>4724</v>
      </c>
    </row>
    <row r="6931" spans="1:10" x14ac:dyDescent="0.3">
      <c r="A6931" t="s">
        <v>10250</v>
      </c>
      <c r="B6931" t="s">
        <v>8714</v>
      </c>
      <c r="D6931">
        <v>1</v>
      </c>
      <c r="E6931" t="s">
        <v>2826</v>
      </c>
      <c r="F6931" t="s">
        <v>2424</v>
      </c>
    </row>
    <row r="6932" spans="1:10" x14ac:dyDescent="0.3">
      <c r="A6932" t="s">
        <v>8127</v>
      </c>
      <c r="B6932" t="s">
        <v>13257</v>
      </c>
      <c r="D6932">
        <v>0.5</v>
      </c>
      <c r="E6932" t="s">
        <v>23</v>
      </c>
      <c r="F6932" t="s">
        <v>183</v>
      </c>
      <c r="J6932" t="s">
        <v>13258</v>
      </c>
    </row>
    <row r="6933" spans="1:10" x14ac:dyDescent="0.3">
      <c r="A6933" t="s">
        <v>13259</v>
      </c>
      <c r="B6933" t="s">
        <v>13260</v>
      </c>
      <c r="F6933" t="s">
        <v>5161</v>
      </c>
      <c r="J6933" t="s">
        <v>13261</v>
      </c>
    </row>
    <row r="6934" spans="1:10" x14ac:dyDescent="0.3">
      <c r="A6934" t="s">
        <v>13262</v>
      </c>
      <c r="B6934" t="s">
        <v>13263</v>
      </c>
      <c r="D6934">
        <v>1.5</v>
      </c>
      <c r="E6934" t="s">
        <v>345</v>
      </c>
      <c r="F6934" t="s">
        <v>13264</v>
      </c>
      <c r="J6934" t="s">
        <v>13265</v>
      </c>
    </row>
    <row r="6935" spans="1:10" x14ac:dyDescent="0.3">
      <c r="A6935" t="s">
        <v>13266</v>
      </c>
      <c r="B6935" t="s">
        <v>13267</v>
      </c>
      <c r="D6935">
        <v>0.75</v>
      </c>
      <c r="E6935" t="s">
        <v>227</v>
      </c>
      <c r="F6935" t="s">
        <v>81</v>
      </c>
    </row>
    <row r="6936" spans="1:10" x14ac:dyDescent="0.3">
      <c r="A6936" t="s">
        <v>13268</v>
      </c>
      <c r="B6936" t="s">
        <v>13269</v>
      </c>
      <c r="D6936">
        <v>10.5</v>
      </c>
      <c r="E6936" t="s">
        <v>91</v>
      </c>
      <c r="F6936" t="s">
        <v>12864</v>
      </c>
      <c r="J6936" t="s">
        <v>654</v>
      </c>
    </row>
    <row r="6937" spans="1:10" x14ac:dyDescent="0.3">
      <c r="A6937" t="s">
        <v>13270</v>
      </c>
      <c r="B6937" t="s">
        <v>13271</v>
      </c>
      <c r="D6937">
        <v>1</v>
      </c>
      <c r="F6937" t="s">
        <v>13272</v>
      </c>
      <c r="J6937" t="s">
        <v>248</v>
      </c>
    </row>
    <row r="6938" spans="1:10" x14ac:dyDescent="0.3">
      <c r="A6938" t="s">
        <v>13273</v>
      </c>
      <c r="B6938" t="s">
        <v>13274</v>
      </c>
      <c r="D6938">
        <v>5</v>
      </c>
      <c r="E6938" t="s">
        <v>23</v>
      </c>
      <c r="F6938" t="s">
        <v>98</v>
      </c>
    </row>
    <row r="6939" spans="1:10" x14ac:dyDescent="0.3">
      <c r="A6939" t="s">
        <v>1527</v>
      </c>
      <c r="B6939" t="s">
        <v>13275</v>
      </c>
      <c r="D6939">
        <v>1</v>
      </c>
      <c r="E6939" t="s">
        <v>18</v>
      </c>
      <c r="F6939" t="s">
        <v>3353</v>
      </c>
      <c r="J6939" t="s">
        <v>289</v>
      </c>
    </row>
    <row r="6940" spans="1:10" x14ac:dyDescent="0.3">
      <c r="A6940" t="s">
        <v>9761</v>
      </c>
      <c r="B6940" t="s">
        <v>13276</v>
      </c>
      <c r="D6940">
        <v>1</v>
      </c>
      <c r="E6940" t="s">
        <v>361</v>
      </c>
      <c r="F6940" t="s">
        <v>494</v>
      </c>
    </row>
    <row r="6941" spans="1:10" x14ac:dyDescent="0.3">
      <c r="A6941" t="s">
        <v>13277</v>
      </c>
      <c r="B6941" t="s">
        <v>9230</v>
      </c>
      <c r="D6941">
        <v>2</v>
      </c>
      <c r="E6941" t="s">
        <v>23</v>
      </c>
      <c r="F6941" t="s">
        <v>241</v>
      </c>
    </row>
    <row r="6942" spans="1:10" x14ac:dyDescent="0.3">
      <c r="A6942" t="s">
        <v>13278</v>
      </c>
      <c r="B6942" t="s">
        <v>518</v>
      </c>
      <c r="F6942" t="s">
        <v>518</v>
      </c>
    </row>
    <row r="6943" spans="1:10" x14ac:dyDescent="0.3">
      <c r="A6943" t="s">
        <v>13279</v>
      </c>
      <c r="B6943" t="s">
        <v>758</v>
      </c>
      <c r="F6943" t="s">
        <v>758</v>
      </c>
    </row>
    <row r="6944" spans="1:10" x14ac:dyDescent="0.3">
      <c r="A6944" t="s">
        <v>13280</v>
      </c>
      <c r="B6944" t="s">
        <v>1190</v>
      </c>
      <c r="D6944">
        <v>0.5</v>
      </c>
      <c r="E6944" t="s">
        <v>23</v>
      </c>
      <c r="F6944" t="s">
        <v>199</v>
      </c>
    </row>
    <row r="6945" spans="1:10" x14ac:dyDescent="0.3">
      <c r="A6945" t="s">
        <v>13281</v>
      </c>
      <c r="B6945" t="s">
        <v>13282</v>
      </c>
      <c r="D6945">
        <v>3</v>
      </c>
      <c r="E6945" t="s">
        <v>71</v>
      </c>
      <c r="F6945" t="s">
        <v>6157</v>
      </c>
      <c r="G6945" t="s">
        <v>13283</v>
      </c>
      <c r="H6945" t="s">
        <v>68</v>
      </c>
      <c r="J6945" t="s">
        <v>13284</v>
      </c>
    </row>
    <row r="6946" spans="1:10" x14ac:dyDescent="0.3">
      <c r="A6946" t="s">
        <v>5863</v>
      </c>
      <c r="B6946" t="s">
        <v>13285</v>
      </c>
      <c r="E6946" t="s">
        <v>33</v>
      </c>
      <c r="F6946" t="s">
        <v>1056</v>
      </c>
      <c r="J6946" t="s">
        <v>8696</v>
      </c>
    </row>
    <row r="6947" spans="1:10" x14ac:dyDescent="0.3">
      <c r="A6947" t="s">
        <v>10481</v>
      </c>
      <c r="B6947" t="s">
        <v>3875</v>
      </c>
      <c r="F6947" t="s">
        <v>1204</v>
      </c>
      <c r="I6947" t="s">
        <v>1078</v>
      </c>
    </row>
    <row r="6948" spans="1:10" x14ac:dyDescent="0.3">
      <c r="A6948" t="s">
        <v>8763</v>
      </c>
      <c r="B6948" t="s">
        <v>12638</v>
      </c>
      <c r="D6948">
        <v>0.5</v>
      </c>
      <c r="E6948" t="s">
        <v>23</v>
      </c>
      <c r="F6948" t="s">
        <v>12639</v>
      </c>
    </row>
    <row r="6949" spans="1:10" x14ac:dyDescent="0.3">
      <c r="A6949" t="s">
        <v>6110</v>
      </c>
      <c r="B6949" t="s">
        <v>13286</v>
      </c>
      <c r="D6949">
        <v>0.25</v>
      </c>
      <c r="E6949" t="s">
        <v>23</v>
      </c>
      <c r="F6949" t="s">
        <v>1209</v>
      </c>
    </row>
    <row r="6950" spans="1:10" x14ac:dyDescent="0.3">
      <c r="A6950" t="s">
        <v>4133</v>
      </c>
      <c r="B6950" t="s">
        <v>1547</v>
      </c>
      <c r="D6950">
        <v>0.25</v>
      </c>
      <c r="E6950" t="s">
        <v>37</v>
      </c>
      <c r="F6950" t="s">
        <v>160</v>
      </c>
      <c r="G6950" t="s">
        <v>167</v>
      </c>
      <c r="H6950" t="s">
        <v>168</v>
      </c>
      <c r="J6950" t="s">
        <v>325</v>
      </c>
    </row>
    <row r="6951" spans="1:10" x14ac:dyDescent="0.3">
      <c r="A6951" t="s">
        <v>13287</v>
      </c>
      <c r="B6951" t="s">
        <v>13288</v>
      </c>
      <c r="D6951">
        <v>5</v>
      </c>
      <c r="E6951" t="s">
        <v>29</v>
      </c>
      <c r="F6951" t="s">
        <v>13289</v>
      </c>
    </row>
    <row r="6952" spans="1:10" x14ac:dyDescent="0.3">
      <c r="A6952" t="s">
        <v>13290</v>
      </c>
      <c r="B6952" t="s">
        <v>13291</v>
      </c>
      <c r="D6952">
        <v>2</v>
      </c>
      <c r="E6952" t="s">
        <v>13292</v>
      </c>
      <c r="F6952" t="s">
        <v>6035</v>
      </c>
    </row>
    <row r="6953" spans="1:10" x14ac:dyDescent="0.3">
      <c r="A6953" t="s">
        <v>4454</v>
      </c>
      <c r="B6953" t="s">
        <v>7519</v>
      </c>
      <c r="D6953">
        <v>5</v>
      </c>
      <c r="E6953" t="s">
        <v>29</v>
      </c>
      <c r="F6953" t="s">
        <v>857</v>
      </c>
    </row>
    <row r="6954" spans="1:10" x14ac:dyDescent="0.3">
      <c r="A6954" t="s">
        <v>13293</v>
      </c>
      <c r="B6954" t="s">
        <v>4262</v>
      </c>
      <c r="D6954">
        <v>1</v>
      </c>
      <c r="F6954" t="s">
        <v>1440</v>
      </c>
      <c r="G6954" t="s">
        <v>908</v>
      </c>
    </row>
    <row r="6955" spans="1:10" x14ac:dyDescent="0.3">
      <c r="A6955" t="s">
        <v>4365</v>
      </c>
      <c r="B6955" t="s">
        <v>1011</v>
      </c>
      <c r="F6955" t="s">
        <v>1011</v>
      </c>
    </row>
    <row r="6956" spans="1:10" x14ac:dyDescent="0.3">
      <c r="A6956" t="s">
        <v>13294</v>
      </c>
      <c r="B6956" t="s">
        <v>8754</v>
      </c>
      <c r="D6956">
        <v>2</v>
      </c>
      <c r="E6956" t="s">
        <v>227</v>
      </c>
      <c r="F6956" t="s">
        <v>1816</v>
      </c>
      <c r="I6956" t="s">
        <v>5392</v>
      </c>
    </row>
    <row r="6957" spans="1:10" x14ac:dyDescent="0.3">
      <c r="A6957" t="s">
        <v>13295</v>
      </c>
      <c r="B6957" t="s">
        <v>711</v>
      </c>
      <c r="D6957">
        <v>1</v>
      </c>
      <c r="E6957" t="s">
        <v>23</v>
      </c>
      <c r="F6957" t="s">
        <v>712</v>
      </c>
    </row>
    <row r="6958" spans="1:10" x14ac:dyDescent="0.3">
      <c r="A6958" t="s">
        <v>13296</v>
      </c>
      <c r="B6958" t="s">
        <v>13297</v>
      </c>
      <c r="D6958">
        <v>2</v>
      </c>
      <c r="E6958" t="s">
        <v>460</v>
      </c>
      <c r="F6958" t="s">
        <v>13298</v>
      </c>
    </row>
    <row r="6959" spans="1:10" x14ac:dyDescent="0.3">
      <c r="A6959" t="s">
        <v>13299</v>
      </c>
      <c r="B6959" t="s">
        <v>13300</v>
      </c>
      <c r="D6959">
        <v>10.5</v>
      </c>
      <c r="E6959" t="s">
        <v>227</v>
      </c>
      <c r="F6959" t="s">
        <v>4975</v>
      </c>
    </row>
    <row r="6960" spans="1:10" x14ac:dyDescent="0.3">
      <c r="A6960" t="s">
        <v>13301</v>
      </c>
      <c r="B6960" t="s">
        <v>13302</v>
      </c>
      <c r="D6960">
        <v>0.5</v>
      </c>
      <c r="E6960" t="s">
        <v>37</v>
      </c>
      <c r="F6960" t="s">
        <v>516</v>
      </c>
    </row>
    <row r="6961" spans="1:10" x14ac:dyDescent="0.3">
      <c r="A6961" t="s">
        <v>6977</v>
      </c>
      <c r="B6961" t="s">
        <v>13303</v>
      </c>
      <c r="D6961">
        <v>1</v>
      </c>
      <c r="E6961" t="s">
        <v>246</v>
      </c>
      <c r="F6961" t="s">
        <v>2896</v>
      </c>
      <c r="J6961" t="s">
        <v>248</v>
      </c>
    </row>
    <row r="6962" spans="1:10" x14ac:dyDescent="0.3">
      <c r="A6962" t="s">
        <v>13304</v>
      </c>
      <c r="B6962" t="s">
        <v>13305</v>
      </c>
      <c r="D6962">
        <v>1</v>
      </c>
      <c r="E6962" t="s">
        <v>23</v>
      </c>
      <c r="F6962" t="s">
        <v>847</v>
      </c>
    </row>
    <row r="6963" spans="1:10" x14ac:dyDescent="0.3">
      <c r="A6963" t="s">
        <v>13306</v>
      </c>
      <c r="B6963" t="s">
        <v>13307</v>
      </c>
      <c r="D6963">
        <v>2</v>
      </c>
      <c r="E6963" t="s">
        <v>23</v>
      </c>
      <c r="F6963" t="s">
        <v>13308</v>
      </c>
    </row>
    <row r="6964" spans="1:10" x14ac:dyDescent="0.3">
      <c r="A6964" t="s">
        <v>13309</v>
      </c>
      <c r="B6964" t="s">
        <v>2279</v>
      </c>
      <c r="D6964">
        <v>0.75</v>
      </c>
      <c r="E6964" t="s">
        <v>11</v>
      </c>
      <c r="F6964" t="s">
        <v>793</v>
      </c>
    </row>
    <row r="6965" spans="1:10" x14ac:dyDescent="0.3">
      <c r="A6965" t="s">
        <v>13310</v>
      </c>
      <c r="B6965" t="s">
        <v>13311</v>
      </c>
      <c r="D6965">
        <v>1.5</v>
      </c>
      <c r="E6965" t="s">
        <v>345</v>
      </c>
      <c r="F6965" t="s">
        <v>13312</v>
      </c>
    </row>
    <row r="6966" spans="1:10" x14ac:dyDescent="0.3">
      <c r="A6966" t="s">
        <v>13313</v>
      </c>
      <c r="B6966" t="s">
        <v>13314</v>
      </c>
      <c r="D6966">
        <v>50</v>
      </c>
      <c r="E6966" t="s">
        <v>29</v>
      </c>
      <c r="F6966" t="s">
        <v>13315</v>
      </c>
    </row>
    <row r="6967" spans="1:10" x14ac:dyDescent="0.3">
      <c r="A6967" t="s">
        <v>13316</v>
      </c>
      <c r="B6967" t="s">
        <v>13317</v>
      </c>
      <c r="E6967" t="s">
        <v>368</v>
      </c>
      <c r="F6967" t="s">
        <v>13318</v>
      </c>
      <c r="J6967" t="s">
        <v>13319</v>
      </c>
    </row>
    <row r="6968" spans="1:10" x14ac:dyDescent="0.3">
      <c r="A6968" t="s">
        <v>13320</v>
      </c>
      <c r="B6968" t="s">
        <v>8365</v>
      </c>
      <c r="D6968">
        <v>0.5</v>
      </c>
      <c r="E6968" t="s">
        <v>23</v>
      </c>
      <c r="F6968" t="s">
        <v>487</v>
      </c>
    </row>
    <row r="6969" spans="1:10" x14ac:dyDescent="0.3">
      <c r="A6969" t="s">
        <v>13321</v>
      </c>
      <c r="B6969" t="s">
        <v>725</v>
      </c>
      <c r="D6969">
        <v>1</v>
      </c>
      <c r="E6969" t="s">
        <v>33</v>
      </c>
      <c r="F6969" t="s">
        <v>163</v>
      </c>
      <c r="J6969" t="s">
        <v>248</v>
      </c>
    </row>
    <row r="6970" spans="1:10" x14ac:dyDescent="0.3">
      <c r="A6970" t="s">
        <v>13322</v>
      </c>
      <c r="B6970" t="s">
        <v>13323</v>
      </c>
      <c r="D6970">
        <v>0.75</v>
      </c>
      <c r="E6970" t="s">
        <v>23</v>
      </c>
      <c r="F6970" t="s">
        <v>616</v>
      </c>
    </row>
    <row r="6971" spans="1:10" x14ac:dyDescent="0.3">
      <c r="A6971" t="s">
        <v>13324</v>
      </c>
      <c r="B6971" t="s">
        <v>152</v>
      </c>
      <c r="F6971" t="s">
        <v>152</v>
      </c>
    </row>
    <row r="6972" spans="1:10" x14ac:dyDescent="0.3">
      <c r="A6972" t="s">
        <v>13325</v>
      </c>
      <c r="B6972" t="s">
        <v>4134</v>
      </c>
      <c r="D6972">
        <v>1</v>
      </c>
      <c r="E6972" t="s">
        <v>10199</v>
      </c>
      <c r="F6972" t="s">
        <v>41</v>
      </c>
      <c r="J6972" t="s">
        <v>289</v>
      </c>
    </row>
    <row r="6973" spans="1:10" x14ac:dyDescent="0.3">
      <c r="A6973" t="s">
        <v>13326</v>
      </c>
      <c r="B6973" t="s">
        <v>13327</v>
      </c>
      <c r="D6973">
        <v>2</v>
      </c>
      <c r="E6973" t="s">
        <v>1172</v>
      </c>
      <c r="F6973" t="s">
        <v>13328</v>
      </c>
      <c r="J6973" t="s">
        <v>10925</v>
      </c>
    </row>
    <row r="6974" spans="1:10" x14ac:dyDescent="0.3">
      <c r="A6974" t="s">
        <v>13329</v>
      </c>
      <c r="B6974" t="s">
        <v>13330</v>
      </c>
      <c r="D6974">
        <v>0.25</v>
      </c>
      <c r="E6974" t="s">
        <v>284</v>
      </c>
      <c r="F6974" t="s">
        <v>13331</v>
      </c>
    </row>
    <row r="6975" spans="1:10" x14ac:dyDescent="0.3">
      <c r="A6975" t="s">
        <v>13332</v>
      </c>
      <c r="B6975" t="s">
        <v>13333</v>
      </c>
      <c r="D6975">
        <v>0.75</v>
      </c>
      <c r="E6975" t="s">
        <v>227</v>
      </c>
      <c r="F6975" t="s">
        <v>997</v>
      </c>
      <c r="H6975" t="s">
        <v>68</v>
      </c>
    </row>
    <row r="6976" spans="1:10" x14ac:dyDescent="0.3">
      <c r="A6976" t="s">
        <v>13334</v>
      </c>
      <c r="B6976" t="s">
        <v>1193</v>
      </c>
      <c r="F6976" t="s">
        <v>1193</v>
      </c>
    </row>
    <row r="6977" spans="1:10" x14ac:dyDescent="0.3">
      <c r="A6977" t="s">
        <v>5198</v>
      </c>
      <c r="B6977" t="s">
        <v>12512</v>
      </c>
      <c r="D6977">
        <v>3</v>
      </c>
      <c r="E6977" t="s">
        <v>23</v>
      </c>
      <c r="F6977" t="s">
        <v>880</v>
      </c>
    </row>
    <row r="6978" spans="1:10" x14ac:dyDescent="0.3">
      <c r="A6978" t="s">
        <v>4219</v>
      </c>
      <c r="B6978" t="s">
        <v>4220</v>
      </c>
      <c r="D6978">
        <v>2</v>
      </c>
      <c r="E6978" t="s">
        <v>23</v>
      </c>
      <c r="F6978" t="s">
        <v>487</v>
      </c>
    </row>
    <row r="6979" spans="1:10" x14ac:dyDescent="0.3">
      <c r="A6979" t="s">
        <v>11032</v>
      </c>
      <c r="B6979" t="s">
        <v>13335</v>
      </c>
      <c r="D6979">
        <v>25</v>
      </c>
      <c r="E6979" t="s">
        <v>29</v>
      </c>
      <c r="F6979" t="s">
        <v>13336</v>
      </c>
    </row>
    <row r="6980" spans="1:10" x14ac:dyDescent="0.3">
      <c r="A6980" t="s">
        <v>13337</v>
      </c>
      <c r="B6980" t="s">
        <v>1179</v>
      </c>
      <c r="D6980">
        <v>1</v>
      </c>
      <c r="E6980" t="s">
        <v>23</v>
      </c>
      <c r="F6980" t="s">
        <v>41</v>
      </c>
    </row>
    <row r="6981" spans="1:10" x14ac:dyDescent="0.3">
      <c r="A6981" t="s">
        <v>13338</v>
      </c>
      <c r="B6981" t="s">
        <v>1977</v>
      </c>
      <c r="F6981" t="s">
        <v>1977</v>
      </c>
    </row>
    <row r="6982" spans="1:10" x14ac:dyDescent="0.3">
      <c r="A6982" t="s">
        <v>13339</v>
      </c>
      <c r="B6982" t="s">
        <v>13340</v>
      </c>
      <c r="D6982">
        <v>1.5</v>
      </c>
      <c r="E6982" t="s">
        <v>23</v>
      </c>
      <c r="F6982" t="s">
        <v>13341</v>
      </c>
    </row>
    <row r="6983" spans="1:10" x14ac:dyDescent="0.3">
      <c r="A6983" t="s">
        <v>9605</v>
      </c>
      <c r="B6983" t="s">
        <v>13342</v>
      </c>
      <c r="D6983">
        <v>3</v>
      </c>
      <c r="E6983" t="s">
        <v>189</v>
      </c>
      <c r="F6983" t="s">
        <v>1043</v>
      </c>
    </row>
    <row r="6984" spans="1:10" x14ac:dyDescent="0.3">
      <c r="A6984" t="s">
        <v>13343</v>
      </c>
      <c r="B6984" t="s">
        <v>13344</v>
      </c>
      <c r="D6984">
        <v>2</v>
      </c>
      <c r="E6984" t="s">
        <v>23</v>
      </c>
      <c r="F6984" t="s">
        <v>13345</v>
      </c>
    </row>
    <row r="6985" spans="1:10" x14ac:dyDescent="0.3">
      <c r="A6985" t="s">
        <v>13346</v>
      </c>
      <c r="B6985" t="s">
        <v>7486</v>
      </c>
      <c r="D6985">
        <v>1</v>
      </c>
      <c r="F6985" t="s">
        <v>1977</v>
      </c>
      <c r="J6985" t="s">
        <v>248</v>
      </c>
    </row>
    <row r="6986" spans="1:10" x14ac:dyDescent="0.3">
      <c r="A6986" t="s">
        <v>13347</v>
      </c>
      <c r="B6986" t="s">
        <v>1714</v>
      </c>
      <c r="D6986">
        <v>1</v>
      </c>
      <c r="E6986" t="s">
        <v>23</v>
      </c>
      <c r="F6986" t="s">
        <v>1715</v>
      </c>
    </row>
    <row r="6987" spans="1:10" x14ac:dyDescent="0.3">
      <c r="A6987" t="s">
        <v>13348</v>
      </c>
      <c r="B6987" t="s">
        <v>13349</v>
      </c>
      <c r="D6987">
        <v>0.75</v>
      </c>
      <c r="E6987" t="s">
        <v>23</v>
      </c>
      <c r="F6987" t="s">
        <v>13350</v>
      </c>
    </row>
    <row r="6988" spans="1:10" x14ac:dyDescent="0.3">
      <c r="A6988" t="s">
        <v>13351</v>
      </c>
      <c r="B6988" t="s">
        <v>5207</v>
      </c>
      <c r="D6988">
        <v>2</v>
      </c>
      <c r="E6988" t="s">
        <v>23</v>
      </c>
      <c r="F6988" t="s">
        <v>1506</v>
      </c>
    </row>
    <row r="6989" spans="1:10" x14ac:dyDescent="0.3">
      <c r="A6989" t="s">
        <v>13352</v>
      </c>
      <c r="B6989" t="s">
        <v>9230</v>
      </c>
      <c r="D6989">
        <v>2</v>
      </c>
      <c r="E6989" t="s">
        <v>23</v>
      </c>
      <c r="F6989" t="s">
        <v>241</v>
      </c>
    </row>
    <row r="6990" spans="1:10" x14ac:dyDescent="0.3">
      <c r="A6990" t="s">
        <v>13353</v>
      </c>
      <c r="B6990" t="s">
        <v>13354</v>
      </c>
      <c r="D6990">
        <v>30</v>
      </c>
      <c r="E6990" t="s">
        <v>29</v>
      </c>
      <c r="F6990" t="s">
        <v>402</v>
      </c>
    </row>
    <row r="6991" spans="1:10" x14ac:dyDescent="0.3">
      <c r="A6991" t="s">
        <v>13094</v>
      </c>
      <c r="B6991" t="s">
        <v>2934</v>
      </c>
      <c r="D6991">
        <v>1</v>
      </c>
      <c r="E6991" t="s">
        <v>23</v>
      </c>
      <c r="F6991" t="s">
        <v>1328</v>
      </c>
    </row>
    <row r="6992" spans="1:10" x14ac:dyDescent="0.3">
      <c r="A6992" t="s">
        <v>13355</v>
      </c>
      <c r="B6992" t="s">
        <v>13356</v>
      </c>
      <c r="D6992">
        <v>1.5</v>
      </c>
      <c r="E6992" t="s">
        <v>227</v>
      </c>
      <c r="F6992" t="s">
        <v>1328</v>
      </c>
      <c r="G6992" t="s">
        <v>13357</v>
      </c>
      <c r="H6992" t="s">
        <v>68</v>
      </c>
      <c r="J6992" t="s">
        <v>3310</v>
      </c>
    </row>
    <row r="6993" spans="1:6" x14ac:dyDescent="0.3">
      <c r="A6993" t="s">
        <v>13358</v>
      </c>
      <c r="B6993" t="s">
        <v>868</v>
      </c>
      <c r="D6993">
        <v>1</v>
      </c>
      <c r="E6993" t="s">
        <v>23</v>
      </c>
      <c r="F6993" t="s">
        <v>399</v>
      </c>
    </row>
    <row r="6994" spans="1:6" x14ac:dyDescent="0.3">
      <c r="A6994" t="s">
        <v>13359</v>
      </c>
      <c r="B6994" t="s">
        <v>1056</v>
      </c>
      <c r="F6994" t="s">
        <v>1056</v>
      </c>
    </row>
    <row r="6995" spans="1:6" x14ac:dyDescent="0.3">
      <c r="A6995" t="s">
        <v>7098</v>
      </c>
      <c r="B6995" t="s">
        <v>13360</v>
      </c>
      <c r="D6995">
        <v>30</v>
      </c>
      <c r="E6995" t="s">
        <v>29</v>
      </c>
      <c r="F6995" t="s">
        <v>13361</v>
      </c>
    </row>
    <row r="6996" spans="1:6" x14ac:dyDescent="0.3">
      <c r="A6996" t="s">
        <v>13362</v>
      </c>
      <c r="B6996" t="s">
        <v>1977</v>
      </c>
      <c r="F6996" t="s">
        <v>1977</v>
      </c>
    </row>
    <row r="6997" spans="1:6" x14ac:dyDescent="0.3">
      <c r="A6997" t="s">
        <v>13363</v>
      </c>
      <c r="B6997" t="s">
        <v>13364</v>
      </c>
      <c r="D6997">
        <v>5</v>
      </c>
      <c r="E6997" t="s">
        <v>91</v>
      </c>
      <c r="F6997" t="s">
        <v>2299</v>
      </c>
    </row>
    <row r="6998" spans="1:6" x14ac:dyDescent="0.3">
      <c r="A6998" t="s">
        <v>13365</v>
      </c>
      <c r="B6998" t="s">
        <v>13366</v>
      </c>
      <c r="D6998">
        <v>10.5</v>
      </c>
      <c r="E6998" t="s">
        <v>23</v>
      </c>
      <c r="F6998" t="s">
        <v>13367</v>
      </c>
    </row>
    <row r="6999" spans="1:6" x14ac:dyDescent="0.3">
      <c r="A6999" t="s">
        <v>13368</v>
      </c>
      <c r="B6999" t="s">
        <v>1317</v>
      </c>
      <c r="D6999">
        <v>1</v>
      </c>
      <c r="E6999" t="s">
        <v>11</v>
      </c>
      <c r="F6999" t="s">
        <v>524</v>
      </c>
    </row>
    <row r="7000" spans="1:6" x14ac:dyDescent="0.3">
      <c r="A7000" t="s">
        <v>4944</v>
      </c>
      <c r="B7000" t="s">
        <v>704</v>
      </c>
      <c r="F7000" t="s">
        <v>704</v>
      </c>
    </row>
    <row r="7001" spans="1:6" x14ac:dyDescent="0.3">
      <c r="A7001" t="s">
        <v>254</v>
      </c>
      <c r="B7001" t="s">
        <v>13369</v>
      </c>
      <c r="D7001">
        <v>2</v>
      </c>
      <c r="E7001" t="s">
        <v>1338</v>
      </c>
      <c r="F7001" t="s">
        <v>13370</v>
      </c>
    </row>
    <row r="7002" spans="1:6" x14ac:dyDescent="0.3">
      <c r="A7002" t="s">
        <v>6850</v>
      </c>
      <c r="B7002" t="s">
        <v>13371</v>
      </c>
      <c r="D7002">
        <v>1</v>
      </c>
      <c r="E7002" t="s">
        <v>206</v>
      </c>
      <c r="F7002" t="s">
        <v>1332</v>
      </c>
    </row>
    <row r="7003" spans="1:6" x14ac:dyDescent="0.3">
      <c r="A7003" t="s">
        <v>13372</v>
      </c>
      <c r="B7003" t="s">
        <v>6033</v>
      </c>
      <c r="D7003">
        <v>2</v>
      </c>
      <c r="E7003" t="s">
        <v>6034</v>
      </c>
      <c r="F7003" t="s">
        <v>6035</v>
      </c>
    </row>
    <row r="7004" spans="1:6" x14ac:dyDescent="0.3">
      <c r="A7004" t="s">
        <v>13373</v>
      </c>
      <c r="B7004" t="s">
        <v>13374</v>
      </c>
      <c r="D7004">
        <v>0.5</v>
      </c>
      <c r="E7004" t="s">
        <v>23</v>
      </c>
      <c r="F7004" t="s">
        <v>13375</v>
      </c>
    </row>
    <row r="7005" spans="1:6" x14ac:dyDescent="0.3">
      <c r="A7005" t="s">
        <v>13376</v>
      </c>
      <c r="B7005" t="s">
        <v>13377</v>
      </c>
      <c r="D7005">
        <v>15</v>
      </c>
      <c r="E7005" t="s">
        <v>29</v>
      </c>
      <c r="F7005" t="s">
        <v>13378</v>
      </c>
    </row>
    <row r="7006" spans="1:6" x14ac:dyDescent="0.3">
      <c r="A7006" t="s">
        <v>13131</v>
      </c>
      <c r="B7006" t="s">
        <v>743</v>
      </c>
      <c r="F7006" t="s">
        <v>743</v>
      </c>
    </row>
    <row r="7007" spans="1:6" x14ac:dyDescent="0.3">
      <c r="A7007" t="s">
        <v>13379</v>
      </c>
      <c r="B7007" t="s">
        <v>13380</v>
      </c>
      <c r="D7007">
        <v>2</v>
      </c>
      <c r="E7007" t="s">
        <v>23</v>
      </c>
      <c r="F7007" t="s">
        <v>2243</v>
      </c>
    </row>
    <row r="7008" spans="1:6" x14ac:dyDescent="0.3">
      <c r="A7008" t="s">
        <v>9720</v>
      </c>
      <c r="B7008" t="s">
        <v>10724</v>
      </c>
      <c r="D7008">
        <v>6</v>
      </c>
      <c r="E7008" t="s">
        <v>10725</v>
      </c>
      <c r="F7008" t="s">
        <v>220</v>
      </c>
    </row>
    <row r="7009" spans="1:10" x14ac:dyDescent="0.3">
      <c r="A7009" t="s">
        <v>6962</v>
      </c>
      <c r="B7009" t="s">
        <v>13381</v>
      </c>
      <c r="D7009">
        <v>1</v>
      </c>
      <c r="E7009" t="s">
        <v>23</v>
      </c>
      <c r="F7009" t="s">
        <v>253</v>
      </c>
      <c r="J7009" t="s">
        <v>13382</v>
      </c>
    </row>
    <row r="7010" spans="1:10" x14ac:dyDescent="0.3">
      <c r="A7010" t="s">
        <v>13383</v>
      </c>
      <c r="B7010" t="s">
        <v>4791</v>
      </c>
      <c r="D7010">
        <v>2</v>
      </c>
      <c r="E7010" t="s">
        <v>345</v>
      </c>
      <c r="F7010" t="s">
        <v>2763</v>
      </c>
    </row>
    <row r="7011" spans="1:10" x14ac:dyDescent="0.3">
      <c r="A7011" t="s">
        <v>2644</v>
      </c>
      <c r="B7011" t="s">
        <v>13384</v>
      </c>
      <c r="D7011">
        <v>1</v>
      </c>
      <c r="E7011" t="s">
        <v>13385</v>
      </c>
      <c r="F7011" t="s">
        <v>41</v>
      </c>
    </row>
    <row r="7012" spans="1:10" x14ac:dyDescent="0.3">
      <c r="A7012" t="s">
        <v>3440</v>
      </c>
      <c r="B7012" t="s">
        <v>8505</v>
      </c>
      <c r="D7012">
        <v>1</v>
      </c>
      <c r="E7012" t="s">
        <v>4545</v>
      </c>
      <c r="F7012" t="s">
        <v>193</v>
      </c>
    </row>
    <row r="7013" spans="1:10" x14ac:dyDescent="0.3">
      <c r="A7013" t="s">
        <v>514</v>
      </c>
      <c r="B7013" t="s">
        <v>13386</v>
      </c>
      <c r="D7013">
        <v>20</v>
      </c>
      <c r="E7013" t="s">
        <v>29</v>
      </c>
      <c r="F7013" t="s">
        <v>38</v>
      </c>
    </row>
    <row r="7014" spans="1:10" x14ac:dyDescent="0.3">
      <c r="A7014" t="s">
        <v>5861</v>
      </c>
      <c r="B7014" t="s">
        <v>13387</v>
      </c>
      <c r="D7014" t="s">
        <v>665</v>
      </c>
      <c r="E7014" t="s">
        <v>345</v>
      </c>
      <c r="F7014" t="s">
        <v>1644</v>
      </c>
      <c r="J7014" t="s">
        <v>548</v>
      </c>
    </row>
    <row r="7015" spans="1:10" x14ac:dyDescent="0.3">
      <c r="A7015" t="s">
        <v>5861</v>
      </c>
      <c r="B7015" t="s">
        <v>5136</v>
      </c>
      <c r="D7015">
        <v>10</v>
      </c>
      <c r="F7015" t="s">
        <v>538</v>
      </c>
    </row>
    <row r="7016" spans="1:10" x14ac:dyDescent="0.3">
      <c r="A7016" t="s">
        <v>2611</v>
      </c>
      <c r="B7016" t="s">
        <v>13388</v>
      </c>
      <c r="D7016">
        <v>10.5</v>
      </c>
      <c r="E7016" t="s">
        <v>91</v>
      </c>
      <c r="F7016" t="s">
        <v>2329</v>
      </c>
    </row>
    <row r="7017" spans="1:10" x14ac:dyDescent="0.3">
      <c r="A7017" t="s">
        <v>2297</v>
      </c>
      <c r="B7017" t="s">
        <v>4204</v>
      </c>
      <c r="D7017">
        <v>1</v>
      </c>
      <c r="E7017" t="s">
        <v>11</v>
      </c>
      <c r="F7017" t="s">
        <v>281</v>
      </c>
    </row>
    <row r="7018" spans="1:10" x14ac:dyDescent="0.3">
      <c r="A7018" t="s">
        <v>13389</v>
      </c>
      <c r="B7018" t="s">
        <v>13390</v>
      </c>
      <c r="F7018" t="s">
        <v>5688</v>
      </c>
      <c r="J7018" t="s">
        <v>1146</v>
      </c>
    </row>
    <row r="7019" spans="1:10" x14ac:dyDescent="0.3">
      <c r="A7019" t="s">
        <v>13391</v>
      </c>
      <c r="B7019" t="s">
        <v>4087</v>
      </c>
      <c r="D7019">
        <v>2</v>
      </c>
      <c r="E7019" t="s">
        <v>23</v>
      </c>
      <c r="F7019" t="s">
        <v>349</v>
      </c>
    </row>
    <row r="7020" spans="1:10" x14ac:dyDescent="0.3">
      <c r="A7020" t="s">
        <v>13392</v>
      </c>
      <c r="B7020" t="s">
        <v>13393</v>
      </c>
      <c r="D7020">
        <v>2</v>
      </c>
      <c r="E7020" t="s">
        <v>23</v>
      </c>
      <c r="F7020" t="s">
        <v>2067</v>
      </c>
    </row>
    <row r="7021" spans="1:10" x14ac:dyDescent="0.3">
      <c r="A7021" t="s">
        <v>2257</v>
      </c>
      <c r="B7021" t="s">
        <v>13394</v>
      </c>
      <c r="D7021">
        <v>2</v>
      </c>
      <c r="E7021" t="s">
        <v>23</v>
      </c>
      <c r="F7021" t="s">
        <v>1059</v>
      </c>
    </row>
    <row r="7022" spans="1:10" x14ac:dyDescent="0.3">
      <c r="A7022" t="s">
        <v>13395</v>
      </c>
      <c r="B7022" t="s">
        <v>13396</v>
      </c>
      <c r="D7022">
        <v>2</v>
      </c>
      <c r="E7022" t="s">
        <v>23</v>
      </c>
      <c r="F7022" t="s">
        <v>2324</v>
      </c>
    </row>
    <row r="7023" spans="1:10" x14ac:dyDescent="0.3">
      <c r="A7023" t="s">
        <v>2044</v>
      </c>
      <c r="B7023" t="s">
        <v>13397</v>
      </c>
      <c r="D7023">
        <v>0.33</v>
      </c>
      <c r="E7023" t="s">
        <v>23</v>
      </c>
      <c r="F7023" t="s">
        <v>38</v>
      </c>
      <c r="H7023" t="s">
        <v>814</v>
      </c>
    </row>
    <row r="7024" spans="1:10" x14ac:dyDescent="0.3">
      <c r="A7024" t="s">
        <v>3577</v>
      </c>
      <c r="B7024" t="s">
        <v>13398</v>
      </c>
      <c r="D7024">
        <v>2</v>
      </c>
      <c r="E7024" t="s">
        <v>13399</v>
      </c>
      <c r="F7024" t="s">
        <v>2214</v>
      </c>
      <c r="J7024" t="s">
        <v>13400</v>
      </c>
    </row>
    <row r="7025" spans="1:10" x14ac:dyDescent="0.3">
      <c r="A7025" t="s">
        <v>13401</v>
      </c>
      <c r="B7025" t="s">
        <v>13080</v>
      </c>
      <c r="D7025">
        <v>0.5</v>
      </c>
      <c r="E7025" t="s">
        <v>37</v>
      </c>
      <c r="F7025" t="s">
        <v>979</v>
      </c>
    </row>
    <row r="7026" spans="1:10" x14ac:dyDescent="0.3">
      <c r="A7026" t="s">
        <v>13402</v>
      </c>
      <c r="B7026" t="s">
        <v>13403</v>
      </c>
      <c r="D7026">
        <v>1</v>
      </c>
      <c r="E7026" t="s">
        <v>11</v>
      </c>
      <c r="F7026" t="s">
        <v>13404</v>
      </c>
    </row>
    <row r="7027" spans="1:10" x14ac:dyDescent="0.3">
      <c r="A7027" t="s">
        <v>6599</v>
      </c>
      <c r="B7027" t="s">
        <v>13405</v>
      </c>
      <c r="D7027">
        <v>1</v>
      </c>
      <c r="F7027" t="s">
        <v>413</v>
      </c>
      <c r="G7027" t="s">
        <v>1571</v>
      </c>
      <c r="H7027" t="s">
        <v>13406</v>
      </c>
      <c r="J7027" t="s">
        <v>6578</v>
      </c>
    </row>
    <row r="7028" spans="1:10" x14ac:dyDescent="0.3">
      <c r="A7028" t="s">
        <v>13407</v>
      </c>
      <c r="B7028" t="s">
        <v>13408</v>
      </c>
      <c r="D7028">
        <v>2</v>
      </c>
      <c r="E7028" t="s">
        <v>23</v>
      </c>
      <c r="F7028" t="s">
        <v>24</v>
      </c>
    </row>
    <row r="7029" spans="1:10" x14ac:dyDescent="0.3">
      <c r="A7029" t="s">
        <v>13409</v>
      </c>
      <c r="B7029" t="s">
        <v>13410</v>
      </c>
      <c r="D7029">
        <v>50</v>
      </c>
      <c r="E7029" t="s">
        <v>29</v>
      </c>
      <c r="F7029" t="s">
        <v>13411</v>
      </c>
    </row>
    <row r="7030" spans="1:10" x14ac:dyDescent="0.3">
      <c r="A7030" t="s">
        <v>13412</v>
      </c>
      <c r="B7030" t="s">
        <v>3562</v>
      </c>
      <c r="D7030">
        <v>0.5</v>
      </c>
      <c r="E7030" t="s">
        <v>23</v>
      </c>
      <c r="F7030" t="s">
        <v>41</v>
      </c>
    </row>
    <row r="7031" spans="1:10" x14ac:dyDescent="0.3">
      <c r="A7031" t="s">
        <v>13413</v>
      </c>
      <c r="B7031" t="s">
        <v>13414</v>
      </c>
      <c r="D7031">
        <v>0.5</v>
      </c>
      <c r="E7031" t="s">
        <v>37</v>
      </c>
      <c r="F7031" t="s">
        <v>13415</v>
      </c>
      <c r="J7031" t="s">
        <v>12462</v>
      </c>
    </row>
    <row r="7032" spans="1:10" x14ac:dyDescent="0.3">
      <c r="A7032" t="s">
        <v>113</v>
      </c>
      <c r="B7032" t="s">
        <v>13416</v>
      </c>
      <c r="D7032">
        <v>1</v>
      </c>
      <c r="E7032" t="s">
        <v>13417</v>
      </c>
      <c r="F7032" t="s">
        <v>8470</v>
      </c>
      <c r="J7032" t="s">
        <v>289</v>
      </c>
    </row>
    <row r="7033" spans="1:10" x14ac:dyDescent="0.3">
      <c r="A7033" t="s">
        <v>13418</v>
      </c>
      <c r="B7033" t="s">
        <v>13419</v>
      </c>
      <c r="D7033">
        <v>1</v>
      </c>
      <c r="F7033" t="s">
        <v>30</v>
      </c>
      <c r="J7033" t="s">
        <v>289</v>
      </c>
    </row>
    <row r="7034" spans="1:10" x14ac:dyDescent="0.3">
      <c r="A7034" t="s">
        <v>9107</v>
      </c>
      <c r="B7034" t="s">
        <v>3510</v>
      </c>
      <c r="D7034">
        <v>35</v>
      </c>
      <c r="E7034" t="s">
        <v>29</v>
      </c>
      <c r="F7034" t="s">
        <v>3511</v>
      </c>
    </row>
    <row r="7035" spans="1:10" x14ac:dyDescent="0.3">
      <c r="A7035" t="s">
        <v>13420</v>
      </c>
      <c r="B7035" t="s">
        <v>13421</v>
      </c>
      <c r="D7035">
        <v>4</v>
      </c>
      <c r="E7035" t="s">
        <v>176</v>
      </c>
      <c r="F7035" t="s">
        <v>220</v>
      </c>
    </row>
    <row r="7036" spans="1:10" x14ac:dyDescent="0.3">
      <c r="A7036" t="s">
        <v>13422</v>
      </c>
      <c r="B7036" t="s">
        <v>10939</v>
      </c>
      <c r="D7036">
        <v>25</v>
      </c>
      <c r="E7036" t="s">
        <v>29</v>
      </c>
      <c r="F7036" t="s">
        <v>183</v>
      </c>
    </row>
    <row r="7037" spans="1:10" x14ac:dyDescent="0.3">
      <c r="A7037" t="s">
        <v>13423</v>
      </c>
      <c r="B7037" t="s">
        <v>1539</v>
      </c>
      <c r="D7037">
        <v>1</v>
      </c>
      <c r="E7037" t="s">
        <v>23</v>
      </c>
      <c r="F7037" t="s">
        <v>738</v>
      </c>
    </row>
    <row r="7038" spans="1:10" x14ac:dyDescent="0.3">
      <c r="A7038" t="s">
        <v>13424</v>
      </c>
      <c r="B7038" t="s">
        <v>5161</v>
      </c>
      <c r="F7038" t="s">
        <v>5161</v>
      </c>
    </row>
    <row r="7039" spans="1:10" x14ac:dyDescent="0.3">
      <c r="A7039" t="s">
        <v>13425</v>
      </c>
      <c r="B7039" t="s">
        <v>13426</v>
      </c>
      <c r="D7039">
        <v>2</v>
      </c>
      <c r="E7039" t="s">
        <v>23</v>
      </c>
      <c r="F7039" t="s">
        <v>1332</v>
      </c>
      <c r="J7039" t="s">
        <v>289</v>
      </c>
    </row>
    <row r="7040" spans="1:10" x14ac:dyDescent="0.3">
      <c r="A7040" t="s">
        <v>13427</v>
      </c>
      <c r="B7040" t="s">
        <v>13428</v>
      </c>
      <c r="E7040" t="s">
        <v>368</v>
      </c>
      <c r="F7040" t="s">
        <v>1289</v>
      </c>
      <c r="J7040" t="s">
        <v>289</v>
      </c>
    </row>
    <row r="7041" spans="1:10" x14ac:dyDescent="0.3">
      <c r="A7041" t="s">
        <v>5020</v>
      </c>
      <c r="B7041" t="s">
        <v>13429</v>
      </c>
      <c r="D7041">
        <v>2</v>
      </c>
      <c r="E7041" t="s">
        <v>189</v>
      </c>
      <c r="F7041" t="s">
        <v>13430</v>
      </c>
    </row>
    <row r="7042" spans="1:10" x14ac:dyDescent="0.3">
      <c r="A7042" t="s">
        <v>13431</v>
      </c>
      <c r="B7042" t="s">
        <v>13432</v>
      </c>
      <c r="D7042">
        <v>0.5</v>
      </c>
      <c r="E7042" t="s">
        <v>37</v>
      </c>
      <c r="F7042" t="s">
        <v>13433</v>
      </c>
    </row>
    <row r="7043" spans="1:10" x14ac:dyDescent="0.3">
      <c r="A7043" t="s">
        <v>13434</v>
      </c>
      <c r="B7043" t="s">
        <v>13435</v>
      </c>
      <c r="D7043">
        <v>0.25</v>
      </c>
      <c r="E7043" t="s">
        <v>460</v>
      </c>
      <c r="F7043" t="s">
        <v>2214</v>
      </c>
      <c r="J7043" t="s">
        <v>10925</v>
      </c>
    </row>
    <row r="7044" spans="1:10" x14ac:dyDescent="0.3">
      <c r="A7044" t="s">
        <v>7981</v>
      </c>
      <c r="B7044" t="s">
        <v>1037</v>
      </c>
      <c r="D7044">
        <v>1</v>
      </c>
      <c r="E7044" t="s">
        <v>460</v>
      </c>
      <c r="F7044" t="s">
        <v>30</v>
      </c>
    </row>
    <row r="7045" spans="1:10" x14ac:dyDescent="0.3">
      <c r="A7045" t="s">
        <v>13436</v>
      </c>
      <c r="B7045" t="s">
        <v>13437</v>
      </c>
      <c r="D7045">
        <v>0.75</v>
      </c>
      <c r="E7045" t="s">
        <v>23</v>
      </c>
      <c r="F7045" t="s">
        <v>2984</v>
      </c>
    </row>
    <row r="7046" spans="1:10" x14ac:dyDescent="0.3">
      <c r="A7046" t="s">
        <v>13438</v>
      </c>
      <c r="B7046" t="s">
        <v>9347</v>
      </c>
      <c r="D7046">
        <v>1</v>
      </c>
      <c r="F7046" t="s">
        <v>163</v>
      </c>
    </row>
    <row r="7047" spans="1:10" x14ac:dyDescent="0.3">
      <c r="A7047" t="s">
        <v>13439</v>
      </c>
      <c r="B7047" t="s">
        <v>3562</v>
      </c>
      <c r="D7047">
        <v>0.5</v>
      </c>
      <c r="E7047" t="s">
        <v>23</v>
      </c>
      <c r="F7047" t="s">
        <v>41</v>
      </c>
    </row>
    <row r="7048" spans="1:10" x14ac:dyDescent="0.3">
      <c r="A7048" t="s">
        <v>3756</v>
      </c>
      <c r="B7048" t="s">
        <v>13440</v>
      </c>
      <c r="D7048">
        <v>0.5</v>
      </c>
      <c r="E7048" t="s">
        <v>23</v>
      </c>
      <c r="F7048" t="s">
        <v>423</v>
      </c>
    </row>
    <row r="7049" spans="1:10" x14ac:dyDescent="0.3">
      <c r="A7049" t="s">
        <v>1358</v>
      </c>
      <c r="B7049" t="s">
        <v>13441</v>
      </c>
      <c r="F7049" t="s">
        <v>13441</v>
      </c>
    </row>
    <row r="7050" spans="1:10" x14ac:dyDescent="0.3">
      <c r="A7050" t="s">
        <v>3228</v>
      </c>
      <c r="B7050" t="s">
        <v>13442</v>
      </c>
      <c r="D7050">
        <v>50</v>
      </c>
      <c r="E7050" t="s">
        <v>29</v>
      </c>
      <c r="F7050" t="s">
        <v>1816</v>
      </c>
    </row>
    <row r="7051" spans="1:10" x14ac:dyDescent="0.3">
      <c r="A7051" t="s">
        <v>13443</v>
      </c>
      <c r="B7051" t="s">
        <v>1692</v>
      </c>
      <c r="D7051">
        <v>0.75</v>
      </c>
      <c r="E7051" t="s">
        <v>11</v>
      </c>
      <c r="F7051" t="s">
        <v>423</v>
      </c>
    </row>
    <row r="7052" spans="1:10" x14ac:dyDescent="0.3">
      <c r="A7052" t="s">
        <v>7599</v>
      </c>
      <c r="B7052" t="s">
        <v>13444</v>
      </c>
      <c r="D7052">
        <v>2</v>
      </c>
      <c r="E7052" t="s">
        <v>71</v>
      </c>
      <c r="F7052" t="s">
        <v>1009</v>
      </c>
    </row>
    <row r="7053" spans="1:10" x14ac:dyDescent="0.3">
      <c r="A7053" t="s">
        <v>13445</v>
      </c>
      <c r="B7053" t="s">
        <v>3554</v>
      </c>
      <c r="D7053">
        <v>0.5</v>
      </c>
      <c r="E7053" t="s">
        <v>23</v>
      </c>
      <c r="F7053" t="s">
        <v>160</v>
      </c>
      <c r="H7053" t="s">
        <v>68</v>
      </c>
    </row>
    <row r="7054" spans="1:10" x14ac:dyDescent="0.3">
      <c r="A7054" t="s">
        <v>5018</v>
      </c>
      <c r="B7054" t="s">
        <v>13446</v>
      </c>
      <c r="D7054">
        <v>0.5</v>
      </c>
      <c r="E7054" t="s">
        <v>2712</v>
      </c>
      <c r="F7054" t="s">
        <v>13447</v>
      </c>
    </row>
    <row r="7055" spans="1:10" x14ac:dyDescent="0.3">
      <c r="A7055" t="s">
        <v>13448</v>
      </c>
      <c r="B7055" t="s">
        <v>738</v>
      </c>
      <c r="F7055" t="s">
        <v>738</v>
      </c>
    </row>
    <row r="7056" spans="1:10" x14ac:dyDescent="0.3">
      <c r="A7056" t="s">
        <v>13449</v>
      </c>
      <c r="B7056" t="s">
        <v>13450</v>
      </c>
      <c r="F7056" t="s">
        <v>776</v>
      </c>
      <c r="J7056" t="s">
        <v>13451</v>
      </c>
    </row>
    <row r="7057" spans="1:10" x14ac:dyDescent="0.3">
      <c r="A7057" t="s">
        <v>490</v>
      </c>
      <c r="B7057" t="s">
        <v>13452</v>
      </c>
      <c r="D7057">
        <v>0.25</v>
      </c>
      <c r="E7057" t="s">
        <v>23</v>
      </c>
      <c r="F7057" t="s">
        <v>979</v>
      </c>
    </row>
    <row r="7058" spans="1:10" x14ac:dyDescent="0.3">
      <c r="A7058" t="s">
        <v>13453</v>
      </c>
      <c r="B7058" t="s">
        <v>3758</v>
      </c>
      <c r="D7058">
        <v>1</v>
      </c>
      <c r="E7058" t="s">
        <v>23</v>
      </c>
      <c r="F7058" t="s">
        <v>1009</v>
      </c>
      <c r="H7058" t="s">
        <v>13406</v>
      </c>
    </row>
    <row r="7059" spans="1:10" x14ac:dyDescent="0.3">
      <c r="A7059" t="s">
        <v>13454</v>
      </c>
      <c r="B7059" t="s">
        <v>13455</v>
      </c>
      <c r="D7059">
        <v>15</v>
      </c>
      <c r="E7059" t="s">
        <v>29</v>
      </c>
      <c r="F7059" t="s">
        <v>6256</v>
      </c>
    </row>
    <row r="7060" spans="1:10" x14ac:dyDescent="0.3">
      <c r="A7060" t="s">
        <v>13456</v>
      </c>
      <c r="B7060" t="s">
        <v>2142</v>
      </c>
      <c r="D7060">
        <v>1</v>
      </c>
      <c r="E7060" t="s">
        <v>23</v>
      </c>
      <c r="F7060" t="s">
        <v>160</v>
      </c>
      <c r="H7060" t="s">
        <v>13457</v>
      </c>
    </row>
    <row r="7061" spans="1:10" x14ac:dyDescent="0.3">
      <c r="A7061" t="s">
        <v>13458</v>
      </c>
      <c r="B7061" t="s">
        <v>13459</v>
      </c>
      <c r="D7061">
        <v>4</v>
      </c>
      <c r="E7061" t="s">
        <v>345</v>
      </c>
      <c r="F7061" t="s">
        <v>13460</v>
      </c>
      <c r="G7061" t="s">
        <v>167</v>
      </c>
      <c r="H7061" t="s">
        <v>68</v>
      </c>
      <c r="J7061" t="s">
        <v>1931</v>
      </c>
    </row>
    <row r="7062" spans="1:10" x14ac:dyDescent="0.3">
      <c r="A7062" t="s">
        <v>13461</v>
      </c>
      <c r="B7062" t="s">
        <v>13462</v>
      </c>
      <c r="D7062">
        <v>1</v>
      </c>
      <c r="E7062" t="s">
        <v>11</v>
      </c>
      <c r="F7062" t="s">
        <v>13463</v>
      </c>
    </row>
    <row r="7063" spans="1:10" x14ac:dyDescent="0.3">
      <c r="A7063" t="s">
        <v>13464</v>
      </c>
      <c r="B7063" t="s">
        <v>13465</v>
      </c>
      <c r="D7063">
        <v>5</v>
      </c>
      <c r="F7063" t="s">
        <v>323</v>
      </c>
    </row>
    <row r="7064" spans="1:10" x14ac:dyDescent="0.3">
      <c r="A7064" t="s">
        <v>13466</v>
      </c>
      <c r="B7064" t="s">
        <v>13467</v>
      </c>
      <c r="D7064">
        <v>0.25</v>
      </c>
      <c r="E7064" t="s">
        <v>11</v>
      </c>
      <c r="F7064" t="s">
        <v>13468</v>
      </c>
      <c r="J7064" t="s">
        <v>20</v>
      </c>
    </row>
    <row r="7065" spans="1:10" x14ac:dyDescent="0.3">
      <c r="A7065" t="s">
        <v>13469</v>
      </c>
      <c r="B7065" t="s">
        <v>2154</v>
      </c>
      <c r="F7065" t="s">
        <v>333</v>
      </c>
      <c r="J7065" t="s">
        <v>2155</v>
      </c>
    </row>
    <row r="7066" spans="1:10" x14ac:dyDescent="0.3">
      <c r="A7066" t="s">
        <v>13470</v>
      </c>
      <c r="B7066" t="s">
        <v>13471</v>
      </c>
      <c r="D7066">
        <v>2</v>
      </c>
      <c r="E7066" t="s">
        <v>460</v>
      </c>
      <c r="F7066" t="s">
        <v>331</v>
      </c>
    </row>
    <row r="7067" spans="1:10" x14ac:dyDescent="0.3">
      <c r="A7067" t="s">
        <v>13472</v>
      </c>
      <c r="B7067" t="s">
        <v>3535</v>
      </c>
      <c r="D7067">
        <v>1</v>
      </c>
      <c r="F7067" t="s">
        <v>984</v>
      </c>
      <c r="G7067" t="s">
        <v>908</v>
      </c>
    </row>
    <row r="7068" spans="1:10" x14ac:dyDescent="0.3">
      <c r="A7068" t="s">
        <v>13473</v>
      </c>
      <c r="B7068" t="s">
        <v>3554</v>
      </c>
      <c r="D7068">
        <v>0.5</v>
      </c>
      <c r="E7068" t="s">
        <v>23</v>
      </c>
      <c r="F7068" t="s">
        <v>160</v>
      </c>
      <c r="H7068" t="s">
        <v>68</v>
      </c>
    </row>
    <row r="7069" spans="1:10" x14ac:dyDescent="0.3">
      <c r="A7069" t="s">
        <v>13474</v>
      </c>
      <c r="B7069" t="s">
        <v>1618</v>
      </c>
      <c r="D7069">
        <v>1</v>
      </c>
      <c r="E7069" t="s">
        <v>23</v>
      </c>
      <c r="F7069" t="s">
        <v>1619</v>
      </c>
    </row>
    <row r="7070" spans="1:10" x14ac:dyDescent="0.3">
      <c r="A7070" t="s">
        <v>13475</v>
      </c>
      <c r="B7070" t="s">
        <v>13476</v>
      </c>
      <c r="D7070">
        <v>1</v>
      </c>
      <c r="E7070" t="s">
        <v>1132</v>
      </c>
      <c r="F7070" t="s">
        <v>5082</v>
      </c>
    </row>
    <row r="7071" spans="1:10" x14ac:dyDescent="0.3">
      <c r="A7071" t="s">
        <v>13477</v>
      </c>
      <c r="B7071" t="s">
        <v>13235</v>
      </c>
      <c r="D7071">
        <v>0.5</v>
      </c>
      <c r="E7071" t="s">
        <v>23</v>
      </c>
      <c r="F7071" t="s">
        <v>857</v>
      </c>
    </row>
    <row r="7072" spans="1:10" x14ac:dyDescent="0.3">
      <c r="A7072" t="s">
        <v>13478</v>
      </c>
      <c r="B7072" t="s">
        <v>4469</v>
      </c>
      <c r="D7072">
        <v>15</v>
      </c>
      <c r="E7072" t="s">
        <v>29</v>
      </c>
      <c r="F7072" t="s">
        <v>4470</v>
      </c>
    </row>
    <row r="7073" spans="1:10" x14ac:dyDescent="0.3">
      <c r="A7073" t="s">
        <v>13479</v>
      </c>
      <c r="B7073" t="s">
        <v>13480</v>
      </c>
      <c r="D7073">
        <v>0.25</v>
      </c>
      <c r="E7073" t="s">
        <v>37</v>
      </c>
      <c r="F7073" t="s">
        <v>4407</v>
      </c>
    </row>
    <row r="7074" spans="1:10" x14ac:dyDescent="0.3">
      <c r="A7074" t="s">
        <v>2176</v>
      </c>
      <c r="B7074" t="s">
        <v>4244</v>
      </c>
      <c r="D7074">
        <v>0.25</v>
      </c>
      <c r="E7074" t="s">
        <v>37</v>
      </c>
      <c r="F7074" t="s">
        <v>81</v>
      </c>
    </row>
    <row r="7075" spans="1:10" x14ac:dyDescent="0.3">
      <c r="A7075" t="s">
        <v>13481</v>
      </c>
      <c r="B7075" t="s">
        <v>13482</v>
      </c>
      <c r="D7075">
        <v>1</v>
      </c>
      <c r="E7075" t="s">
        <v>60</v>
      </c>
      <c r="F7075" t="s">
        <v>13483</v>
      </c>
      <c r="J7075" t="s">
        <v>289</v>
      </c>
    </row>
    <row r="7076" spans="1:10" x14ac:dyDescent="0.3">
      <c r="A7076" t="s">
        <v>13484</v>
      </c>
      <c r="B7076" t="s">
        <v>12443</v>
      </c>
      <c r="D7076">
        <v>1</v>
      </c>
      <c r="E7076" t="s">
        <v>23</v>
      </c>
      <c r="F7076" t="s">
        <v>1867</v>
      </c>
    </row>
    <row r="7077" spans="1:10" x14ac:dyDescent="0.3">
      <c r="A7077" t="s">
        <v>13485</v>
      </c>
      <c r="B7077" t="s">
        <v>1000</v>
      </c>
      <c r="D7077">
        <v>10</v>
      </c>
      <c r="E7077" t="s">
        <v>29</v>
      </c>
      <c r="F7077" t="s">
        <v>793</v>
      </c>
    </row>
    <row r="7078" spans="1:10" x14ac:dyDescent="0.3">
      <c r="A7078" t="s">
        <v>5365</v>
      </c>
      <c r="B7078" t="s">
        <v>1056</v>
      </c>
      <c r="F7078" t="s">
        <v>1056</v>
      </c>
    </row>
    <row r="7079" spans="1:10" x14ac:dyDescent="0.3">
      <c r="A7079" t="s">
        <v>2176</v>
      </c>
      <c r="B7079" t="s">
        <v>813</v>
      </c>
      <c r="F7079" t="s">
        <v>813</v>
      </c>
    </row>
    <row r="7080" spans="1:10" x14ac:dyDescent="0.3">
      <c r="A7080" t="s">
        <v>13486</v>
      </c>
      <c r="B7080" t="s">
        <v>13487</v>
      </c>
      <c r="D7080">
        <v>50</v>
      </c>
      <c r="E7080" t="s">
        <v>29</v>
      </c>
      <c r="F7080" t="s">
        <v>524</v>
      </c>
    </row>
    <row r="7081" spans="1:10" x14ac:dyDescent="0.3">
      <c r="A7081" t="s">
        <v>13488</v>
      </c>
      <c r="B7081" t="s">
        <v>13489</v>
      </c>
      <c r="D7081">
        <v>1</v>
      </c>
      <c r="E7081" t="s">
        <v>60</v>
      </c>
      <c r="F7081" t="s">
        <v>183</v>
      </c>
    </row>
    <row r="7082" spans="1:10" x14ac:dyDescent="0.3">
      <c r="A7082" t="s">
        <v>11608</v>
      </c>
      <c r="B7082" t="s">
        <v>13490</v>
      </c>
      <c r="D7082">
        <v>1.75</v>
      </c>
      <c r="E7082" t="s">
        <v>23</v>
      </c>
      <c r="F7082" t="s">
        <v>738</v>
      </c>
    </row>
    <row r="7083" spans="1:10" x14ac:dyDescent="0.3">
      <c r="A7083" t="s">
        <v>13491</v>
      </c>
      <c r="B7083" t="s">
        <v>13492</v>
      </c>
      <c r="D7083">
        <v>0.5</v>
      </c>
      <c r="E7083" t="s">
        <v>11</v>
      </c>
      <c r="F7083" t="s">
        <v>13234</v>
      </c>
    </row>
    <row r="7084" spans="1:10" x14ac:dyDescent="0.3">
      <c r="A7084" t="s">
        <v>8179</v>
      </c>
      <c r="B7084" t="s">
        <v>13493</v>
      </c>
      <c r="D7084" t="s">
        <v>13494</v>
      </c>
      <c r="F7084" t="s">
        <v>813</v>
      </c>
      <c r="H7084" t="s">
        <v>814</v>
      </c>
      <c r="J7084" t="s">
        <v>1177</v>
      </c>
    </row>
    <row r="7085" spans="1:10" x14ac:dyDescent="0.3">
      <c r="A7085" t="s">
        <v>13495</v>
      </c>
      <c r="B7085" t="s">
        <v>4172</v>
      </c>
      <c r="D7085">
        <v>1.5</v>
      </c>
      <c r="E7085" t="s">
        <v>23</v>
      </c>
      <c r="F7085" t="s">
        <v>487</v>
      </c>
    </row>
    <row r="7086" spans="1:10" x14ac:dyDescent="0.3">
      <c r="A7086" t="s">
        <v>9352</v>
      </c>
      <c r="B7086" t="s">
        <v>13496</v>
      </c>
      <c r="D7086">
        <v>1.5</v>
      </c>
      <c r="E7086" t="s">
        <v>91</v>
      </c>
      <c r="F7086" t="s">
        <v>8181</v>
      </c>
    </row>
    <row r="7087" spans="1:10" x14ac:dyDescent="0.3">
      <c r="A7087" t="s">
        <v>2595</v>
      </c>
      <c r="B7087" t="s">
        <v>4442</v>
      </c>
      <c r="D7087">
        <v>1</v>
      </c>
      <c r="E7087" t="s">
        <v>23</v>
      </c>
      <c r="F7087" t="s">
        <v>30</v>
      </c>
    </row>
    <row r="7088" spans="1:10" x14ac:dyDescent="0.3">
      <c r="A7088" t="s">
        <v>13497</v>
      </c>
      <c r="B7088" t="s">
        <v>13498</v>
      </c>
      <c r="D7088">
        <v>0.5</v>
      </c>
      <c r="E7088" t="s">
        <v>284</v>
      </c>
      <c r="F7088" t="s">
        <v>581</v>
      </c>
      <c r="I7088" t="s">
        <v>3058</v>
      </c>
    </row>
    <row r="7089" spans="1:10" x14ac:dyDescent="0.3">
      <c r="A7089" t="s">
        <v>13499</v>
      </c>
      <c r="B7089" t="s">
        <v>13500</v>
      </c>
      <c r="D7089">
        <v>0.5</v>
      </c>
      <c r="E7089" t="s">
        <v>37</v>
      </c>
      <c r="F7089" t="s">
        <v>193</v>
      </c>
    </row>
    <row r="7090" spans="1:10" x14ac:dyDescent="0.3">
      <c r="A7090" t="s">
        <v>10341</v>
      </c>
      <c r="B7090" t="s">
        <v>11861</v>
      </c>
      <c r="F7090" t="s">
        <v>333</v>
      </c>
      <c r="J7090" t="s">
        <v>11862</v>
      </c>
    </row>
    <row r="7091" spans="1:10" x14ac:dyDescent="0.3">
      <c r="A7091" t="s">
        <v>13501</v>
      </c>
      <c r="B7091" t="s">
        <v>13502</v>
      </c>
      <c r="F7091" t="s">
        <v>13502</v>
      </c>
    </row>
    <row r="7092" spans="1:10" x14ac:dyDescent="0.3">
      <c r="A7092" t="s">
        <v>13503</v>
      </c>
      <c r="B7092" t="s">
        <v>13504</v>
      </c>
      <c r="D7092">
        <v>1</v>
      </c>
      <c r="E7092" t="s">
        <v>361</v>
      </c>
      <c r="F7092" t="s">
        <v>1718</v>
      </c>
      <c r="J7092" t="s">
        <v>13505</v>
      </c>
    </row>
    <row r="7093" spans="1:10" x14ac:dyDescent="0.3">
      <c r="A7093" t="s">
        <v>13506</v>
      </c>
      <c r="B7093" t="s">
        <v>8520</v>
      </c>
      <c r="D7093">
        <v>1</v>
      </c>
      <c r="E7093" t="s">
        <v>246</v>
      </c>
      <c r="F7093" t="s">
        <v>591</v>
      </c>
      <c r="J7093" t="s">
        <v>248</v>
      </c>
    </row>
    <row r="7094" spans="1:10" x14ac:dyDescent="0.3">
      <c r="A7094" t="s">
        <v>225</v>
      </c>
      <c r="B7094" t="s">
        <v>13507</v>
      </c>
      <c r="D7094">
        <v>1</v>
      </c>
      <c r="E7094" t="s">
        <v>460</v>
      </c>
      <c r="F7094" t="s">
        <v>3218</v>
      </c>
      <c r="G7094" t="s">
        <v>13508</v>
      </c>
    </row>
    <row r="7095" spans="1:10" x14ac:dyDescent="0.3">
      <c r="A7095" t="s">
        <v>2802</v>
      </c>
      <c r="B7095" t="s">
        <v>13509</v>
      </c>
      <c r="D7095">
        <v>1</v>
      </c>
      <c r="F7095" t="s">
        <v>13510</v>
      </c>
      <c r="J7095" t="s">
        <v>2932</v>
      </c>
    </row>
    <row r="7096" spans="1:10" x14ac:dyDescent="0.3">
      <c r="A7096" t="s">
        <v>5685</v>
      </c>
      <c r="B7096" t="s">
        <v>13511</v>
      </c>
      <c r="D7096">
        <v>1</v>
      </c>
      <c r="E7096" t="s">
        <v>11</v>
      </c>
      <c r="F7096" t="s">
        <v>857</v>
      </c>
    </row>
    <row r="7097" spans="1:10" x14ac:dyDescent="0.3">
      <c r="A7097" t="s">
        <v>1183</v>
      </c>
      <c r="B7097" t="s">
        <v>13512</v>
      </c>
      <c r="D7097">
        <v>3</v>
      </c>
      <c r="E7097" t="s">
        <v>23</v>
      </c>
      <c r="F7097" t="s">
        <v>2034</v>
      </c>
    </row>
    <row r="7098" spans="1:10" x14ac:dyDescent="0.3">
      <c r="A7098" t="s">
        <v>13513</v>
      </c>
      <c r="B7098" t="s">
        <v>13514</v>
      </c>
      <c r="D7098">
        <v>1</v>
      </c>
      <c r="E7098" t="s">
        <v>23</v>
      </c>
      <c r="F7098" t="s">
        <v>224</v>
      </c>
    </row>
    <row r="7099" spans="1:10" x14ac:dyDescent="0.3">
      <c r="A7099" t="s">
        <v>1707</v>
      </c>
      <c r="B7099" t="s">
        <v>13515</v>
      </c>
      <c r="F7099" t="s">
        <v>13515</v>
      </c>
    </row>
    <row r="7100" spans="1:10" x14ac:dyDescent="0.3">
      <c r="A7100" t="s">
        <v>13516</v>
      </c>
      <c r="B7100" t="s">
        <v>13517</v>
      </c>
      <c r="D7100">
        <v>0.5</v>
      </c>
      <c r="E7100" t="s">
        <v>2210</v>
      </c>
      <c r="F7100" t="s">
        <v>3460</v>
      </c>
      <c r="J7100" t="s">
        <v>289</v>
      </c>
    </row>
    <row r="7101" spans="1:10" x14ac:dyDescent="0.3">
      <c r="A7101" t="s">
        <v>6456</v>
      </c>
      <c r="B7101" t="s">
        <v>8240</v>
      </c>
      <c r="D7101">
        <v>10.5</v>
      </c>
      <c r="E7101" t="s">
        <v>91</v>
      </c>
      <c r="F7101" t="s">
        <v>8241</v>
      </c>
    </row>
    <row r="7102" spans="1:10" x14ac:dyDescent="0.3">
      <c r="A7102" t="s">
        <v>6937</v>
      </c>
      <c r="B7102" t="s">
        <v>2146</v>
      </c>
      <c r="F7102" t="s">
        <v>2146</v>
      </c>
    </row>
    <row r="7103" spans="1:10" x14ac:dyDescent="0.3">
      <c r="A7103" t="s">
        <v>11506</v>
      </c>
      <c r="B7103" t="s">
        <v>13518</v>
      </c>
      <c r="E7103" t="s">
        <v>236</v>
      </c>
      <c r="F7103" t="s">
        <v>13519</v>
      </c>
      <c r="J7103" t="s">
        <v>4343</v>
      </c>
    </row>
    <row r="7104" spans="1:10" x14ac:dyDescent="0.3">
      <c r="A7104" t="s">
        <v>7038</v>
      </c>
      <c r="B7104" t="s">
        <v>163</v>
      </c>
      <c r="F7104" t="s">
        <v>163</v>
      </c>
    </row>
    <row r="7105" spans="1:10" x14ac:dyDescent="0.3">
      <c r="A7105" t="s">
        <v>6009</v>
      </c>
      <c r="B7105" t="s">
        <v>7433</v>
      </c>
      <c r="D7105">
        <v>2</v>
      </c>
      <c r="E7105" t="s">
        <v>91</v>
      </c>
      <c r="F7105" t="s">
        <v>781</v>
      </c>
    </row>
    <row r="7106" spans="1:10" x14ac:dyDescent="0.3">
      <c r="A7106" t="s">
        <v>13520</v>
      </c>
      <c r="B7106" t="s">
        <v>2612</v>
      </c>
      <c r="D7106">
        <v>1</v>
      </c>
      <c r="E7106" t="s">
        <v>37</v>
      </c>
      <c r="F7106" t="s">
        <v>1328</v>
      </c>
    </row>
    <row r="7107" spans="1:10" x14ac:dyDescent="0.3">
      <c r="A7107" t="s">
        <v>12546</v>
      </c>
      <c r="B7107" t="s">
        <v>2231</v>
      </c>
      <c r="D7107">
        <v>25</v>
      </c>
      <c r="E7107" t="s">
        <v>29</v>
      </c>
      <c r="F7107" t="s">
        <v>738</v>
      </c>
    </row>
    <row r="7108" spans="1:10" x14ac:dyDescent="0.3">
      <c r="A7108" t="s">
        <v>6399</v>
      </c>
      <c r="B7108" t="s">
        <v>13521</v>
      </c>
      <c r="D7108">
        <v>1</v>
      </c>
      <c r="F7108" t="s">
        <v>333</v>
      </c>
    </row>
    <row r="7109" spans="1:10" x14ac:dyDescent="0.3">
      <c r="A7109" t="s">
        <v>11694</v>
      </c>
      <c r="B7109" t="s">
        <v>3407</v>
      </c>
      <c r="D7109">
        <v>1</v>
      </c>
      <c r="E7109" t="s">
        <v>426</v>
      </c>
      <c r="F7109" t="s">
        <v>423</v>
      </c>
    </row>
    <row r="7110" spans="1:10" x14ac:dyDescent="0.3">
      <c r="A7110" t="s">
        <v>13522</v>
      </c>
      <c r="B7110" t="s">
        <v>13523</v>
      </c>
      <c r="D7110">
        <v>0.5</v>
      </c>
      <c r="E7110" t="s">
        <v>23</v>
      </c>
      <c r="F7110" t="s">
        <v>1758</v>
      </c>
    </row>
    <row r="7111" spans="1:10" x14ac:dyDescent="0.3">
      <c r="A7111" t="s">
        <v>13524</v>
      </c>
      <c r="B7111" t="s">
        <v>1179</v>
      </c>
      <c r="D7111">
        <v>1</v>
      </c>
      <c r="E7111" t="s">
        <v>23</v>
      </c>
      <c r="F7111" t="s">
        <v>41</v>
      </c>
    </row>
    <row r="7112" spans="1:10" x14ac:dyDescent="0.3">
      <c r="A7112" t="s">
        <v>2611</v>
      </c>
      <c r="B7112" t="s">
        <v>3734</v>
      </c>
      <c r="D7112">
        <v>1</v>
      </c>
      <c r="E7112" t="s">
        <v>345</v>
      </c>
      <c r="F7112" t="s">
        <v>13525</v>
      </c>
      <c r="J7112" t="s">
        <v>1470</v>
      </c>
    </row>
    <row r="7113" spans="1:10" x14ac:dyDescent="0.3">
      <c r="A7113" t="s">
        <v>13526</v>
      </c>
      <c r="B7113" t="s">
        <v>13527</v>
      </c>
      <c r="D7113">
        <v>1</v>
      </c>
      <c r="E7113" t="s">
        <v>11</v>
      </c>
      <c r="F7113" t="s">
        <v>13528</v>
      </c>
      <c r="J7113" t="s">
        <v>1470</v>
      </c>
    </row>
    <row r="7114" spans="1:10" x14ac:dyDescent="0.3">
      <c r="A7114" t="s">
        <v>13529</v>
      </c>
      <c r="B7114" t="s">
        <v>13530</v>
      </c>
      <c r="D7114">
        <v>15</v>
      </c>
      <c r="E7114" t="s">
        <v>29</v>
      </c>
      <c r="F7114" t="s">
        <v>738</v>
      </c>
    </row>
    <row r="7115" spans="1:10" x14ac:dyDescent="0.3">
      <c r="A7115" t="s">
        <v>13531</v>
      </c>
      <c r="B7115" t="s">
        <v>13532</v>
      </c>
      <c r="D7115">
        <v>4</v>
      </c>
      <c r="E7115" t="s">
        <v>23</v>
      </c>
      <c r="F7115" t="s">
        <v>233</v>
      </c>
    </row>
    <row r="7116" spans="1:10" x14ac:dyDescent="0.3">
      <c r="A7116" t="s">
        <v>13533</v>
      </c>
      <c r="B7116" t="s">
        <v>3131</v>
      </c>
      <c r="D7116">
        <v>150</v>
      </c>
      <c r="E7116" t="s">
        <v>29</v>
      </c>
      <c r="F7116" t="s">
        <v>3132</v>
      </c>
    </row>
    <row r="7117" spans="1:10" x14ac:dyDescent="0.3">
      <c r="A7117" t="s">
        <v>5545</v>
      </c>
      <c r="B7117" t="s">
        <v>13534</v>
      </c>
      <c r="D7117">
        <v>0.5</v>
      </c>
      <c r="E7117" t="s">
        <v>37</v>
      </c>
      <c r="F7117" t="s">
        <v>4705</v>
      </c>
    </row>
    <row r="7118" spans="1:10" x14ac:dyDescent="0.3">
      <c r="A7118" t="s">
        <v>13535</v>
      </c>
      <c r="B7118" t="s">
        <v>13536</v>
      </c>
      <c r="D7118">
        <v>2</v>
      </c>
      <c r="E7118" t="s">
        <v>91</v>
      </c>
      <c r="F7118" t="s">
        <v>7624</v>
      </c>
    </row>
    <row r="7119" spans="1:10" x14ac:dyDescent="0.3">
      <c r="A7119" t="s">
        <v>13537</v>
      </c>
      <c r="B7119" t="s">
        <v>2697</v>
      </c>
      <c r="D7119">
        <v>1</v>
      </c>
      <c r="E7119" t="s">
        <v>60</v>
      </c>
      <c r="F7119" t="s">
        <v>331</v>
      </c>
    </row>
    <row r="7120" spans="1:10" x14ac:dyDescent="0.3">
      <c r="A7120" t="s">
        <v>13538</v>
      </c>
      <c r="B7120" t="s">
        <v>13539</v>
      </c>
      <c r="D7120">
        <v>0.75</v>
      </c>
      <c r="E7120" t="s">
        <v>23</v>
      </c>
      <c r="F7120" t="s">
        <v>1182</v>
      </c>
    </row>
    <row r="7121" spans="1:10" x14ac:dyDescent="0.3">
      <c r="A7121" t="s">
        <v>13540</v>
      </c>
      <c r="B7121" t="s">
        <v>3132</v>
      </c>
      <c r="F7121" t="s">
        <v>3132</v>
      </c>
    </row>
    <row r="7122" spans="1:10" x14ac:dyDescent="0.3">
      <c r="A7122" t="s">
        <v>13541</v>
      </c>
      <c r="B7122" t="s">
        <v>13542</v>
      </c>
      <c r="D7122">
        <v>2</v>
      </c>
      <c r="E7122" t="s">
        <v>1785</v>
      </c>
      <c r="F7122" t="s">
        <v>233</v>
      </c>
    </row>
    <row r="7123" spans="1:10" x14ac:dyDescent="0.3">
      <c r="A7123" t="s">
        <v>7582</v>
      </c>
      <c r="B7123" t="s">
        <v>13543</v>
      </c>
      <c r="D7123">
        <v>0.75</v>
      </c>
      <c r="E7123" t="s">
        <v>23</v>
      </c>
      <c r="F7123" t="s">
        <v>979</v>
      </c>
    </row>
    <row r="7124" spans="1:10" x14ac:dyDescent="0.3">
      <c r="A7124" t="s">
        <v>13544</v>
      </c>
      <c r="B7124" t="s">
        <v>13545</v>
      </c>
      <c r="D7124">
        <v>0.5</v>
      </c>
      <c r="E7124" t="s">
        <v>23</v>
      </c>
      <c r="F7124" t="s">
        <v>1718</v>
      </c>
    </row>
    <row r="7125" spans="1:10" x14ac:dyDescent="0.3">
      <c r="A7125" t="s">
        <v>3534</v>
      </c>
      <c r="B7125" t="s">
        <v>13546</v>
      </c>
      <c r="D7125">
        <v>10.5</v>
      </c>
      <c r="E7125" t="s">
        <v>91</v>
      </c>
      <c r="F7125" t="s">
        <v>13547</v>
      </c>
      <c r="J7125" t="s">
        <v>20</v>
      </c>
    </row>
    <row r="7126" spans="1:10" x14ac:dyDescent="0.3">
      <c r="A7126" t="s">
        <v>9093</v>
      </c>
      <c r="B7126" t="s">
        <v>13548</v>
      </c>
      <c r="D7126">
        <v>1</v>
      </c>
      <c r="E7126" t="s">
        <v>23</v>
      </c>
      <c r="F7126" t="s">
        <v>416</v>
      </c>
    </row>
    <row r="7127" spans="1:10" x14ac:dyDescent="0.3">
      <c r="A7127" t="s">
        <v>6160</v>
      </c>
      <c r="B7127" t="s">
        <v>12577</v>
      </c>
      <c r="D7127">
        <v>1</v>
      </c>
      <c r="E7127" t="s">
        <v>23</v>
      </c>
      <c r="F7127" t="s">
        <v>587</v>
      </c>
    </row>
    <row r="7128" spans="1:10" x14ac:dyDescent="0.3">
      <c r="A7128" t="s">
        <v>13549</v>
      </c>
      <c r="B7128" t="s">
        <v>13550</v>
      </c>
      <c r="D7128">
        <v>1</v>
      </c>
      <c r="E7128" t="s">
        <v>11</v>
      </c>
      <c r="F7128" t="s">
        <v>11047</v>
      </c>
    </row>
    <row r="7129" spans="1:10" x14ac:dyDescent="0.3">
      <c r="A7129" t="s">
        <v>13551</v>
      </c>
      <c r="B7129" t="s">
        <v>13552</v>
      </c>
      <c r="D7129" t="s">
        <v>13553</v>
      </c>
      <c r="E7129" t="s">
        <v>13554</v>
      </c>
      <c r="F7129" t="s">
        <v>81</v>
      </c>
      <c r="J7129" t="s">
        <v>13555</v>
      </c>
    </row>
    <row r="7130" spans="1:10" x14ac:dyDescent="0.3">
      <c r="A7130" t="s">
        <v>13189</v>
      </c>
      <c r="B7130" t="s">
        <v>13556</v>
      </c>
      <c r="D7130">
        <v>5</v>
      </c>
      <c r="E7130" t="s">
        <v>29</v>
      </c>
      <c r="F7130" t="s">
        <v>1193</v>
      </c>
      <c r="H7130" t="s">
        <v>814</v>
      </c>
    </row>
    <row r="7131" spans="1:10" x14ac:dyDescent="0.3">
      <c r="A7131" t="s">
        <v>13557</v>
      </c>
      <c r="B7131" t="s">
        <v>13558</v>
      </c>
      <c r="D7131">
        <v>1</v>
      </c>
      <c r="E7131" t="s">
        <v>11</v>
      </c>
      <c r="F7131" t="s">
        <v>3447</v>
      </c>
    </row>
    <row r="7132" spans="1:10" x14ac:dyDescent="0.3">
      <c r="A7132" t="s">
        <v>5267</v>
      </c>
      <c r="B7132" t="s">
        <v>13559</v>
      </c>
      <c r="D7132">
        <v>0.66</v>
      </c>
      <c r="E7132" t="s">
        <v>23</v>
      </c>
      <c r="F7132" t="s">
        <v>30</v>
      </c>
    </row>
    <row r="7133" spans="1:10" x14ac:dyDescent="0.3">
      <c r="A7133" t="s">
        <v>13560</v>
      </c>
      <c r="B7133" t="s">
        <v>13561</v>
      </c>
      <c r="D7133" t="s">
        <v>665</v>
      </c>
      <c r="E7133" t="s">
        <v>23</v>
      </c>
      <c r="F7133" t="s">
        <v>30</v>
      </c>
      <c r="J7133" t="s">
        <v>1177</v>
      </c>
    </row>
    <row r="7134" spans="1:10" x14ac:dyDescent="0.3">
      <c r="A7134" t="s">
        <v>293</v>
      </c>
      <c r="B7134" t="s">
        <v>13562</v>
      </c>
      <c r="F7134" t="s">
        <v>13563</v>
      </c>
      <c r="J7134" t="s">
        <v>2175</v>
      </c>
    </row>
    <row r="7135" spans="1:10" x14ac:dyDescent="0.3">
      <c r="A7135" t="s">
        <v>13564</v>
      </c>
      <c r="B7135" t="s">
        <v>13565</v>
      </c>
      <c r="D7135">
        <v>0.5</v>
      </c>
      <c r="E7135" t="s">
        <v>23</v>
      </c>
      <c r="F7135" t="s">
        <v>7476</v>
      </c>
    </row>
    <row r="7136" spans="1:10" x14ac:dyDescent="0.3">
      <c r="A7136" t="s">
        <v>13566</v>
      </c>
      <c r="B7136" t="s">
        <v>6814</v>
      </c>
      <c r="D7136">
        <v>4</v>
      </c>
      <c r="E7136" t="s">
        <v>23</v>
      </c>
      <c r="F7136" t="s">
        <v>241</v>
      </c>
    </row>
    <row r="7137" spans="1:10" x14ac:dyDescent="0.3">
      <c r="A7137" t="s">
        <v>1583</v>
      </c>
      <c r="B7137" t="s">
        <v>8891</v>
      </c>
      <c r="D7137">
        <v>15</v>
      </c>
      <c r="E7137" t="s">
        <v>29</v>
      </c>
      <c r="F7137" t="s">
        <v>115</v>
      </c>
    </row>
    <row r="7138" spans="1:10" x14ac:dyDescent="0.3">
      <c r="A7138" t="s">
        <v>13567</v>
      </c>
      <c r="B7138" t="s">
        <v>13568</v>
      </c>
      <c r="D7138">
        <v>1.5</v>
      </c>
      <c r="E7138" t="s">
        <v>460</v>
      </c>
      <c r="F7138" t="s">
        <v>331</v>
      </c>
    </row>
    <row r="7139" spans="1:10" x14ac:dyDescent="0.3">
      <c r="A7139" t="s">
        <v>10093</v>
      </c>
      <c r="B7139" t="s">
        <v>13569</v>
      </c>
      <c r="D7139">
        <v>2</v>
      </c>
      <c r="E7139" t="s">
        <v>460</v>
      </c>
      <c r="F7139" t="s">
        <v>12923</v>
      </c>
    </row>
    <row r="7140" spans="1:10" x14ac:dyDescent="0.3">
      <c r="A7140" t="s">
        <v>3248</v>
      </c>
      <c r="B7140" t="s">
        <v>8634</v>
      </c>
      <c r="D7140">
        <v>0.5</v>
      </c>
      <c r="E7140" t="s">
        <v>23</v>
      </c>
      <c r="F7140" t="s">
        <v>6948</v>
      </c>
    </row>
    <row r="7141" spans="1:10" x14ac:dyDescent="0.3">
      <c r="A7141" t="s">
        <v>11033</v>
      </c>
      <c r="B7141" t="s">
        <v>13570</v>
      </c>
      <c r="D7141">
        <v>2</v>
      </c>
      <c r="E7141" t="s">
        <v>2210</v>
      </c>
      <c r="F7141" t="s">
        <v>233</v>
      </c>
      <c r="J7141" t="s">
        <v>289</v>
      </c>
    </row>
    <row r="7142" spans="1:10" x14ac:dyDescent="0.3">
      <c r="A7142" t="s">
        <v>13571</v>
      </c>
      <c r="B7142" t="s">
        <v>13572</v>
      </c>
      <c r="D7142">
        <v>1</v>
      </c>
      <c r="E7142" t="s">
        <v>71</v>
      </c>
      <c r="F7142" t="s">
        <v>115</v>
      </c>
    </row>
    <row r="7143" spans="1:10" x14ac:dyDescent="0.3">
      <c r="A7143" t="s">
        <v>13573</v>
      </c>
      <c r="B7143" t="s">
        <v>4793</v>
      </c>
      <c r="D7143">
        <v>1.5</v>
      </c>
      <c r="E7143" t="s">
        <v>23</v>
      </c>
      <c r="F7143" t="s">
        <v>1003</v>
      </c>
    </row>
    <row r="7144" spans="1:10" x14ac:dyDescent="0.3">
      <c r="A7144" t="s">
        <v>13574</v>
      </c>
      <c r="B7144" t="s">
        <v>13575</v>
      </c>
      <c r="D7144">
        <v>0.5</v>
      </c>
      <c r="E7144" t="s">
        <v>2646</v>
      </c>
      <c r="F7144" t="s">
        <v>13576</v>
      </c>
    </row>
    <row r="7145" spans="1:10" x14ac:dyDescent="0.3">
      <c r="A7145" t="s">
        <v>13577</v>
      </c>
      <c r="B7145" t="s">
        <v>12756</v>
      </c>
      <c r="D7145">
        <v>0.5</v>
      </c>
      <c r="E7145" t="s">
        <v>23</v>
      </c>
      <c r="F7145" t="s">
        <v>262</v>
      </c>
    </row>
    <row r="7146" spans="1:10" x14ac:dyDescent="0.3">
      <c r="A7146" t="s">
        <v>9202</v>
      </c>
      <c r="B7146" t="s">
        <v>8891</v>
      </c>
      <c r="D7146">
        <v>15</v>
      </c>
      <c r="E7146" t="s">
        <v>29</v>
      </c>
      <c r="F7146" t="s">
        <v>115</v>
      </c>
    </row>
    <row r="7147" spans="1:10" x14ac:dyDescent="0.3">
      <c r="A7147" t="s">
        <v>13578</v>
      </c>
      <c r="B7147" t="s">
        <v>8762</v>
      </c>
      <c r="D7147">
        <v>1</v>
      </c>
      <c r="E7147" t="s">
        <v>37</v>
      </c>
      <c r="F7147" t="s">
        <v>516</v>
      </c>
    </row>
    <row r="7148" spans="1:10" x14ac:dyDescent="0.3">
      <c r="A7148" t="s">
        <v>13464</v>
      </c>
      <c r="B7148" t="s">
        <v>13579</v>
      </c>
      <c r="D7148">
        <v>6</v>
      </c>
      <c r="E7148" t="s">
        <v>227</v>
      </c>
      <c r="F7148" t="s">
        <v>413</v>
      </c>
      <c r="G7148" t="s">
        <v>1571</v>
      </c>
    </row>
    <row r="7149" spans="1:10" x14ac:dyDescent="0.3">
      <c r="A7149" t="s">
        <v>13580</v>
      </c>
      <c r="B7149" t="s">
        <v>13581</v>
      </c>
      <c r="D7149">
        <v>1</v>
      </c>
      <c r="E7149" t="s">
        <v>10514</v>
      </c>
      <c r="F7149" t="s">
        <v>405</v>
      </c>
      <c r="J7149" t="s">
        <v>13582</v>
      </c>
    </row>
    <row r="7150" spans="1:10" x14ac:dyDescent="0.3">
      <c r="A7150" t="s">
        <v>8721</v>
      </c>
      <c r="B7150" t="s">
        <v>13583</v>
      </c>
      <c r="D7150">
        <v>0.75</v>
      </c>
      <c r="E7150" t="s">
        <v>37</v>
      </c>
      <c r="F7150" t="s">
        <v>3196</v>
      </c>
      <c r="J7150" t="s">
        <v>6109</v>
      </c>
    </row>
    <row r="7151" spans="1:10" x14ac:dyDescent="0.3">
      <c r="A7151" t="s">
        <v>13584</v>
      </c>
      <c r="B7151" t="s">
        <v>10610</v>
      </c>
      <c r="D7151">
        <v>1</v>
      </c>
      <c r="E7151" t="s">
        <v>1785</v>
      </c>
      <c r="F7151" t="s">
        <v>738</v>
      </c>
    </row>
    <row r="7152" spans="1:10" x14ac:dyDescent="0.3">
      <c r="A7152" t="s">
        <v>13585</v>
      </c>
      <c r="B7152" t="s">
        <v>4570</v>
      </c>
      <c r="D7152">
        <v>0.5</v>
      </c>
      <c r="E7152" t="s">
        <v>23</v>
      </c>
      <c r="F7152" t="s">
        <v>112</v>
      </c>
    </row>
    <row r="7153" spans="1:10" x14ac:dyDescent="0.3">
      <c r="A7153" t="s">
        <v>13586</v>
      </c>
      <c r="B7153" t="s">
        <v>13587</v>
      </c>
      <c r="D7153">
        <v>0.25</v>
      </c>
      <c r="F7153" t="s">
        <v>2961</v>
      </c>
      <c r="G7153" t="s">
        <v>9598</v>
      </c>
      <c r="J7153" t="s">
        <v>325</v>
      </c>
    </row>
    <row r="7154" spans="1:10" x14ac:dyDescent="0.3">
      <c r="A7154" t="s">
        <v>13588</v>
      </c>
      <c r="B7154" t="s">
        <v>13589</v>
      </c>
      <c r="D7154">
        <v>0.5</v>
      </c>
      <c r="E7154" t="s">
        <v>13590</v>
      </c>
      <c r="F7154" t="s">
        <v>738</v>
      </c>
      <c r="J7154" t="s">
        <v>13591</v>
      </c>
    </row>
    <row r="7155" spans="1:10" x14ac:dyDescent="0.3">
      <c r="A7155" t="s">
        <v>4900</v>
      </c>
      <c r="B7155" t="s">
        <v>13592</v>
      </c>
      <c r="D7155">
        <v>2</v>
      </c>
      <c r="E7155" t="s">
        <v>23</v>
      </c>
      <c r="F7155" t="s">
        <v>9991</v>
      </c>
    </row>
    <row r="7156" spans="1:10" x14ac:dyDescent="0.3">
      <c r="A7156" t="s">
        <v>13593</v>
      </c>
      <c r="B7156" t="s">
        <v>2021</v>
      </c>
      <c r="D7156">
        <v>0.5</v>
      </c>
      <c r="E7156" t="s">
        <v>23</v>
      </c>
      <c r="F7156" t="s">
        <v>183</v>
      </c>
    </row>
    <row r="7157" spans="1:10" x14ac:dyDescent="0.3">
      <c r="A7157" t="s">
        <v>13594</v>
      </c>
      <c r="B7157" t="s">
        <v>5984</v>
      </c>
      <c r="D7157">
        <v>2</v>
      </c>
      <c r="E7157" t="s">
        <v>23</v>
      </c>
      <c r="F7157" t="s">
        <v>1003</v>
      </c>
    </row>
    <row r="7158" spans="1:10" x14ac:dyDescent="0.3">
      <c r="A7158" t="s">
        <v>13595</v>
      </c>
      <c r="B7158" t="s">
        <v>13596</v>
      </c>
      <c r="D7158">
        <v>3</v>
      </c>
      <c r="E7158" t="s">
        <v>23</v>
      </c>
      <c r="F7158" t="s">
        <v>13597</v>
      </c>
    </row>
    <row r="7159" spans="1:10" x14ac:dyDescent="0.3">
      <c r="A7159" t="s">
        <v>958</v>
      </c>
      <c r="B7159" t="s">
        <v>159</v>
      </c>
      <c r="D7159">
        <v>0.75</v>
      </c>
      <c r="E7159" t="s">
        <v>23</v>
      </c>
      <c r="F7159" t="s">
        <v>160</v>
      </c>
    </row>
    <row r="7160" spans="1:10" x14ac:dyDescent="0.3">
      <c r="A7160" t="s">
        <v>13598</v>
      </c>
      <c r="B7160" t="s">
        <v>3077</v>
      </c>
      <c r="D7160">
        <v>0.5</v>
      </c>
      <c r="E7160" t="s">
        <v>23</v>
      </c>
      <c r="F7160" t="s">
        <v>374</v>
      </c>
    </row>
    <row r="7161" spans="1:10" x14ac:dyDescent="0.3">
      <c r="A7161" t="s">
        <v>5545</v>
      </c>
      <c r="B7161" t="s">
        <v>13599</v>
      </c>
      <c r="D7161">
        <v>0.25</v>
      </c>
      <c r="E7161" t="s">
        <v>11</v>
      </c>
      <c r="F7161" t="s">
        <v>13600</v>
      </c>
      <c r="G7161" t="s">
        <v>10804</v>
      </c>
      <c r="J7161" t="s">
        <v>1470</v>
      </c>
    </row>
    <row r="7162" spans="1:10" x14ac:dyDescent="0.3">
      <c r="A7162" t="s">
        <v>13601</v>
      </c>
      <c r="B7162" t="s">
        <v>2070</v>
      </c>
      <c r="D7162">
        <v>1</v>
      </c>
      <c r="E7162" t="s">
        <v>23</v>
      </c>
      <c r="F7162" t="s">
        <v>38</v>
      </c>
    </row>
    <row r="7163" spans="1:10" x14ac:dyDescent="0.3">
      <c r="A7163" t="s">
        <v>1309</v>
      </c>
      <c r="B7163" t="s">
        <v>13602</v>
      </c>
      <c r="D7163">
        <v>3</v>
      </c>
      <c r="E7163" t="s">
        <v>227</v>
      </c>
      <c r="F7163" t="s">
        <v>413</v>
      </c>
    </row>
    <row r="7164" spans="1:10" x14ac:dyDescent="0.3">
      <c r="A7164" t="s">
        <v>2234</v>
      </c>
      <c r="B7164" t="s">
        <v>988</v>
      </c>
      <c r="D7164">
        <v>0.5</v>
      </c>
      <c r="E7164" t="s">
        <v>23</v>
      </c>
      <c r="F7164" t="s">
        <v>81</v>
      </c>
    </row>
    <row r="7165" spans="1:10" x14ac:dyDescent="0.3">
      <c r="A7165" t="s">
        <v>13603</v>
      </c>
      <c r="B7165" t="s">
        <v>13604</v>
      </c>
      <c r="D7165">
        <v>0.75</v>
      </c>
      <c r="E7165" t="s">
        <v>23</v>
      </c>
      <c r="F7165" t="s">
        <v>1638</v>
      </c>
    </row>
    <row r="7166" spans="1:10" x14ac:dyDescent="0.3">
      <c r="A7166" t="s">
        <v>10166</v>
      </c>
      <c r="B7166" t="s">
        <v>13605</v>
      </c>
      <c r="D7166">
        <v>2</v>
      </c>
      <c r="E7166" t="s">
        <v>146</v>
      </c>
      <c r="F7166" t="s">
        <v>1638</v>
      </c>
    </row>
    <row r="7167" spans="1:10" x14ac:dyDescent="0.3">
      <c r="A7167" t="s">
        <v>13606</v>
      </c>
      <c r="B7167" t="s">
        <v>7433</v>
      </c>
      <c r="D7167">
        <v>2</v>
      </c>
      <c r="E7167" t="s">
        <v>91</v>
      </c>
      <c r="F7167" t="s">
        <v>781</v>
      </c>
    </row>
    <row r="7168" spans="1:10" x14ac:dyDescent="0.3">
      <c r="A7168" t="s">
        <v>7465</v>
      </c>
      <c r="B7168" t="s">
        <v>1802</v>
      </c>
      <c r="D7168">
        <v>1.5</v>
      </c>
      <c r="E7168" t="s">
        <v>345</v>
      </c>
      <c r="F7168" t="s">
        <v>209</v>
      </c>
    </row>
    <row r="7169" spans="1:10" x14ac:dyDescent="0.3">
      <c r="A7169" t="s">
        <v>13607</v>
      </c>
      <c r="B7169" t="s">
        <v>615</v>
      </c>
      <c r="D7169">
        <v>1</v>
      </c>
      <c r="E7169" t="s">
        <v>23</v>
      </c>
      <c r="F7169" t="s">
        <v>616</v>
      </c>
    </row>
    <row r="7170" spans="1:10" x14ac:dyDescent="0.3">
      <c r="A7170" t="s">
        <v>7940</v>
      </c>
      <c r="B7170" t="s">
        <v>13608</v>
      </c>
      <c r="D7170">
        <v>1.75</v>
      </c>
      <c r="E7170" t="s">
        <v>345</v>
      </c>
      <c r="F7170" t="s">
        <v>13609</v>
      </c>
    </row>
    <row r="7171" spans="1:10" x14ac:dyDescent="0.3">
      <c r="A7171" t="s">
        <v>1768</v>
      </c>
      <c r="B7171" t="s">
        <v>13610</v>
      </c>
      <c r="D7171">
        <v>0.5</v>
      </c>
      <c r="E7171" t="s">
        <v>37</v>
      </c>
      <c r="F7171" t="s">
        <v>728</v>
      </c>
    </row>
    <row r="7172" spans="1:10" x14ac:dyDescent="0.3">
      <c r="A7172" t="s">
        <v>13611</v>
      </c>
      <c r="B7172" t="s">
        <v>1190</v>
      </c>
      <c r="D7172">
        <v>0.5</v>
      </c>
      <c r="E7172" t="s">
        <v>23</v>
      </c>
      <c r="F7172" t="s">
        <v>199</v>
      </c>
    </row>
    <row r="7173" spans="1:10" x14ac:dyDescent="0.3">
      <c r="A7173" t="s">
        <v>13612</v>
      </c>
      <c r="B7173" t="s">
        <v>13613</v>
      </c>
      <c r="D7173">
        <v>0.25</v>
      </c>
      <c r="E7173" t="s">
        <v>460</v>
      </c>
      <c r="F7173" t="s">
        <v>13614</v>
      </c>
    </row>
    <row r="7174" spans="1:10" x14ac:dyDescent="0.3">
      <c r="A7174" t="s">
        <v>5572</v>
      </c>
      <c r="B7174" t="s">
        <v>13394</v>
      </c>
      <c r="D7174">
        <v>2</v>
      </c>
      <c r="E7174" t="s">
        <v>23</v>
      </c>
      <c r="F7174" t="s">
        <v>1059</v>
      </c>
    </row>
    <row r="7175" spans="1:10" x14ac:dyDescent="0.3">
      <c r="A7175" t="s">
        <v>13615</v>
      </c>
      <c r="B7175" t="s">
        <v>13616</v>
      </c>
      <c r="D7175">
        <v>1</v>
      </c>
      <c r="E7175" t="s">
        <v>11</v>
      </c>
      <c r="F7175" t="s">
        <v>13617</v>
      </c>
    </row>
    <row r="7176" spans="1:10" x14ac:dyDescent="0.3">
      <c r="A7176" t="s">
        <v>13618</v>
      </c>
      <c r="B7176" t="s">
        <v>13619</v>
      </c>
      <c r="D7176">
        <v>2</v>
      </c>
      <c r="E7176" t="s">
        <v>345</v>
      </c>
      <c r="F7176" t="s">
        <v>13620</v>
      </c>
      <c r="G7176" t="s">
        <v>7495</v>
      </c>
    </row>
    <row r="7177" spans="1:10" x14ac:dyDescent="0.3">
      <c r="A7177" t="s">
        <v>13621</v>
      </c>
      <c r="B7177" t="s">
        <v>13622</v>
      </c>
      <c r="D7177">
        <v>2</v>
      </c>
      <c r="E7177" t="s">
        <v>91</v>
      </c>
      <c r="F7177" t="s">
        <v>3410</v>
      </c>
    </row>
    <row r="7178" spans="1:10" x14ac:dyDescent="0.3">
      <c r="A7178" t="s">
        <v>13623</v>
      </c>
      <c r="B7178" t="s">
        <v>13624</v>
      </c>
      <c r="F7178" t="s">
        <v>6496</v>
      </c>
      <c r="J7178" t="s">
        <v>13625</v>
      </c>
    </row>
    <row r="7179" spans="1:10" x14ac:dyDescent="0.3">
      <c r="A7179" t="s">
        <v>13626</v>
      </c>
      <c r="B7179" t="s">
        <v>13627</v>
      </c>
      <c r="D7179">
        <v>1.5</v>
      </c>
      <c r="E7179" t="s">
        <v>345</v>
      </c>
      <c r="F7179" t="s">
        <v>13628</v>
      </c>
    </row>
    <row r="7180" spans="1:10" x14ac:dyDescent="0.3">
      <c r="A7180" t="s">
        <v>2590</v>
      </c>
      <c r="B7180" t="s">
        <v>841</v>
      </c>
      <c r="D7180">
        <v>1</v>
      </c>
      <c r="E7180" t="s">
        <v>23</v>
      </c>
      <c r="F7180" t="s">
        <v>793</v>
      </c>
    </row>
    <row r="7181" spans="1:10" x14ac:dyDescent="0.3">
      <c r="A7181" t="s">
        <v>12826</v>
      </c>
      <c r="B7181" t="s">
        <v>13629</v>
      </c>
      <c r="D7181">
        <v>0.5</v>
      </c>
      <c r="E7181" t="s">
        <v>23</v>
      </c>
      <c r="F7181" t="s">
        <v>7174</v>
      </c>
    </row>
    <row r="7182" spans="1:10" x14ac:dyDescent="0.3">
      <c r="A7182" t="s">
        <v>13630</v>
      </c>
      <c r="B7182" t="s">
        <v>13024</v>
      </c>
      <c r="D7182">
        <v>1</v>
      </c>
      <c r="E7182" t="s">
        <v>469</v>
      </c>
      <c r="F7182" t="s">
        <v>907</v>
      </c>
    </row>
    <row r="7183" spans="1:10" x14ac:dyDescent="0.3">
      <c r="A7183" t="s">
        <v>13631</v>
      </c>
      <c r="B7183" t="s">
        <v>2417</v>
      </c>
      <c r="D7183">
        <v>1</v>
      </c>
      <c r="E7183" t="s">
        <v>426</v>
      </c>
      <c r="F7183" t="s">
        <v>857</v>
      </c>
    </row>
    <row r="7184" spans="1:10" x14ac:dyDescent="0.3">
      <c r="A7184" t="s">
        <v>13632</v>
      </c>
      <c r="B7184" t="s">
        <v>13633</v>
      </c>
      <c r="F7184" t="s">
        <v>13633</v>
      </c>
    </row>
    <row r="7185" spans="1:10" x14ac:dyDescent="0.3">
      <c r="A7185" t="s">
        <v>13634</v>
      </c>
      <c r="B7185" t="s">
        <v>13635</v>
      </c>
      <c r="D7185">
        <v>1.5</v>
      </c>
      <c r="E7185" t="s">
        <v>345</v>
      </c>
      <c r="F7185" t="s">
        <v>13636</v>
      </c>
    </row>
    <row r="7186" spans="1:10" x14ac:dyDescent="0.3">
      <c r="A7186" t="s">
        <v>6960</v>
      </c>
      <c r="B7186" t="s">
        <v>10911</v>
      </c>
      <c r="D7186">
        <v>1</v>
      </c>
      <c r="E7186" t="s">
        <v>426</v>
      </c>
      <c r="F7186" t="s">
        <v>1644</v>
      </c>
    </row>
    <row r="7187" spans="1:10" x14ac:dyDescent="0.3">
      <c r="A7187" t="s">
        <v>13637</v>
      </c>
      <c r="B7187" t="s">
        <v>8289</v>
      </c>
      <c r="D7187">
        <v>1.5</v>
      </c>
      <c r="E7187" t="s">
        <v>23</v>
      </c>
      <c r="F7187" t="s">
        <v>2024</v>
      </c>
    </row>
    <row r="7188" spans="1:10" x14ac:dyDescent="0.3">
      <c r="A7188" t="s">
        <v>13638</v>
      </c>
      <c r="B7188" t="s">
        <v>13639</v>
      </c>
      <c r="F7188" t="s">
        <v>13639</v>
      </c>
    </row>
    <row r="7189" spans="1:10" x14ac:dyDescent="0.3">
      <c r="A7189" t="s">
        <v>13640</v>
      </c>
      <c r="B7189" t="s">
        <v>13641</v>
      </c>
      <c r="D7189">
        <v>0.5</v>
      </c>
      <c r="E7189" t="s">
        <v>23</v>
      </c>
      <c r="F7189" t="s">
        <v>127</v>
      </c>
    </row>
    <row r="7190" spans="1:10" x14ac:dyDescent="0.3">
      <c r="A7190" t="s">
        <v>12997</v>
      </c>
      <c r="B7190" t="s">
        <v>13642</v>
      </c>
      <c r="D7190">
        <v>1</v>
      </c>
      <c r="E7190" t="s">
        <v>612</v>
      </c>
      <c r="F7190" t="s">
        <v>516</v>
      </c>
    </row>
    <row r="7191" spans="1:10" x14ac:dyDescent="0.3">
      <c r="A7191" t="s">
        <v>12306</v>
      </c>
      <c r="B7191" t="s">
        <v>1539</v>
      </c>
      <c r="D7191">
        <v>1</v>
      </c>
      <c r="E7191" t="s">
        <v>23</v>
      </c>
      <c r="F7191" t="s">
        <v>738</v>
      </c>
    </row>
    <row r="7192" spans="1:10" x14ac:dyDescent="0.3">
      <c r="A7192" t="s">
        <v>13643</v>
      </c>
      <c r="B7192" t="s">
        <v>13644</v>
      </c>
      <c r="F7192" t="s">
        <v>13645</v>
      </c>
      <c r="J7192" t="s">
        <v>9963</v>
      </c>
    </row>
    <row r="7193" spans="1:10" x14ac:dyDescent="0.3">
      <c r="A7193" t="s">
        <v>13646</v>
      </c>
      <c r="B7193" t="s">
        <v>13647</v>
      </c>
      <c r="D7193">
        <v>8</v>
      </c>
      <c r="E7193" t="s">
        <v>23</v>
      </c>
      <c r="F7193" t="s">
        <v>13648</v>
      </c>
    </row>
    <row r="7194" spans="1:10" x14ac:dyDescent="0.3">
      <c r="A7194" t="s">
        <v>13649</v>
      </c>
      <c r="B7194" t="s">
        <v>599</v>
      </c>
      <c r="D7194">
        <v>2</v>
      </c>
      <c r="E7194" t="s">
        <v>23</v>
      </c>
      <c r="F7194" t="s">
        <v>30</v>
      </c>
    </row>
    <row r="7195" spans="1:10" x14ac:dyDescent="0.3">
      <c r="A7195" t="s">
        <v>8451</v>
      </c>
      <c r="B7195" t="s">
        <v>12859</v>
      </c>
      <c r="D7195">
        <v>1</v>
      </c>
      <c r="E7195" t="s">
        <v>11</v>
      </c>
      <c r="F7195" t="s">
        <v>12860</v>
      </c>
    </row>
    <row r="7196" spans="1:10" x14ac:dyDescent="0.3">
      <c r="A7196" t="s">
        <v>13650</v>
      </c>
      <c r="B7196" t="s">
        <v>13651</v>
      </c>
      <c r="D7196">
        <v>0.25</v>
      </c>
      <c r="E7196" t="s">
        <v>23</v>
      </c>
      <c r="F7196" t="s">
        <v>1231</v>
      </c>
    </row>
    <row r="7197" spans="1:10" x14ac:dyDescent="0.3">
      <c r="A7197" t="s">
        <v>13652</v>
      </c>
      <c r="B7197" t="s">
        <v>13653</v>
      </c>
      <c r="D7197">
        <v>2</v>
      </c>
      <c r="E7197" t="s">
        <v>345</v>
      </c>
      <c r="F7197" t="s">
        <v>741</v>
      </c>
      <c r="G7197" t="s">
        <v>167</v>
      </c>
      <c r="H7197" t="s">
        <v>168</v>
      </c>
      <c r="I7197" t="s">
        <v>1078</v>
      </c>
      <c r="J7197" t="s">
        <v>325</v>
      </c>
    </row>
    <row r="7198" spans="1:10" x14ac:dyDescent="0.3">
      <c r="A7198" t="s">
        <v>13654</v>
      </c>
      <c r="B7198" t="s">
        <v>13655</v>
      </c>
      <c r="D7198">
        <v>25</v>
      </c>
      <c r="E7198" t="s">
        <v>29</v>
      </c>
      <c r="F7198" t="s">
        <v>13656</v>
      </c>
    </row>
    <row r="7199" spans="1:10" x14ac:dyDescent="0.3">
      <c r="A7199" t="s">
        <v>13657</v>
      </c>
      <c r="B7199" t="s">
        <v>13658</v>
      </c>
      <c r="D7199">
        <v>1</v>
      </c>
      <c r="E7199" t="s">
        <v>469</v>
      </c>
      <c r="F7199" t="s">
        <v>1289</v>
      </c>
      <c r="J7199" t="s">
        <v>289</v>
      </c>
    </row>
    <row r="7200" spans="1:10" x14ac:dyDescent="0.3">
      <c r="A7200" t="s">
        <v>13659</v>
      </c>
      <c r="B7200" t="s">
        <v>10941</v>
      </c>
      <c r="D7200">
        <v>1</v>
      </c>
      <c r="E7200" t="s">
        <v>23</v>
      </c>
      <c r="F7200" t="s">
        <v>2034</v>
      </c>
    </row>
    <row r="7201" spans="1:10" x14ac:dyDescent="0.3">
      <c r="A7201" t="s">
        <v>7228</v>
      </c>
      <c r="B7201" t="s">
        <v>13660</v>
      </c>
      <c r="D7201">
        <v>4</v>
      </c>
      <c r="E7201" t="s">
        <v>189</v>
      </c>
      <c r="F7201" t="s">
        <v>2924</v>
      </c>
    </row>
    <row r="7202" spans="1:10" x14ac:dyDescent="0.3">
      <c r="A7202" t="s">
        <v>12255</v>
      </c>
      <c r="B7202" t="s">
        <v>1668</v>
      </c>
      <c r="D7202">
        <v>3</v>
      </c>
      <c r="E7202" t="s">
        <v>23</v>
      </c>
      <c r="F7202" t="s">
        <v>1209</v>
      </c>
    </row>
    <row r="7203" spans="1:10" x14ac:dyDescent="0.3">
      <c r="A7203" t="s">
        <v>9499</v>
      </c>
      <c r="B7203" t="s">
        <v>13661</v>
      </c>
      <c r="D7203">
        <v>2</v>
      </c>
      <c r="E7203" t="s">
        <v>23</v>
      </c>
      <c r="F7203" t="s">
        <v>5973</v>
      </c>
    </row>
    <row r="7204" spans="1:10" x14ac:dyDescent="0.3">
      <c r="A7204" t="s">
        <v>13662</v>
      </c>
      <c r="B7204" t="s">
        <v>13663</v>
      </c>
      <c r="D7204">
        <v>1</v>
      </c>
      <c r="E7204" t="s">
        <v>37</v>
      </c>
      <c r="F7204" t="s">
        <v>13664</v>
      </c>
      <c r="J7204" t="s">
        <v>12462</v>
      </c>
    </row>
    <row r="7205" spans="1:10" x14ac:dyDescent="0.3">
      <c r="A7205" t="s">
        <v>13665</v>
      </c>
      <c r="B7205" t="s">
        <v>13666</v>
      </c>
      <c r="D7205">
        <v>100</v>
      </c>
      <c r="E7205" t="s">
        <v>29</v>
      </c>
      <c r="F7205" t="s">
        <v>3132</v>
      </c>
    </row>
    <row r="7206" spans="1:10" x14ac:dyDescent="0.3">
      <c r="A7206" t="s">
        <v>13667</v>
      </c>
      <c r="B7206" t="s">
        <v>13668</v>
      </c>
      <c r="D7206">
        <v>1</v>
      </c>
      <c r="E7206" t="s">
        <v>426</v>
      </c>
      <c r="F7206" t="s">
        <v>1204</v>
      </c>
    </row>
    <row r="7207" spans="1:10" x14ac:dyDescent="0.3">
      <c r="A7207" t="s">
        <v>13669</v>
      </c>
      <c r="B7207" t="s">
        <v>13670</v>
      </c>
      <c r="D7207">
        <v>0.5</v>
      </c>
      <c r="E7207" t="s">
        <v>23</v>
      </c>
      <c r="F7207" t="s">
        <v>13671</v>
      </c>
    </row>
    <row r="7208" spans="1:10" x14ac:dyDescent="0.3">
      <c r="A7208" t="s">
        <v>414</v>
      </c>
      <c r="B7208" t="s">
        <v>13672</v>
      </c>
      <c r="E7208" t="s">
        <v>2397</v>
      </c>
      <c r="F7208" t="s">
        <v>1984</v>
      </c>
      <c r="J7208" t="s">
        <v>4343</v>
      </c>
    </row>
    <row r="7209" spans="1:10" x14ac:dyDescent="0.3">
      <c r="A7209" t="s">
        <v>6316</v>
      </c>
      <c r="B7209" t="s">
        <v>154</v>
      </c>
      <c r="F7209" t="s">
        <v>154</v>
      </c>
    </row>
    <row r="7210" spans="1:10" x14ac:dyDescent="0.3">
      <c r="A7210" t="s">
        <v>13673</v>
      </c>
      <c r="B7210" t="s">
        <v>13674</v>
      </c>
      <c r="D7210">
        <v>0.5</v>
      </c>
      <c r="E7210" t="s">
        <v>23</v>
      </c>
      <c r="F7210" t="s">
        <v>13675</v>
      </c>
    </row>
    <row r="7211" spans="1:10" x14ac:dyDescent="0.3">
      <c r="A7211" t="s">
        <v>13676</v>
      </c>
      <c r="B7211" t="s">
        <v>13677</v>
      </c>
      <c r="D7211">
        <v>0.5</v>
      </c>
      <c r="E7211" t="s">
        <v>91</v>
      </c>
      <c r="F7211" t="s">
        <v>81</v>
      </c>
    </row>
    <row r="7212" spans="1:10" x14ac:dyDescent="0.3">
      <c r="A7212" t="s">
        <v>13678</v>
      </c>
      <c r="B7212" t="s">
        <v>1204</v>
      </c>
      <c r="F7212" t="s">
        <v>1204</v>
      </c>
    </row>
    <row r="7213" spans="1:10" x14ac:dyDescent="0.3">
      <c r="A7213" t="s">
        <v>13679</v>
      </c>
      <c r="B7213" t="s">
        <v>773</v>
      </c>
      <c r="D7213">
        <v>1</v>
      </c>
      <c r="E7213" t="s">
        <v>11</v>
      </c>
      <c r="F7213" t="s">
        <v>88</v>
      </c>
    </row>
    <row r="7214" spans="1:10" x14ac:dyDescent="0.3">
      <c r="A7214" t="s">
        <v>13680</v>
      </c>
      <c r="B7214" t="s">
        <v>317</v>
      </c>
      <c r="F7214" t="s">
        <v>317</v>
      </c>
    </row>
    <row r="7215" spans="1:10" x14ac:dyDescent="0.3">
      <c r="A7215" t="s">
        <v>1012</v>
      </c>
      <c r="B7215" t="s">
        <v>211</v>
      </c>
      <c r="D7215">
        <v>1</v>
      </c>
      <c r="E7215" t="s">
        <v>11</v>
      </c>
      <c r="F7215" t="s">
        <v>57</v>
      </c>
    </row>
    <row r="7216" spans="1:10" x14ac:dyDescent="0.3">
      <c r="A7216" t="s">
        <v>2265</v>
      </c>
      <c r="B7216" t="s">
        <v>13681</v>
      </c>
      <c r="D7216">
        <v>120</v>
      </c>
      <c r="E7216" t="s">
        <v>2267</v>
      </c>
      <c r="F7216" t="s">
        <v>13682</v>
      </c>
    </row>
    <row r="7217" spans="1:10" x14ac:dyDescent="0.3">
      <c r="A7217" t="s">
        <v>4892</v>
      </c>
      <c r="B7217" t="s">
        <v>13683</v>
      </c>
      <c r="D7217">
        <v>0.25</v>
      </c>
      <c r="E7217" t="s">
        <v>284</v>
      </c>
      <c r="F7217" t="s">
        <v>13684</v>
      </c>
    </row>
    <row r="7218" spans="1:10" x14ac:dyDescent="0.3">
      <c r="A7218" t="s">
        <v>13685</v>
      </c>
      <c r="B7218" t="s">
        <v>13686</v>
      </c>
      <c r="D7218">
        <v>0.75</v>
      </c>
      <c r="E7218" t="s">
        <v>345</v>
      </c>
      <c r="F7218" t="s">
        <v>13687</v>
      </c>
    </row>
    <row r="7219" spans="1:10" x14ac:dyDescent="0.3">
      <c r="A7219" t="s">
        <v>13688</v>
      </c>
      <c r="B7219" t="s">
        <v>13689</v>
      </c>
      <c r="D7219">
        <v>1.5</v>
      </c>
      <c r="E7219" t="s">
        <v>345</v>
      </c>
      <c r="F7219" t="s">
        <v>13690</v>
      </c>
      <c r="J7219" t="s">
        <v>12462</v>
      </c>
    </row>
    <row r="7220" spans="1:10" x14ac:dyDescent="0.3">
      <c r="A7220" t="s">
        <v>994</v>
      </c>
      <c r="B7220" t="s">
        <v>8240</v>
      </c>
      <c r="D7220">
        <v>10.5</v>
      </c>
      <c r="E7220" t="s">
        <v>91</v>
      </c>
      <c r="F7220" t="s">
        <v>8241</v>
      </c>
    </row>
    <row r="7221" spans="1:10" x14ac:dyDescent="0.3">
      <c r="A7221" t="s">
        <v>13691</v>
      </c>
      <c r="B7221" t="s">
        <v>5305</v>
      </c>
      <c r="D7221">
        <v>0.5</v>
      </c>
      <c r="E7221" t="s">
        <v>23</v>
      </c>
      <c r="F7221" t="s">
        <v>171</v>
      </c>
    </row>
    <row r="7222" spans="1:10" x14ac:dyDescent="0.3">
      <c r="A7222" t="s">
        <v>13692</v>
      </c>
      <c r="B7222" t="s">
        <v>13693</v>
      </c>
      <c r="D7222">
        <v>1</v>
      </c>
      <c r="E7222" t="s">
        <v>2646</v>
      </c>
      <c r="F7222" t="s">
        <v>12503</v>
      </c>
    </row>
    <row r="7223" spans="1:10" x14ac:dyDescent="0.3">
      <c r="A7223" t="s">
        <v>13694</v>
      </c>
      <c r="B7223" t="s">
        <v>13695</v>
      </c>
      <c r="D7223">
        <v>10.5</v>
      </c>
      <c r="E7223" t="s">
        <v>23</v>
      </c>
      <c r="F7223" t="s">
        <v>220</v>
      </c>
    </row>
    <row r="7224" spans="1:10" x14ac:dyDescent="0.3">
      <c r="A7224" t="s">
        <v>1893</v>
      </c>
      <c r="B7224" t="s">
        <v>13696</v>
      </c>
      <c r="D7224">
        <v>4.5</v>
      </c>
      <c r="E7224" t="s">
        <v>13697</v>
      </c>
      <c r="F7224" t="s">
        <v>781</v>
      </c>
    </row>
    <row r="7225" spans="1:10" x14ac:dyDescent="0.3">
      <c r="A7225" t="s">
        <v>4413</v>
      </c>
      <c r="B7225" t="s">
        <v>13698</v>
      </c>
      <c r="D7225">
        <v>0.5</v>
      </c>
      <c r="E7225" t="s">
        <v>361</v>
      </c>
      <c r="F7225" t="s">
        <v>13699</v>
      </c>
    </row>
    <row r="7226" spans="1:10" x14ac:dyDescent="0.3">
      <c r="A7226" t="s">
        <v>4475</v>
      </c>
      <c r="B7226" t="s">
        <v>5954</v>
      </c>
      <c r="D7226">
        <v>2</v>
      </c>
      <c r="E7226" t="s">
        <v>23</v>
      </c>
      <c r="F7226" t="s">
        <v>524</v>
      </c>
    </row>
    <row r="7227" spans="1:10" x14ac:dyDescent="0.3">
      <c r="A7227" t="s">
        <v>13700</v>
      </c>
      <c r="B7227" t="s">
        <v>674</v>
      </c>
      <c r="D7227">
        <v>0.5</v>
      </c>
      <c r="E7227" t="s">
        <v>23</v>
      </c>
      <c r="F7227" t="s">
        <v>38</v>
      </c>
      <c r="H7227" t="s">
        <v>68</v>
      </c>
    </row>
    <row r="7228" spans="1:10" x14ac:dyDescent="0.3">
      <c r="A7228" t="s">
        <v>5369</v>
      </c>
      <c r="B7228" t="s">
        <v>13701</v>
      </c>
      <c r="D7228">
        <v>2</v>
      </c>
      <c r="E7228" t="s">
        <v>176</v>
      </c>
      <c r="F7228" t="s">
        <v>4924</v>
      </c>
    </row>
    <row r="7229" spans="1:10" x14ac:dyDescent="0.3">
      <c r="A7229" t="s">
        <v>1094</v>
      </c>
      <c r="B7229" t="s">
        <v>13702</v>
      </c>
      <c r="D7229">
        <v>1</v>
      </c>
      <c r="F7229" t="s">
        <v>1248</v>
      </c>
      <c r="G7229" t="s">
        <v>13703</v>
      </c>
      <c r="H7229" t="s">
        <v>2655</v>
      </c>
    </row>
    <row r="7230" spans="1:10" x14ac:dyDescent="0.3">
      <c r="A7230" t="s">
        <v>6383</v>
      </c>
      <c r="B7230" t="s">
        <v>13704</v>
      </c>
      <c r="D7230">
        <v>1</v>
      </c>
      <c r="F7230" t="s">
        <v>13705</v>
      </c>
      <c r="G7230" t="s">
        <v>13706</v>
      </c>
      <c r="J7230" t="s">
        <v>2963</v>
      </c>
    </row>
    <row r="7231" spans="1:10" x14ac:dyDescent="0.3">
      <c r="A7231" t="s">
        <v>13707</v>
      </c>
      <c r="B7231" t="s">
        <v>3600</v>
      </c>
      <c r="D7231">
        <v>1</v>
      </c>
      <c r="E7231" t="s">
        <v>11</v>
      </c>
      <c r="F7231" t="s">
        <v>2211</v>
      </c>
    </row>
    <row r="7232" spans="1:10" x14ac:dyDescent="0.3">
      <c r="A7232" t="s">
        <v>4259</v>
      </c>
      <c r="B7232" t="s">
        <v>13708</v>
      </c>
      <c r="D7232">
        <v>1</v>
      </c>
      <c r="E7232" t="s">
        <v>206</v>
      </c>
      <c r="F7232" t="s">
        <v>741</v>
      </c>
    </row>
    <row r="7233" spans="1:10" x14ac:dyDescent="0.3">
      <c r="A7233" t="s">
        <v>13709</v>
      </c>
      <c r="B7233" t="s">
        <v>4536</v>
      </c>
      <c r="D7233">
        <v>1</v>
      </c>
      <c r="E7233" t="s">
        <v>60</v>
      </c>
      <c r="F7233" t="s">
        <v>3353</v>
      </c>
    </row>
    <row r="7234" spans="1:10" x14ac:dyDescent="0.3">
      <c r="A7234" t="s">
        <v>13710</v>
      </c>
      <c r="B7234" t="s">
        <v>13711</v>
      </c>
      <c r="D7234">
        <v>0.5</v>
      </c>
      <c r="E7234" t="s">
        <v>23</v>
      </c>
      <c r="F7234" t="s">
        <v>2678</v>
      </c>
    </row>
    <row r="7235" spans="1:10" x14ac:dyDescent="0.3">
      <c r="A7235" t="s">
        <v>11850</v>
      </c>
      <c r="B7235" t="s">
        <v>13712</v>
      </c>
      <c r="D7235">
        <v>5</v>
      </c>
      <c r="E7235" t="s">
        <v>146</v>
      </c>
      <c r="F7235" t="s">
        <v>13713</v>
      </c>
    </row>
    <row r="7236" spans="1:10" x14ac:dyDescent="0.3">
      <c r="A7236" t="s">
        <v>13714</v>
      </c>
      <c r="B7236" t="s">
        <v>13715</v>
      </c>
      <c r="D7236">
        <v>25</v>
      </c>
      <c r="E7236" t="s">
        <v>29</v>
      </c>
      <c r="F7236" t="s">
        <v>365</v>
      </c>
    </row>
    <row r="7237" spans="1:10" x14ac:dyDescent="0.3">
      <c r="A7237" t="s">
        <v>13716</v>
      </c>
      <c r="B7237" t="s">
        <v>935</v>
      </c>
      <c r="D7237">
        <v>1</v>
      </c>
      <c r="E7237" t="s">
        <v>23</v>
      </c>
      <c r="F7237" t="s">
        <v>936</v>
      </c>
    </row>
    <row r="7238" spans="1:10" x14ac:dyDescent="0.3">
      <c r="A7238" t="s">
        <v>13717</v>
      </c>
      <c r="B7238" t="s">
        <v>13718</v>
      </c>
      <c r="D7238">
        <v>3</v>
      </c>
      <c r="F7238" t="s">
        <v>591</v>
      </c>
    </row>
    <row r="7239" spans="1:10" x14ac:dyDescent="0.3">
      <c r="A7239" t="s">
        <v>13719</v>
      </c>
      <c r="B7239" t="s">
        <v>13720</v>
      </c>
      <c r="D7239">
        <v>1.5</v>
      </c>
      <c r="E7239" t="s">
        <v>345</v>
      </c>
      <c r="F7239" t="s">
        <v>13721</v>
      </c>
      <c r="J7239" t="s">
        <v>12462</v>
      </c>
    </row>
    <row r="7240" spans="1:10" x14ac:dyDescent="0.3">
      <c r="A7240" t="s">
        <v>13722</v>
      </c>
      <c r="B7240" t="s">
        <v>13723</v>
      </c>
      <c r="F7240" t="s">
        <v>7377</v>
      </c>
      <c r="J7240" t="s">
        <v>13724</v>
      </c>
    </row>
    <row r="7241" spans="1:10" x14ac:dyDescent="0.3">
      <c r="A7241" t="s">
        <v>13725</v>
      </c>
      <c r="B7241" t="s">
        <v>1838</v>
      </c>
      <c r="D7241">
        <v>1.5</v>
      </c>
      <c r="E7241" t="s">
        <v>345</v>
      </c>
      <c r="F7241" t="s">
        <v>233</v>
      </c>
    </row>
    <row r="7242" spans="1:10" x14ac:dyDescent="0.3">
      <c r="A7242" t="s">
        <v>13726</v>
      </c>
      <c r="B7242" t="s">
        <v>4275</v>
      </c>
      <c r="D7242">
        <v>0.5</v>
      </c>
      <c r="E7242" t="s">
        <v>23</v>
      </c>
      <c r="F7242" t="s">
        <v>4276</v>
      </c>
    </row>
    <row r="7243" spans="1:10" x14ac:dyDescent="0.3">
      <c r="A7243" t="s">
        <v>13727</v>
      </c>
      <c r="B7243" t="s">
        <v>13728</v>
      </c>
      <c r="E7243" t="s">
        <v>2397</v>
      </c>
      <c r="F7243" t="s">
        <v>13729</v>
      </c>
      <c r="J7243" t="s">
        <v>1124</v>
      </c>
    </row>
    <row r="7244" spans="1:10" x14ac:dyDescent="0.3">
      <c r="A7244" t="s">
        <v>6332</v>
      </c>
      <c r="B7244" t="s">
        <v>3888</v>
      </c>
      <c r="D7244">
        <v>100</v>
      </c>
      <c r="E7244" t="s">
        <v>29</v>
      </c>
      <c r="F7244" t="s">
        <v>2138</v>
      </c>
    </row>
    <row r="7245" spans="1:10" x14ac:dyDescent="0.3">
      <c r="A7245" t="s">
        <v>13730</v>
      </c>
      <c r="B7245" t="s">
        <v>13731</v>
      </c>
      <c r="D7245">
        <v>1</v>
      </c>
      <c r="E7245" t="s">
        <v>37</v>
      </c>
      <c r="F7245" t="s">
        <v>13732</v>
      </c>
      <c r="J7245" t="s">
        <v>12462</v>
      </c>
    </row>
    <row r="7246" spans="1:10" x14ac:dyDescent="0.3">
      <c r="A7246" t="s">
        <v>13733</v>
      </c>
      <c r="B7246" t="s">
        <v>13734</v>
      </c>
      <c r="D7246">
        <v>10.5</v>
      </c>
      <c r="E7246" t="s">
        <v>23</v>
      </c>
      <c r="F7246" t="s">
        <v>1476</v>
      </c>
    </row>
    <row r="7247" spans="1:10" x14ac:dyDescent="0.3">
      <c r="A7247" t="s">
        <v>9680</v>
      </c>
      <c r="B7247" t="s">
        <v>3024</v>
      </c>
      <c r="D7247">
        <v>1</v>
      </c>
      <c r="E7247" t="s">
        <v>368</v>
      </c>
      <c r="F7247" t="s">
        <v>932</v>
      </c>
      <c r="J7247" t="s">
        <v>3025</v>
      </c>
    </row>
    <row r="7248" spans="1:10" x14ac:dyDescent="0.3">
      <c r="A7248" t="s">
        <v>13735</v>
      </c>
      <c r="B7248" t="s">
        <v>13736</v>
      </c>
      <c r="D7248">
        <v>2</v>
      </c>
      <c r="F7248" t="s">
        <v>13737</v>
      </c>
      <c r="J7248" t="s">
        <v>248</v>
      </c>
    </row>
    <row r="7249" spans="1:10" x14ac:dyDescent="0.3">
      <c r="A7249" t="s">
        <v>13738</v>
      </c>
      <c r="B7249" t="s">
        <v>13739</v>
      </c>
      <c r="D7249">
        <v>1</v>
      </c>
      <c r="E7249" t="s">
        <v>2646</v>
      </c>
      <c r="F7249" t="s">
        <v>2247</v>
      </c>
      <c r="J7249" t="s">
        <v>13740</v>
      </c>
    </row>
    <row r="7250" spans="1:10" x14ac:dyDescent="0.3">
      <c r="A7250" t="s">
        <v>13741</v>
      </c>
      <c r="B7250" t="s">
        <v>13742</v>
      </c>
      <c r="D7250">
        <v>0.75</v>
      </c>
      <c r="E7250" t="s">
        <v>37</v>
      </c>
      <c r="F7250" t="s">
        <v>13743</v>
      </c>
    </row>
    <row r="7251" spans="1:10" x14ac:dyDescent="0.3">
      <c r="A7251" t="s">
        <v>13744</v>
      </c>
      <c r="B7251" t="s">
        <v>2767</v>
      </c>
      <c r="F7251" t="s">
        <v>2767</v>
      </c>
    </row>
    <row r="7252" spans="1:10" x14ac:dyDescent="0.3">
      <c r="A7252" t="s">
        <v>485</v>
      </c>
      <c r="B7252" t="s">
        <v>637</v>
      </c>
      <c r="D7252">
        <v>1</v>
      </c>
      <c r="E7252" t="s">
        <v>23</v>
      </c>
      <c r="F7252" t="s">
        <v>638</v>
      </c>
    </row>
    <row r="7253" spans="1:10" x14ac:dyDescent="0.3">
      <c r="A7253" t="s">
        <v>13745</v>
      </c>
      <c r="B7253" t="s">
        <v>13746</v>
      </c>
      <c r="D7253">
        <v>1.5</v>
      </c>
      <c r="E7253" t="s">
        <v>23</v>
      </c>
      <c r="F7253" t="s">
        <v>716</v>
      </c>
    </row>
    <row r="7254" spans="1:10" x14ac:dyDescent="0.3">
      <c r="A7254" t="s">
        <v>4744</v>
      </c>
      <c r="B7254" t="s">
        <v>13747</v>
      </c>
      <c r="F7254" t="s">
        <v>241</v>
      </c>
      <c r="J7254" t="s">
        <v>99</v>
      </c>
    </row>
    <row r="7255" spans="1:10" x14ac:dyDescent="0.3">
      <c r="A7255" t="s">
        <v>9971</v>
      </c>
      <c r="B7255" t="s">
        <v>3350</v>
      </c>
      <c r="F7255" t="s">
        <v>3350</v>
      </c>
    </row>
    <row r="7256" spans="1:10" x14ac:dyDescent="0.3">
      <c r="A7256" t="s">
        <v>13748</v>
      </c>
      <c r="B7256" t="s">
        <v>4134</v>
      </c>
      <c r="D7256">
        <v>1</v>
      </c>
      <c r="E7256" t="s">
        <v>23</v>
      </c>
      <c r="F7256" t="s">
        <v>233</v>
      </c>
      <c r="J7256" t="s">
        <v>289</v>
      </c>
    </row>
    <row r="7257" spans="1:10" x14ac:dyDescent="0.3">
      <c r="A7257" t="s">
        <v>465</v>
      </c>
      <c r="B7257" t="s">
        <v>13749</v>
      </c>
      <c r="D7257">
        <v>1</v>
      </c>
      <c r="F7257" t="s">
        <v>8673</v>
      </c>
    </row>
    <row r="7258" spans="1:10" x14ac:dyDescent="0.3">
      <c r="A7258" t="s">
        <v>13448</v>
      </c>
      <c r="B7258" t="s">
        <v>98</v>
      </c>
      <c r="F7258" t="s">
        <v>98</v>
      </c>
    </row>
    <row r="7259" spans="1:10" x14ac:dyDescent="0.3">
      <c r="A7259" t="s">
        <v>13750</v>
      </c>
      <c r="B7259" t="s">
        <v>13751</v>
      </c>
      <c r="D7259">
        <v>0.25</v>
      </c>
      <c r="E7259" t="s">
        <v>11</v>
      </c>
      <c r="F7259" t="s">
        <v>13752</v>
      </c>
      <c r="J7259" t="s">
        <v>1470</v>
      </c>
    </row>
    <row r="7260" spans="1:10" x14ac:dyDescent="0.3">
      <c r="A7260" t="s">
        <v>5055</v>
      </c>
      <c r="B7260" t="s">
        <v>13753</v>
      </c>
      <c r="D7260">
        <v>15</v>
      </c>
      <c r="E7260" t="s">
        <v>29</v>
      </c>
      <c r="F7260" t="s">
        <v>1532</v>
      </c>
    </row>
    <row r="7261" spans="1:10" x14ac:dyDescent="0.3">
      <c r="A7261" t="s">
        <v>13754</v>
      </c>
      <c r="B7261" t="s">
        <v>5646</v>
      </c>
      <c r="D7261">
        <v>1</v>
      </c>
      <c r="E7261" t="s">
        <v>23</v>
      </c>
      <c r="F7261" t="s">
        <v>262</v>
      </c>
    </row>
    <row r="7262" spans="1:10" x14ac:dyDescent="0.3">
      <c r="A7262" t="s">
        <v>9943</v>
      </c>
      <c r="B7262" t="s">
        <v>13755</v>
      </c>
      <c r="D7262">
        <v>0.75</v>
      </c>
      <c r="E7262" t="s">
        <v>23</v>
      </c>
      <c r="F7262" t="s">
        <v>1295</v>
      </c>
    </row>
    <row r="7263" spans="1:10" x14ac:dyDescent="0.3">
      <c r="A7263" t="s">
        <v>5689</v>
      </c>
      <c r="B7263" t="s">
        <v>13756</v>
      </c>
      <c r="D7263">
        <v>4</v>
      </c>
      <c r="E7263" t="s">
        <v>23</v>
      </c>
      <c r="F7263" t="s">
        <v>13757</v>
      </c>
    </row>
    <row r="7264" spans="1:10" x14ac:dyDescent="0.3">
      <c r="A7264" t="s">
        <v>8279</v>
      </c>
      <c r="B7264" t="s">
        <v>13758</v>
      </c>
      <c r="D7264">
        <v>2</v>
      </c>
      <c r="E7264" t="s">
        <v>1785</v>
      </c>
      <c r="F7264" t="s">
        <v>5036</v>
      </c>
    </row>
    <row r="7265" spans="1:10" x14ac:dyDescent="0.3">
      <c r="A7265" t="s">
        <v>13759</v>
      </c>
      <c r="B7265" t="s">
        <v>13760</v>
      </c>
      <c r="D7265">
        <v>25</v>
      </c>
      <c r="E7265" t="s">
        <v>29</v>
      </c>
      <c r="F7265" t="s">
        <v>2207</v>
      </c>
    </row>
    <row r="7266" spans="1:10" x14ac:dyDescent="0.3">
      <c r="A7266" t="s">
        <v>13761</v>
      </c>
      <c r="B7266" t="s">
        <v>5054</v>
      </c>
      <c r="D7266">
        <v>0.5</v>
      </c>
      <c r="E7266" t="s">
        <v>23</v>
      </c>
      <c r="F7266" t="s">
        <v>638</v>
      </c>
    </row>
    <row r="7267" spans="1:10" x14ac:dyDescent="0.3">
      <c r="A7267" t="s">
        <v>11612</v>
      </c>
      <c r="B7267" t="s">
        <v>5192</v>
      </c>
      <c r="D7267">
        <v>2</v>
      </c>
      <c r="E7267" t="s">
        <v>23</v>
      </c>
      <c r="F7267" t="s">
        <v>233</v>
      </c>
    </row>
    <row r="7268" spans="1:10" x14ac:dyDescent="0.3">
      <c r="A7268" t="s">
        <v>13762</v>
      </c>
      <c r="B7268" t="s">
        <v>13763</v>
      </c>
      <c r="D7268">
        <v>10</v>
      </c>
      <c r="E7268" t="s">
        <v>23</v>
      </c>
      <c r="F7268" t="s">
        <v>7344</v>
      </c>
      <c r="J7268" t="s">
        <v>289</v>
      </c>
    </row>
    <row r="7269" spans="1:10" x14ac:dyDescent="0.3">
      <c r="A7269" t="s">
        <v>13764</v>
      </c>
      <c r="B7269" t="s">
        <v>8270</v>
      </c>
      <c r="D7269">
        <v>2</v>
      </c>
      <c r="E7269" t="s">
        <v>23</v>
      </c>
      <c r="F7269" t="s">
        <v>5448</v>
      </c>
    </row>
    <row r="7270" spans="1:10" x14ac:dyDescent="0.3">
      <c r="A7270" t="s">
        <v>6341</v>
      </c>
      <c r="B7270" t="s">
        <v>13765</v>
      </c>
      <c r="D7270">
        <v>5</v>
      </c>
      <c r="E7270" t="s">
        <v>2267</v>
      </c>
      <c r="F7270" t="s">
        <v>13766</v>
      </c>
      <c r="J7270" t="s">
        <v>13767</v>
      </c>
    </row>
    <row r="7271" spans="1:10" x14ac:dyDescent="0.3">
      <c r="A7271" t="s">
        <v>13768</v>
      </c>
      <c r="B7271" t="s">
        <v>1278</v>
      </c>
      <c r="D7271">
        <v>3</v>
      </c>
      <c r="E7271" t="s">
        <v>23</v>
      </c>
      <c r="F7271" t="s">
        <v>738</v>
      </c>
    </row>
    <row r="7272" spans="1:10" x14ac:dyDescent="0.3">
      <c r="A7272" t="s">
        <v>13769</v>
      </c>
      <c r="B7272" t="s">
        <v>3886</v>
      </c>
      <c r="D7272">
        <v>20</v>
      </c>
      <c r="E7272" t="s">
        <v>29</v>
      </c>
      <c r="F7272" t="s">
        <v>183</v>
      </c>
    </row>
    <row r="7273" spans="1:10" x14ac:dyDescent="0.3">
      <c r="A7273" t="s">
        <v>13770</v>
      </c>
      <c r="B7273" t="s">
        <v>13771</v>
      </c>
      <c r="D7273">
        <v>4</v>
      </c>
      <c r="E7273" t="s">
        <v>345</v>
      </c>
      <c r="F7273" t="s">
        <v>9161</v>
      </c>
      <c r="G7273" t="s">
        <v>167</v>
      </c>
      <c r="H7273" t="s">
        <v>68</v>
      </c>
      <c r="J7273" t="s">
        <v>1177</v>
      </c>
    </row>
    <row r="7274" spans="1:10" x14ac:dyDescent="0.3">
      <c r="A7274" t="s">
        <v>13010</v>
      </c>
      <c r="B7274" t="s">
        <v>4999</v>
      </c>
      <c r="D7274">
        <v>1.5</v>
      </c>
      <c r="E7274" t="s">
        <v>23</v>
      </c>
      <c r="F7274" t="s">
        <v>880</v>
      </c>
    </row>
    <row r="7275" spans="1:10" x14ac:dyDescent="0.3">
      <c r="A7275" t="s">
        <v>13772</v>
      </c>
      <c r="B7275" t="s">
        <v>13773</v>
      </c>
      <c r="D7275">
        <v>0.33</v>
      </c>
      <c r="E7275" t="s">
        <v>23</v>
      </c>
      <c r="F7275" t="s">
        <v>30</v>
      </c>
    </row>
    <row r="7276" spans="1:10" x14ac:dyDescent="0.3">
      <c r="A7276" t="s">
        <v>13774</v>
      </c>
      <c r="B7276" t="s">
        <v>5161</v>
      </c>
      <c r="F7276" t="s">
        <v>5161</v>
      </c>
    </row>
    <row r="7277" spans="1:10" x14ac:dyDescent="0.3">
      <c r="A7277" t="s">
        <v>13775</v>
      </c>
      <c r="B7277" t="s">
        <v>13776</v>
      </c>
      <c r="D7277">
        <v>100</v>
      </c>
      <c r="E7277" t="s">
        <v>29</v>
      </c>
      <c r="F7277" t="s">
        <v>6273</v>
      </c>
    </row>
    <row r="7278" spans="1:10" x14ac:dyDescent="0.3">
      <c r="A7278" t="s">
        <v>13777</v>
      </c>
      <c r="B7278" t="s">
        <v>13778</v>
      </c>
      <c r="D7278">
        <v>0.5</v>
      </c>
      <c r="E7278" t="s">
        <v>206</v>
      </c>
      <c r="F7278" t="s">
        <v>13779</v>
      </c>
      <c r="J7278" t="s">
        <v>13780</v>
      </c>
    </row>
    <row r="7279" spans="1:10" x14ac:dyDescent="0.3">
      <c r="A7279" t="s">
        <v>13707</v>
      </c>
      <c r="B7279" t="s">
        <v>6633</v>
      </c>
      <c r="D7279">
        <v>1</v>
      </c>
      <c r="E7279" t="s">
        <v>11</v>
      </c>
      <c r="F7279" t="s">
        <v>13781</v>
      </c>
    </row>
    <row r="7280" spans="1:10" x14ac:dyDescent="0.3">
      <c r="A7280" t="s">
        <v>13782</v>
      </c>
      <c r="B7280" t="s">
        <v>2705</v>
      </c>
      <c r="D7280">
        <v>0.5</v>
      </c>
      <c r="E7280" t="s">
        <v>361</v>
      </c>
      <c r="F7280" t="s">
        <v>2706</v>
      </c>
    </row>
    <row r="7281" spans="1:10" x14ac:dyDescent="0.3">
      <c r="A7281" t="s">
        <v>3170</v>
      </c>
      <c r="B7281" t="s">
        <v>13783</v>
      </c>
      <c r="D7281">
        <v>0.5</v>
      </c>
      <c r="E7281" t="s">
        <v>284</v>
      </c>
      <c r="F7281" t="s">
        <v>4975</v>
      </c>
      <c r="G7281" t="s">
        <v>4502</v>
      </c>
      <c r="J7281" t="s">
        <v>325</v>
      </c>
    </row>
    <row r="7282" spans="1:10" x14ac:dyDescent="0.3">
      <c r="A7282" t="s">
        <v>2951</v>
      </c>
      <c r="B7282" t="s">
        <v>13784</v>
      </c>
      <c r="D7282">
        <v>4</v>
      </c>
      <c r="E7282" t="s">
        <v>91</v>
      </c>
      <c r="F7282" t="s">
        <v>57</v>
      </c>
    </row>
    <row r="7283" spans="1:10" x14ac:dyDescent="0.3">
      <c r="A7283" t="s">
        <v>13785</v>
      </c>
      <c r="B7283" t="s">
        <v>13786</v>
      </c>
      <c r="F7283" t="s">
        <v>13786</v>
      </c>
    </row>
    <row r="7284" spans="1:10" x14ac:dyDescent="0.3">
      <c r="A7284" t="s">
        <v>13787</v>
      </c>
      <c r="B7284" t="s">
        <v>13788</v>
      </c>
      <c r="D7284">
        <v>0.25</v>
      </c>
      <c r="E7284" t="s">
        <v>11</v>
      </c>
      <c r="F7284" t="s">
        <v>12569</v>
      </c>
      <c r="J7284" t="s">
        <v>1470</v>
      </c>
    </row>
    <row r="7285" spans="1:10" x14ac:dyDescent="0.3">
      <c r="A7285" t="s">
        <v>5768</v>
      </c>
      <c r="B7285" t="s">
        <v>13789</v>
      </c>
      <c r="D7285">
        <v>25</v>
      </c>
      <c r="E7285" t="s">
        <v>29</v>
      </c>
      <c r="F7285" t="s">
        <v>3403</v>
      </c>
    </row>
    <row r="7286" spans="1:10" x14ac:dyDescent="0.3">
      <c r="A7286" t="s">
        <v>10849</v>
      </c>
      <c r="B7286" t="s">
        <v>8110</v>
      </c>
      <c r="D7286">
        <v>0.5</v>
      </c>
      <c r="E7286" t="s">
        <v>37</v>
      </c>
      <c r="F7286" t="s">
        <v>38</v>
      </c>
      <c r="G7286" t="s">
        <v>167</v>
      </c>
      <c r="H7286" t="s">
        <v>13790</v>
      </c>
    </row>
    <row r="7287" spans="1:10" x14ac:dyDescent="0.3">
      <c r="A7287" t="s">
        <v>13791</v>
      </c>
      <c r="B7287" t="s">
        <v>13792</v>
      </c>
      <c r="F7287" t="s">
        <v>399</v>
      </c>
      <c r="J7287" t="s">
        <v>13793</v>
      </c>
    </row>
    <row r="7288" spans="1:10" x14ac:dyDescent="0.3">
      <c r="A7288" t="s">
        <v>13794</v>
      </c>
      <c r="B7288" t="s">
        <v>3782</v>
      </c>
      <c r="D7288">
        <v>10</v>
      </c>
      <c r="E7288" t="s">
        <v>29</v>
      </c>
      <c r="F7288" t="s">
        <v>30</v>
      </c>
    </row>
    <row r="7289" spans="1:10" x14ac:dyDescent="0.3">
      <c r="A7289" t="s">
        <v>13795</v>
      </c>
      <c r="B7289" t="s">
        <v>13796</v>
      </c>
      <c r="D7289">
        <v>1</v>
      </c>
      <c r="E7289" t="s">
        <v>227</v>
      </c>
      <c r="F7289" t="s">
        <v>253</v>
      </c>
    </row>
    <row r="7290" spans="1:10" x14ac:dyDescent="0.3">
      <c r="A7290" t="s">
        <v>5230</v>
      </c>
      <c r="B7290" t="s">
        <v>9242</v>
      </c>
      <c r="D7290">
        <v>4</v>
      </c>
      <c r="E7290" t="s">
        <v>91</v>
      </c>
      <c r="F7290" t="s">
        <v>9243</v>
      </c>
    </row>
    <row r="7291" spans="1:10" x14ac:dyDescent="0.3">
      <c r="A7291" t="s">
        <v>13797</v>
      </c>
      <c r="B7291" t="s">
        <v>10321</v>
      </c>
      <c r="D7291">
        <v>20</v>
      </c>
      <c r="E7291" t="s">
        <v>29</v>
      </c>
      <c r="F7291" t="s">
        <v>199</v>
      </c>
    </row>
    <row r="7292" spans="1:10" x14ac:dyDescent="0.3">
      <c r="A7292" t="s">
        <v>1677</v>
      </c>
      <c r="B7292" t="s">
        <v>4179</v>
      </c>
      <c r="D7292">
        <v>0.75</v>
      </c>
      <c r="E7292" t="s">
        <v>23</v>
      </c>
      <c r="F7292" t="s">
        <v>380</v>
      </c>
    </row>
    <row r="7293" spans="1:10" x14ac:dyDescent="0.3">
      <c r="A7293" t="s">
        <v>13798</v>
      </c>
      <c r="B7293" t="s">
        <v>13511</v>
      </c>
      <c r="D7293">
        <v>1</v>
      </c>
      <c r="E7293" t="s">
        <v>11</v>
      </c>
      <c r="F7293" t="s">
        <v>857</v>
      </c>
    </row>
    <row r="7294" spans="1:10" x14ac:dyDescent="0.3">
      <c r="A7294" t="s">
        <v>13799</v>
      </c>
      <c r="B7294" t="s">
        <v>13800</v>
      </c>
      <c r="D7294">
        <v>0.5</v>
      </c>
      <c r="E7294" t="s">
        <v>23</v>
      </c>
      <c r="F7294" t="s">
        <v>4035</v>
      </c>
    </row>
    <row r="7295" spans="1:10" x14ac:dyDescent="0.3">
      <c r="A7295" t="s">
        <v>11968</v>
      </c>
      <c r="B7295" t="s">
        <v>13801</v>
      </c>
      <c r="D7295">
        <v>1</v>
      </c>
      <c r="E7295" t="s">
        <v>11</v>
      </c>
      <c r="F7295" t="s">
        <v>13802</v>
      </c>
    </row>
    <row r="7296" spans="1:10" x14ac:dyDescent="0.3">
      <c r="A7296" t="s">
        <v>13803</v>
      </c>
      <c r="B7296" t="s">
        <v>13804</v>
      </c>
      <c r="D7296">
        <v>100</v>
      </c>
      <c r="E7296" t="s">
        <v>29</v>
      </c>
      <c r="F7296" t="s">
        <v>13805</v>
      </c>
      <c r="J7296" t="s">
        <v>3310</v>
      </c>
    </row>
    <row r="7297" spans="1:10" x14ac:dyDescent="0.3">
      <c r="A7297" t="s">
        <v>13806</v>
      </c>
      <c r="B7297" t="s">
        <v>3687</v>
      </c>
      <c r="D7297">
        <v>200</v>
      </c>
      <c r="E7297" t="s">
        <v>29</v>
      </c>
      <c r="F7297" t="s">
        <v>3132</v>
      </c>
    </row>
    <row r="7298" spans="1:10" x14ac:dyDescent="0.3">
      <c r="A7298" t="s">
        <v>13807</v>
      </c>
      <c r="B7298" t="s">
        <v>13808</v>
      </c>
      <c r="F7298" t="s">
        <v>13808</v>
      </c>
    </row>
    <row r="7299" spans="1:10" x14ac:dyDescent="0.3">
      <c r="A7299" t="s">
        <v>13809</v>
      </c>
      <c r="B7299" t="s">
        <v>13810</v>
      </c>
      <c r="D7299">
        <v>10.5</v>
      </c>
      <c r="E7299" t="s">
        <v>91</v>
      </c>
      <c r="F7299" t="s">
        <v>13811</v>
      </c>
    </row>
    <row r="7300" spans="1:10" x14ac:dyDescent="0.3">
      <c r="A7300" t="s">
        <v>13812</v>
      </c>
      <c r="B7300" t="s">
        <v>13813</v>
      </c>
      <c r="D7300">
        <v>1.5</v>
      </c>
      <c r="E7300" t="s">
        <v>23</v>
      </c>
      <c r="F7300" t="s">
        <v>2067</v>
      </c>
    </row>
    <row r="7301" spans="1:10" x14ac:dyDescent="0.3">
      <c r="A7301" t="s">
        <v>13814</v>
      </c>
      <c r="B7301" t="s">
        <v>13815</v>
      </c>
      <c r="D7301">
        <v>2</v>
      </c>
      <c r="E7301" t="s">
        <v>23</v>
      </c>
      <c r="F7301" t="s">
        <v>13816</v>
      </c>
    </row>
    <row r="7302" spans="1:10" x14ac:dyDescent="0.3">
      <c r="A7302" t="s">
        <v>3167</v>
      </c>
      <c r="B7302" t="s">
        <v>13817</v>
      </c>
      <c r="D7302">
        <v>2</v>
      </c>
      <c r="E7302" t="s">
        <v>345</v>
      </c>
      <c r="F7302" t="s">
        <v>4137</v>
      </c>
    </row>
    <row r="7303" spans="1:10" x14ac:dyDescent="0.3">
      <c r="A7303" t="s">
        <v>1001</v>
      </c>
      <c r="B7303" t="s">
        <v>9353</v>
      </c>
      <c r="D7303">
        <v>1.5</v>
      </c>
      <c r="E7303" t="s">
        <v>91</v>
      </c>
      <c r="F7303" t="s">
        <v>9354</v>
      </c>
    </row>
    <row r="7304" spans="1:10" x14ac:dyDescent="0.3">
      <c r="A7304" t="s">
        <v>5660</v>
      </c>
      <c r="B7304" t="s">
        <v>13818</v>
      </c>
      <c r="E7304" t="s">
        <v>236</v>
      </c>
      <c r="F7304" t="s">
        <v>1984</v>
      </c>
      <c r="J7304" t="s">
        <v>13819</v>
      </c>
    </row>
    <row r="7305" spans="1:10" x14ac:dyDescent="0.3">
      <c r="A7305" t="s">
        <v>6746</v>
      </c>
      <c r="B7305" t="s">
        <v>13820</v>
      </c>
      <c r="D7305">
        <v>0.75</v>
      </c>
      <c r="E7305" t="s">
        <v>37</v>
      </c>
      <c r="F7305" t="s">
        <v>2602</v>
      </c>
    </row>
    <row r="7306" spans="1:10" x14ac:dyDescent="0.3">
      <c r="A7306" t="s">
        <v>8768</v>
      </c>
      <c r="B7306" t="s">
        <v>6392</v>
      </c>
      <c r="D7306">
        <v>2</v>
      </c>
      <c r="E7306" t="s">
        <v>189</v>
      </c>
      <c r="F7306" t="s">
        <v>2214</v>
      </c>
    </row>
    <row r="7307" spans="1:10" x14ac:dyDescent="0.3">
      <c r="A7307" t="s">
        <v>13821</v>
      </c>
      <c r="B7307" t="s">
        <v>13822</v>
      </c>
      <c r="D7307">
        <v>2</v>
      </c>
      <c r="F7307" t="s">
        <v>1193</v>
      </c>
    </row>
    <row r="7308" spans="1:10" x14ac:dyDescent="0.3">
      <c r="A7308" t="s">
        <v>2738</v>
      </c>
      <c r="B7308" t="s">
        <v>13823</v>
      </c>
      <c r="D7308">
        <v>125</v>
      </c>
      <c r="E7308" t="s">
        <v>29</v>
      </c>
      <c r="F7308" t="s">
        <v>13824</v>
      </c>
      <c r="J7308" t="s">
        <v>1470</v>
      </c>
    </row>
    <row r="7309" spans="1:10" x14ac:dyDescent="0.3">
      <c r="A7309" t="s">
        <v>13825</v>
      </c>
      <c r="B7309" t="s">
        <v>13826</v>
      </c>
      <c r="D7309">
        <v>1.5</v>
      </c>
      <c r="E7309" t="s">
        <v>23</v>
      </c>
      <c r="F7309" t="s">
        <v>7925</v>
      </c>
    </row>
    <row r="7310" spans="1:10" x14ac:dyDescent="0.3">
      <c r="A7310" t="s">
        <v>9001</v>
      </c>
      <c r="B7310" t="s">
        <v>13827</v>
      </c>
      <c r="D7310">
        <v>25</v>
      </c>
      <c r="E7310" t="s">
        <v>23</v>
      </c>
      <c r="F7310" t="s">
        <v>12503</v>
      </c>
    </row>
    <row r="7311" spans="1:10" x14ac:dyDescent="0.3">
      <c r="A7311" t="s">
        <v>13828</v>
      </c>
      <c r="B7311" t="s">
        <v>183</v>
      </c>
      <c r="F7311" t="s">
        <v>183</v>
      </c>
    </row>
    <row r="7312" spans="1:10" x14ac:dyDescent="0.3">
      <c r="A7312" t="s">
        <v>5562</v>
      </c>
      <c r="B7312" t="s">
        <v>13829</v>
      </c>
      <c r="D7312">
        <v>1</v>
      </c>
      <c r="E7312" t="s">
        <v>1843</v>
      </c>
      <c r="F7312" t="s">
        <v>13830</v>
      </c>
    </row>
    <row r="7313" spans="1:10" x14ac:dyDescent="0.3">
      <c r="A7313" t="s">
        <v>3231</v>
      </c>
      <c r="B7313" t="s">
        <v>13831</v>
      </c>
      <c r="D7313">
        <v>2</v>
      </c>
      <c r="E7313" t="s">
        <v>189</v>
      </c>
      <c r="F7313" t="s">
        <v>13832</v>
      </c>
    </row>
    <row r="7314" spans="1:10" x14ac:dyDescent="0.3">
      <c r="A7314" t="s">
        <v>13833</v>
      </c>
      <c r="B7314" t="s">
        <v>13834</v>
      </c>
      <c r="D7314">
        <v>0.75</v>
      </c>
      <c r="E7314" t="s">
        <v>23</v>
      </c>
      <c r="F7314" t="s">
        <v>1558</v>
      </c>
    </row>
    <row r="7315" spans="1:10" x14ac:dyDescent="0.3">
      <c r="A7315" t="s">
        <v>13835</v>
      </c>
      <c r="B7315" t="s">
        <v>13836</v>
      </c>
      <c r="D7315">
        <v>2</v>
      </c>
      <c r="E7315" t="s">
        <v>473</v>
      </c>
      <c r="F7315" t="s">
        <v>13837</v>
      </c>
    </row>
    <row r="7316" spans="1:10" x14ac:dyDescent="0.3">
      <c r="A7316" t="s">
        <v>13838</v>
      </c>
      <c r="B7316" t="s">
        <v>13839</v>
      </c>
      <c r="D7316">
        <v>1</v>
      </c>
      <c r="E7316" t="s">
        <v>13840</v>
      </c>
      <c r="F7316" t="s">
        <v>9235</v>
      </c>
      <c r="J7316" t="s">
        <v>289</v>
      </c>
    </row>
    <row r="7317" spans="1:10" x14ac:dyDescent="0.3">
      <c r="A7317" t="s">
        <v>13841</v>
      </c>
      <c r="B7317" t="s">
        <v>5429</v>
      </c>
      <c r="D7317">
        <v>1</v>
      </c>
      <c r="E7317" t="s">
        <v>11</v>
      </c>
      <c r="F7317" t="s">
        <v>5430</v>
      </c>
    </row>
    <row r="7318" spans="1:10" x14ac:dyDescent="0.3">
      <c r="A7318" t="s">
        <v>4743</v>
      </c>
      <c r="B7318" t="s">
        <v>856</v>
      </c>
      <c r="D7318">
        <v>15</v>
      </c>
      <c r="E7318" t="s">
        <v>29</v>
      </c>
      <c r="F7318" t="s">
        <v>857</v>
      </c>
    </row>
    <row r="7319" spans="1:10" x14ac:dyDescent="0.3">
      <c r="A7319" t="s">
        <v>13842</v>
      </c>
      <c r="B7319" t="s">
        <v>13843</v>
      </c>
      <c r="D7319">
        <v>0.75</v>
      </c>
      <c r="E7319" t="s">
        <v>23</v>
      </c>
      <c r="F7319" t="s">
        <v>2614</v>
      </c>
      <c r="J7319" t="s">
        <v>10925</v>
      </c>
    </row>
    <row r="7320" spans="1:10" x14ac:dyDescent="0.3">
      <c r="A7320" t="s">
        <v>13844</v>
      </c>
      <c r="B7320" t="s">
        <v>13845</v>
      </c>
      <c r="D7320">
        <v>0.5</v>
      </c>
      <c r="E7320" t="s">
        <v>50</v>
      </c>
      <c r="F7320" t="s">
        <v>333</v>
      </c>
    </row>
    <row r="7321" spans="1:10" x14ac:dyDescent="0.3">
      <c r="A7321" t="s">
        <v>13846</v>
      </c>
      <c r="B7321" t="s">
        <v>13847</v>
      </c>
      <c r="F7321" t="s">
        <v>1561</v>
      </c>
      <c r="H7321" t="s">
        <v>13848</v>
      </c>
    </row>
    <row r="7322" spans="1:10" x14ac:dyDescent="0.3">
      <c r="A7322" t="s">
        <v>13849</v>
      </c>
      <c r="B7322" t="s">
        <v>10816</v>
      </c>
      <c r="D7322">
        <v>1</v>
      </c>
      <c r="E7322" t="s">
        <v>361</v>
      </c>
      <c r="F7322" t="s">
        <v>2166</v>
      </c>
      <c r="G7322" t="s">
        <v>3326</v>
      </c>
    </row>
    <row r="7323" spans="1:10" x14ac:dyDescent="0.3">
      <c r="A7323" t="s">
        <v>13850</v>
      </c>
      <c r="B7323" t="s">
        <v>13851</v>
      </c>
      <c r="D7323">
        <v>120</v>
      </c>
      <c r="E7323" t="s">
        <v>29</v>
      </c>
      <c r="F7323" t="s">
        <v>253</v>
      </c>
    </row>
    <row r="7324" spans="1:10" x14ac:dyDescent="0.3">
      <c r="A7324" t="s">
        <v>12560</v>
      </c>
      <c r="B7324" t="s">
        <v>1204</v>
      </c>
      <c r="F7324" t="s">
        <v>1204</v>
      </c>
    </row>
    <row r="7325" spans="1:10" x14ac:dyDescent="0.3">
      <c r="A7325" t="s">
        <v>13852</v>
      </c>
      <c r="B7325" t="s">
        <v>13853</v>
      </c>
      <c r="D7325">
        <v>1</v>
      </c>
      <c r="E7325" t="s">
        <v>11</v>
      </c>
      <c r="F7325" t="s">
        <v>64</v>
      </c>
    </row>
    <row r="7326" spans="1:10" x14ac:dyDescent="0.3">
      <c r="A7326" t="s">
        <v>13854</v>
      </c>
      <c r="B7326" t="s">
        <v>13855</v>
      </c>
      <c r="D7326">
        <v>1</v>
      </c>
      <c r="E7326" t="s">
        <v>23</v>
      </c>
      <c r="F7326" t="s">
        <v>13856</v>
      </c>
    </row>
    <row r="7327" spans="1:10" x14ac:dyDescent="0.3">
      <c r="A7327" t="s">
        <v>12719</v>
      </c>
      <c r="B7327" t="s">
        <v>13857</v>
      </c>
      <c r="D7327">
        <v>2</v>
      </c>
      <c r="E7327" t="s">
        <v>206</v>
      </c>
      <c r="F7327" t="s">
        <v>220</v>
      </c>
    </row>
    <row r="7328" spans="1:10" x14ac:dyDescent="0.3">
      <c r="A7328" t="s">
        <v>13858</v>
      </c>
      <c r="B7328" t="s">
        <v>3070</v>
      </c>
      <c r="D7328">
        <v>1.5</v>
      </c>
      <c r="E7328" t="s">
        <v>345</v>
      </c>
      <c r="F7328" t="s">
        <v>3071</v>
      </c>
    </row>
    <row r="7329" spans="1:10" x14ac:dyDescent="0.3">
      <c r="A7329" t="s">
        <v>3550</v>
      </c>
      <c r="B7329" t="s">
        <v>3394</v>
      </c>
      <c r="D7329">
        <v>150</v>
      </c>
      <c r="E7329" t="s">
        <v>29</v>
      </c>
      <c r="F7329" t="s">
        <v>3395</v>
      </c>
    </row>
    <row r="7330" spans="1:10" x14ac:dyDescent="0.3">
      <c r="A7330" t="s">
        <v>8367</v>
      </c>
      <c r="B7330" t="s">
        <v>13859</v>
      </c>
      <c r="D7330">
        <v>0.67</v>
      </c>
      <c r="E7330" t="s">
        <v>23</v>
      </c>
      <c r="F7330" t="s">
        <v>288</v>
      </c>
    </row>
    <row r="7331" spans="1:10" x14ac:dyDescent="0.3">
      <c r="A7331" t="s">
        <v>8690</v>
      </c>
      <c r="B7331" t="s">
        <v>13860</v>
      </c>
      <c r="D7331" t="s">
        <v>546</v>
      </c>
      <c r="E7331" t="s">
        <v>23</v>
      </c>
      <c r="F7331" t="s">
        <v>253</v>
      </c>
      <c r="J7331" t="s">
        <v>548</v>
      </c>
    </row>
    <row r="7332" spans="1:10" x14ac:dyDescent="0.3">
      <c r="A7332" t="s">
        <v>13861</v>
      </c>
      <c r="B7332" t="s">
        <v>13862</v>
      </c>
      <c r="F7332" t="s">
        <v>13863</v>
      </c>
      <c r="J7332" t="s">
        <v>65</v>
      </c>
    </row>
    <row r="7333" spans="1:10" x14ac:dyDescent="0.3">
      <c r="A7333" t="s">
        <v>13864</v>
      </c>
      <c r="B7333" t="s">
        <v>6978</v>
      </c>
      <c r="D7333">
        <v>50</v>
      </c>
      <c r="E7333" t="s">
        <v>29</v>
      </c>
      <c r="F7333" t="s">
        <v>738</v>
      </c>
    </row>
    <row r="7334" spans="1:10" x14ac:dyDescent="0.3">
      <c r="A7334" t="s">
        <v>13865</v>
      </c>
      <c r="B7334" t="s">
        <v>13866</v>
      </c>
      <c r="D7334" t="s">
        <v>665</v>
      </c>
      <c r="E7334" t="s">
        <v>189</v>
      </c>
      <c r="F7334" t="s">
        <v>13867</v>
      </c>
      <c r="J7334" t="s">
        <v>548</v>
      </c>
    </row>
    <row r="7335" spans="1:10" x14ac:dyDescent="0.3">
      <c r="A7335" t="s">
        <v>13868</v>
      </c>
      <c r="B7335" t="s">
        <v>13869</v>
      </c>
      <c r="D7335">
        <v>4</v>
      </c>
      <c r="E7335" t="s">
        <v>23</v>
      </c>
      <c r="F7335" t="s">
        <v>12617</v>
      </c>
    </row>
    <row r="7336" spans="1:10" x14ac:dyDescent="0.3">
      <c r="A7336" t="s">
        <v>2195</v>
      </c>
      <c r="B7336" t="s">
        <v>13870</v>
      </c>
      <c r="E7336" t="s">
        <v>84</v>
      </c>
      <c r="F7336" t="s">
        <v>518</v>
      </c>
      <c r="J7336" t="s">
        <v>1968</v>
      </c>
    </row>
    <row r="7337" spans="1:10" x14ac:dyDescent="0.3">
      <c r="A7337" t="s">
        <v>13871</v>
      </c>
      <c r="B7337" t="s">
        <v>13872</v>
      </c>
      <c r="D7337">
        <v>3</v>
      </c>
      <c r="E7337" t="s">
        <v>473</v>
      </c>
      <c r="F7337" t="s">
        <v>38</v>
      </c>
      <c r="G7337" t="s">
        <v>167</v>
      </c>
      <c r="H7337" t="s">
        <v>168</v>
      </c>
    </row>
    <row r="7338" spans="1:10" x14ac:dyDescent="0.3">
      <c r="A7338" t="s">
        <v>5812</v>
      </c>
      <c r="B7338" t="s">
        <v>13873</v>
      </c>
      <c r="D7338">
        <v>1</v>
      </c>
      <c r="E7338" t="s">
        <v>11</v>
      </c>
      <c r="F7338" t="s">
        <v>13874</v>
      </c>
    </row>
    <row r="7339" spans="1:10" x14ac:dyDescent="0.3">
      <c r="A7339" t="s">
        <v>13875</v>
      </c>
      <c r="B7339" t="s">
        <v>13876</v>
      </c>
      <c r="D7339">
        <v>3</v>
      </c>
      <c r="E7339" t="s">
        <v>2006</v>
      </c>
      <c r="F7339" t="s">
        <v>13877</v>
      </c>
    </row>
    <row r="7340" spans="1:10" x14ac:dyDescent="0.3">
      <c r="A7340" t="s">
        <v>2159</v>
      </c>
      <c r="B7340" t="s">
        <v>486</v>
      </c>
      <c r="D7340">
        <v>1</v>
      </c>
      <c r="E7340" t="s">
        <v>23</v>
      </c>
      <c r="F7340" t="s">
        <v>13878</v>
      </c>
    </row>
    <row r="7341" spans="1:10" x14ac:dyDescent="0.3">
      <c r="A7341" t="s">
        <v>13879</v>
      </c>
      <c r="B7341" t="s">
        <v>13880</v>
      </c>
      <c r="D7341">
        <v>2</v>
      </c>
      <c r="E7341" t="s">
        <v>227</v>
      </c>
      <c r="F7341" t="s">
        <v>13881</v>
      </c>
      <c r="G7341" t="s">
        <v>1014</v>
      </c>
    </row>
    <row r="7342" spans="1:10" x14ac:dyDescent="0.3">
      <c r="A7342" t="s">
        <v>3314</v>
      </c>
      <c r="B7342" t="s">
        <v>13882</v>
      </c>
      <c r="D7342">
        <v>1</v>
      </c>
      <c r="F7342" t="s">
        <v>13883</v>
      </c>
    </row>
    <row r="7343" spans="1:10" x14ac:dyDescent="0.3">
      <c r="A7343" t="s">
        <v>1275</v>
      </c>
      <c r="B7343" t="s">
        <v>13884</v>
      </c>
      <c r="D7343">
        <v>12.5</v>
      </c>
      <c r="E7343" t="s">
        <v>29</v>
      </c>
      <c r="F7343" t="s">
        <v>738</v>
      </c>
    </row>
    <row r="7344" spans="1:10" x14ac:dyDescent="0.3">
      <c r="A7344" t="s">
        <v>9257</v>
      </c>
      <c r="B7344" t="s">
        <v>13885</v>
      </c>
      <c r="D7344">
        <v>0.5</v>
      </c>
      <c r="F7344" t="s">
        <v>8215</v>
      </c>
    </row>
    <row r="7345" spans="1:6" x14ac:dyDescent="0.3">
      <c r="A7345" t="s">
        <v>13886</v>
      </c>
      <c r="B7345" t="s">
        <v>13887</v>
      </c>
      <c r="D7345">
        <v>3</v>
      </c>
      <c r="E7345" t="s">
        <v>23</v>
      </c>
      <c r="F7345" t="s">
        <v>365</v>
      </c>
    </row>
    <row r="7346" spans="1:6" x14ac:dyDescent="0.3">
      <c r="A7346" t="s">
        <v>3743</v>
      </c>
      <c r="B7346" t="s">
        <v>3261</v>
      </c>
      <c r="D7346">
        <v>2</v>
      </c>
      <c r="E7346" t="s">
        <v>176</v>
      </c>
      <c r="F7346" t="s">
        <v>877</v>
      </c>
    </row>
    <row r="7347" spans="1:6" x14ac:dyDescent="0.3">
      <c r="A7347" t="s">
        <v>6448</v>
      </c>
      <c r="B7347" t="s">
        <v>13888</v>
      </c>
      <c r="D7347">
        <v>1.5</v>
      </c>
      <c r="E7347" t="s">
        <v>23</v>
      </c>
      <c r="F7347" t="s">
        <v>2552</v>
      </c>
    </row>
    <row r="7348" spans="1:6" x14ac:dyDescent="0.3">
      <c r="A7348" t="s">
        <v>13889</v>
      </c>
      <c r="B7348" t="s">
        <v>7037</v>
      </c>
      <c r="D7348">
        <v>10</v>
      </c>
      <c r="E7348" t="s">
        <v>29</v>
      </c>
      <c r="F7348" t="s">
        <v>115</v>
      </c>
    </row>
    <row r="7349" spans="1:6" x14ac:dyDescent="0.3">
      <c r="A7349" t="s">
        <v>13890</v>
      </c>
      <c r="B7349" t="s">
        <v>13891</v>
      </c>
      <c r="D7349">
        <v>3</v>
      </c>
      <c r="E7349" t="s">
        <v>13892</v>
      </c>
      <c r="F7349" t="s">
        <v>152</v>
      </c>
    </row>
    <row r="7350" spans="1:6" x14ac:dyDescent="0.3">
      <c r="A7350" t="s">
        <v>7318</v>
      </c>
      <c r="B7350" t="s">
        <v>51</v>
      </c>
      <c r="F7350" t="s">
        <v>51</v>
      </c>
    </row>
    <row r="7351" spans="1:6" x14ac:dyDescent="0.3">
      <c r="A7351" t="s">
        <v>3843</v>
      </c>
      <c r="B7351" t="s">
        <v>13893</v>
      </c>
      <c r="D7351">
        <v>0.75</v>
      </c>
      <c r="E7351" t="s">
        <v>284</v>
      </c>
      <c r="F7351" t="s">
        <v>581</v>
      </c>
    </row>
    <row r="7352" spans="1:6" x14ac:dyDescent="0.3">
      <c r="A7352" t="s">
        <v>13894</v>
      </c>
      <c r="B7352" t="s">
        <v>13895</v>
      </c>
      <c r="D7352">
        <v>1</v>
      </c>
      <c r="E7352" t="s">
        <v>23</v>
      </c>
      <c r="F7352" t="s">
        <v>4826</v>
      </c>
    </row>
    <row r="7353" spans="1:6" x14ac:dyDescent="0.3">
      <c r="A7353" t="s">
        <v>13896</v>
      </c>
      <c r="B7353" t="s">
        <v>13897</v>
      </c>
      <c r="D7353">
        <v>2</v>
      </c>
      <c r="E7353" t="s">
        <v>71</v>
      </c>
      <c r="F7353" t="s">
        <v>2496</v>
      </c>
    </row>
    <row r="7354" spans="1:6" x14ac:dyDescent="0.3">
      <c r="A7354" t="s">
        <v>13898</v>
      </c>
      <c r="B7354" t="s">
        <v>13899</v>
      </c>
      <c r="D7354">
        <v>2</v>
      </c>
      <c r="E7354" t="s">
        <v>91</v>
      </c>
      <c r="F7354" t="s">
        <v>12154</v>
      </c>
    </row>
    <row r="7355" spans="1:6" x14ac:dyDescent="0.3">
      <c r="A7355" t="s">
        <v>13900</v>
      </c>
      <c r="B7355" t="s">
        <v>10027</v>
      </c>
      <c r="D7355">
        <v>0.5</v>
      </c>
      <c r="E7355" t="s">
        <v>23</v>
      </c>
      <c r="F7355" t="s">
        <v>299</v>
      </c>
    </row>
    <row r="7356" spans="1:6" x14ac:dyDescent="0.3">
      <c r="A7356" t="s">
        <v>3974</v>
      </c>
      <c r="B7356" t="s">
        <v>3153</v>
      </c>
      <c r="D7356">
        <v>2</v>
      </c>
      <c r="E7356" t="s">
        <v>345</v>
      </c>
      <c r="F7356" t="s">
        <v>220</v>
      </c>
    </row>
    <row r="7357" spans="1:6" x14ac:dyDescent="0.3">
      <c r="A7357" t="s">
        <v>13901</v>
      </c>
      <c r="B7357" t="s">
        <v>1203</v>
      </c>
      <c r="D7357">
        <v>4</v>
      </c>
      <c r="E7357" t="s">
        <v>23</v>
      </c>
      <c r="F7357" t="s">
        <v>1204</v>
      </c>
    </row>
    <row r="7358" spans="1:6" x14ac:dyDescent="0.3">
      <c r="A7358" t="s">
        <v>4223</v>
      </c>
      <c r="B7358" t="s">
        <v>3784</v>
      </c>
      <c r="D7358">
        <v>1.5</v>
      </c>
      <c r="E7358" t="s">
        <v>23</v>
      </c>
      <c r="F7358" t="s">
        <v>1867</v>
      </c>
    </row>
    <row r="7359" spans="1:6" x14ac:dyDescent="0.3">
      <c r="A7359" t="s">
        <v>2340</v>
      </c>
      <c r="B7359" t="s">
        <v>13902</v>
      </c>
      <c r="D7359">
        <v>1.5</v>
      </c>
      <c r="E7359" t="s">
        <v>2210</v>
      </c>
      <c r="F7359" t="s">
        <v>281</v>
      </c>
    </row>
    <row r="7360" spans="1:6" x14ac:dyDescent="0.3">
      <c r="A7360" t="s">
        <v>13903</v>
      </c>
      <c r="B7360" t="s">
        <v>299</v>
      </c>
      <c r="F7360" t="s">
        <v>299</v>
      </c>
    </row>
    <row r="7361" spans="1:10" x14ac:dyDescent="0.3">
      <c r="A7361" t="s">
        <v>2205</v>
      </c>
      <c r="B7361" t="s">
        <v>8969</v>
      </c>
      <c r="D7361">
        <v>3</v>
      </c>
      <c r="F7361" t="s">
        <v>8970</v>
      </c>
      <c r="J7361" t="s">
        <v>248</v>
      </c>
    </row>
    <row r="7362" spans="1:10" x14ac:dyDescent="0.3">
      <c r="A7362" t="s">
        <v>9218</v>
      </c>
      <c r="B7362" t="s">
        <v>8034</v>
      </c>
      <c r="D7362">
        <v>1</v>
      </c>
      <c r="E7362" t="s">
        <v>23</v>
      </c>
      <c r="F7362" t="s">
        <v>4212</v>
      </c>
    </row>
    <row r="7363" spans="1:10" x14ac:dyDescent="0.3">
      <c r="A7363" t="s">
        <v>13904</v>
      </c>
      <c r="B7363" t="s">
        <v>13905</v>
      </c>
      <c r="D7363">
        <v>4</v>
      </c>
      <c r="E7363" t="s">
        <v>23</v>
      </c>
      <c r="F7363" t="s">
        <v>716</v>
      </c>
    </row>
    <row r="7364" spans="1:10" x14ac:dyDescent="0.3">
      <c r="A7364" t="s">
        <v>6861</v>
      </c>
      <c r="B7364" t="s">
        <v>13906</v>
      </c>
      <c r="D7364">
        <v>1</v>
      </c>
      <c r="E7364" t="s">
        <v>37</v>
      </c>
      <c r="F7364" t="s">
        <v>13907</v>
      </c>
      <c r="J7364" t="s">
        <v>11073</v>
      </c>
    </row>
    <row r="7365" spans="1:10" x14ac:dyDescent="0.3">
      <c r="A7365" t="s">
        <v>249</v>
      </c>
      <c r="B7365" t="s">
        <v>13908</v>
      </c>
      <c r="D7365">
        <v>1</v>
      </c>
      <c r="F7365" t="s">
        <v>10666</v>
      </c>
      <c r="J7365" t="s">
        <v>13909</v>
      </c>
    </row>
    <row r="7366" spans="1:10" x14ac:dyDescent="0.3">
      <c r="A7366" t="s">
        <v>13910</v>
      </c>
      <c r="B7366" t="s">
        <v>1056</v>
      </c>
      <c r="F7366" t="s">
        <v>1056</v>
      </c>
    </row>
    <row r="7367" spans="1:10" x14ac:dyDescent="0.3">
      <c r="A7367" t="s">
        <v>5395</v>
      </c>
      <c r="B7367" t="s">
        <v>13911</v>
      </c>
      <c r="D7367">
        <v>1</v>
      </c>
      <c r="E7367" t="s">
        <v>1172</v>
      </c>
      <c r="F7367" t="s">
        <v>13912</v>
      </c>
      <c r="J7367" t="s">
        <v>10925</v>
      </c>
    </row>
    <row r="7368" spans="1:10" x14ac:dyDescent="0.3">
      <c r="A7368" t="s">
        <v>8577</v>
      </c>
      <c r="B7368" t="s">
        <v>4786</v>
      </c>
      <c r="D7368">
        <v>1</v>
      </c>
      <c r="E7368" t="s">
        <v>23</v>
      </c>
      <c r="F7368" t="s">
        <v>1416</v>
      </c>
    </row>
    <row r="7369" spans="1:10" x14ac:dyDescent="0.3">
      <c r="A7369" t="s">
        <v>13472</v>
      </c>
      <c r="B7369" t="s">
        <v>6400</v>
      </c>
      <c r="D7369">
        <v>0.25</v>
      </c>
      <c r="E7369" t="s">
        <v>11</v>
      </c>
      <c r="F7369" t="s">
        <v>605</v>
      </c>
      <c r="J7369" t="s">
        <v>1470</v>
      </c>
    </row>
    <row r="7370" spans="1:10" x14ac:dyDescent="0.3">
      <c r="A7370" t="s">
        <v>13913</v>
      </c>
      <c r="B7370" t="s">
        <v>13914</v>
      </c>
      <c r="E7370" t="s">
        <v>236</v>
      </c>
      <c r="F7370" t="s">
        <v>163</v>
      </c>
      <c r="J7370" t="s">
        <v>10878</v>
      </c>
    </row>
    <row r="7371" spans="1:10" x14ac:dyDescent="0.3">
      <c r="A7371" t="s">
        <v>13915</v>
      </c>
      <c r="B7371" t="s">
        <v>13916</v>
      </c>
      <c r="D7371">
        <v>1.5</v>
      </c>
      <c r="E7371" t="s">
        <v>4520</v>
      </c>
      <c r="F7371" t="s">
        <v>220</v>
      </c>
    </row>
    <row r="7372" spans="1:10" x14ac:dyDescent="0.3">
      <c r="A7372" t="s">
        <v>13917</v>
      </c>
      <c r="B7372" t="s">
        <v>13918</v>
      </c>
      <c r="D7372">
        <v>2</v>
      </c>
      <c r="E7372" t="s">
        <v>23</v>
      </c>
      <c r="F7372" t="s">
        <v>13919</v>
      </c>
      <c r="J7372" t="s">
        <v>13920</v>
      </c>
    </row>
    <row r="7373" spans="1:10" x14ac:dyDescent="0.3">
      <c r="A7373" t="s">
        <v>11519</v>
      </c>
      <c r="B7373" t="s">
        <v>152</v>
      </c>
      <c r="F7373" t="s">
        <v>152</v>
      </c>
    </row>
    <row r="7374" spans="1:10" x14ac:dyDescent="0.3">
      <c r="A7374" t="s">
        <v>13921</v>
      </c>
      <c r="B7374" t="s">
        <v>13922</v>
      </c>
      <c r="D7374" t="s">
        <v>13923</v>
      </c>
      <c r="E7374" t="s">
        <v>13924</v>
      </c>
      <c r="F7374" t="s">
        <v>115</v>
      </c>
      <c r="J7374" t="s">
        <v>13925</v>
      </c>
    </row>
    <row r="7375" spans="1:10" x14ac:dyDescent="0.3">
      <c r="A7375" t="s">
        <v>8218</v>
      </c>
      <c r="B7375" t="s">
        <v>13926</v>
      </c>
      <c r="F7375" t="s">
        <v>11050</v>
      </c>
      <c r="J7375" t="s">
        <v>13927</v>
      </c>
    </row>
    <row r="7376" spans="1:10" x14ac:dyDescent="0.3">
      <c r="A7376" t="s">
        <v>13928</v>
      </c>
      <c r="B7376" t="s">
        <v>1011</v>
      </c>
      <c r="F7376" t="s">
        <v>1011</v>
      </c>
    </row>
    <row r="7377" spans="1:10" x14ac:dyDescent="0.3">
      <c r="A7377" t="s">
        <v>13929</v>
      </c>
      <c r="B7377" t="s">
        <v>11944</v>
      </c>
      <c r="D7377">
        <v>150</v>
      </c>
      <c r="E7377" t="s">
        <v>29</v>
      </c>
      <c r="F7377" t="s">
        <v>738</v>
      </c>
    </row>
    <row r="7378" spans="1:10" x14ac:dyDescent="0.3">
      <c r="A7378" t="s">
        <v>13930</v>
      </c>
      <c r="B7378" t="s">
        <v>13931</v>
      </c>
      <c r="D7378">
        <v>15</v>
      </c>
      <c r="E7378" t="s">
        <v>29</v>
      </c>
      <c r="F7378" t="s">
        <v>5413</v>
      </c>
    </row>
    <row r="7379" spans="1:10" x14ac:dyDescent="0.3">
      <c r="A7379" t="s">
        <v>5750</v>
      </c>
      <c r="B7379" t="s">
        <v>13932</v>
      </c>
      <c r="D7379">
        <v>40</v>
      </c>
      <c r="E7379" t="s">
        <v>29</v>
      </c>
      <c r="F7379" t="s">
        <v>13933</v>
      </c>
    </row>
    <row r="7380" spans="1:10" x14ac:dyDescent="0.3">
      <c r="A7380" t="s">
        <v>3915</v>
      </c>
      <c r="B7380" t="s">
        <v>8520</v>
      </c>
      <c r="D7380">
        <v>1</v>
      </c>
      <c r="E7380" t="s">
        <v>246</v>
      </c>
      <c r="F7380" t="s">
        <v>591</v>
      </c>
      <c r="J7380" t="s">
        <v>248</v>
      </c>
    </row>
    <row r="7381" spans="1:10" x14ac:dyDescent="0.3">
      <c r="A7381" t="s">
        <v>3418</v>
      </c>
      <c r="B7381" t="s">
        <v>13934</v>
      </c>
      <c r="D7381">
        <v>3</v>
      </c>
      <c r="E7381" t="s">
        <v>189</v>
      </c>
      <c r="F7381" t="s">
        <v>6793</v>
      </c>
    </row>
    <row r="7382" spans="1:10" x14ac:dyDescent="0.3">
      <c r="A7382" t="s">
        <v>6345</v>
      </c>
      <c r="B7382" t="s">
        <v>6737</v>
      </c>
      <c r="D7382">
        <v>2</v>
      </c>
      <c r="E7382" t="s">
        <v>23</v>
      </c>
      <c r="F7382" t="s">
        <v>6738</v>
      </c>
    </row>
    <row r="7383" spans="1:10" x14ac:dyDescent="0.3">
      <c r="A7383" t="s">
        <v>13935</v>
      </c>
      <c r="B7383" t="s">
        <v>9772</v>
      </c>
      <c r="D7383">
        <v>2</v>
      </c>
      <c r="E7383" t="s">
        <v>345</v>
      </c>
      <c r="F7383" t="s">
        <v>456</v>
      </c>
    </row>
    <row r="7384" spans="1:10" x14ac:dyDescent="0.3">
      <c r="A7384" t="s">
        <v>13936</v>
      </c>
      <c r="B7384" t="s">
        <v>13937</v>
      </c>
      <c r="D7384">
        <v>1.5</v>
      </c>
      <c r="E7384" t="s">
        <v>23</v>
      </c>
      <c r="F7384" t="s">
        <v>2211</v>
      </c>
    </row>
    <row r="7385" spans="1:10" x14ac:dyDescent="0.3">
      <c r="A7385" t="s">
        <v>4979</v>
      </c>
      <c r="B7385" t="s">
        <v>13938</v>
      </c>
      <c r="D7385">
        <v>1</v>
      </c>
      <c r="E7385" t="s">
        <v>18</v>
      </c>
      <c r="F7385" t="s">
        <v>1895</v>
      </c>
      <c r="J7385" t="s">
        <v>289</v>
      </c>
    </row>
    <row r="7386" spans="1:10" x14ac:dyDescent="0.3">
      <c r="A7386" t="s">
        <v>13939</v>
      </c>
      <c r="B7386" t="s">
        <v>364</v>
      </c>
      <c r="D7386">
        <v>1</v>
      </c>
      <c r="E7386" t="s">
        <v>23</v>
      </c>
      <c r="F7386" t="s">
        <v>365</v>
      </c>
    </row>
    <row r="7387" spans="1:10" x14ac:dyDescent="0.3">
      <c r="A7387" t="s">
        <v>8374</v>
      </c>
      <c r="B7387" t="s">
        <v>13940</v>
      </c>
      <c r="D7387">
        <v>10.5</v>
      </c>
      <c r="E7387" t="s">
        <v>91</v>
      </c>
      <c r="F7387" t="s">
        <v>4306</v>
      </c>
    </row>
    <row r="7388" spans="1:10" x14ac:dyDescent="0.3">
      <c r="A7388" t="s">
        <v>13941</v>
      </c>
      <c r="B7388" t="s">
        <v>13942</v>
      </c>
      <c r="D7388">
        <v>0.5</v>
      </c>
      <c r="E7388" t="s">
        <v>11</v>
      </c>
      <c r="F7388" t="s">
        <v>7925</v>
      </c>
    </row>
    <row r="7389" spans="1:10" x14ac:dyDescent="0.3">
      <c r="A7389" t="s">
        <v>6557</v>
      </c>
      <c r="B7389" t="s">
        <v>13943</v>
      </c>
      <c r="F7389" t="s">
        <v>13943</v>
      </c>
    </row>
    <row r="7390" spans="1:10" x14ac:dyDescent="0.3">
      <c r="A7390" t="s">
        <v>13944</v>
      </c>
      <c r="B7390" t="s">
        <v>9009</v>
      </c>
      <c r="D7390">
        <v>0.75</v>
      </c>
      <c r="E7390" t="s">
        <v>23</v>
      </c>
      <c r="F7390" t="s">
        <v>30</v>
      </c>
    </row>
    <row r="7391" spans="1:10" x14ac:dyDescent="0.3">
      <c r="A7391" t="s">
        <v>13945</v>
      </c>
      <c r="B7391" t="s">
        <v>13946</v>
      </c>
      <c r="D7391">
        <v>0.33</v>
      </c>
      <c r="E7391" t="s">
        <v>23</v>
      </c>
      <c r="F7391" t="s">
        <v>160</v>
      </c>
      <c r="H7391" t="s">
        <v>68</v>
      </c>
    </row>
    <row r="7392" spans="1:10" x14ac:dyDescent="0.3">
      <c r="A7392" t="s">
        <v>13947</v>
      </c>
      <c r="B7392" t="s">
        <v>13948</v>
      </c>
      <c r="D7392">
        <v>0.5</v>
      </c>
      <c r="E7392" t="s">
        <v>37</v>
      </c>
      <c r="F7392" t="s">
        <v>13949</v>
      </c>
    </row>
    <row r="7393" spans="1:10" x14ac:dyDescent="0.3">
      <c r="A7393" t="s">
        <v>8390</v>
      </c>
      <c r="B7393" t="s">
        <v>13950</v>
      </c>
      <c r="D7393">
        <v>0.5</v>
      </c>
      <c r="E7393" t="s">
        <v>23</v>
      </c>
      <c r="F7393" t="s">
        <v>13951</v>
      </c>
    </row>
    <row r="7394" spans="1:10" x14ac:dyDescent="0.3">
      <c r="A7394" t="s">
        <v>5766</v>
      </c>
      <c r="B7394" t="s">
        <v>13952</v>
      </c>
      <c r="D7394">
        <v>0.33</v>
      </c>
      <c r="E7394" t="s">
        <v>23</v>
      </c>
      <c r="F7394" t="s">
        <v>81</v>
      </c>
    </row>
    <row r="7395" spans="1:10" x14ac:dyDescent="0.3">
      <c r="A7395" t="s">
        <v>9406</v>
      </c>
      <c r="B7395" t="s">
        <v>13953</v>
      </c>
      <c r="D7395">
        <v>4</v>
      </c>
      <c r="E7395" t="s">
        <v>91</v>
      </c>
      <c r="F7395" t="s">
        <v>5688</v>
      </c>
    </row>
    <row r="7396" spans="1:10" x14ac:dyDescent="0.3">
      <c r="A7396" t="s">
        <v>13954</v>
      </c>
      <c r="B7396" t="s">
        <v>13955</v>
      </c>
      <c r="D7396">
        <v>2</v>
      </c>
      <c r="E7396" t="s">
        <v>23</v>
      </c>
      <c r="F7396" t="s">
        <v>12057</v>
      </c>
    </row>
    <row r="7397" spans="1:10" x14ac:dyDescent="0.3">
      <c r="A7397" t="s">
        <v>13956</v>
      </c>
      <c r="B7397" t="s">
        <v>13957</v>
      </c>
      <c r="D7397">
        <v>0.5</v>
      </c>
      <c r="E7397" t="s">
        <v>37</v>
      </c>
      <c r="F7397" t="s">
        <v>13958</v>
      </c>
    </row>
    <row r="7398" spans="1:10" x14ac:dyDescent="0.3">
      <c r="A7398" t="s">
        <v>13959</v>
      </c>
      <c r="B7398" t="s">
        <v>13960</v>
      </c>
      <c r="D7398">
        <v>0.75</v>
      </c>
      <c r="E7398" t="s">
        <v>23</v>
      </c>
      <c r="F7398" t="s">
        <v>6712</v>
      </c>
    </row>
    <row r="7399" spans="1:10" x14ac:dyDescent="0.3">
      <c r="A7399" t="s">
        <v>13961</v>
      </c>
      <c r="B7399" t="s">
        <v>1269</v>
      </c>
      <c r="D7399">
        <v>1</v>
      </c>
      <c r="E7399" t="s">
        <v>23</v>
      </c>
      <c r="F7399" t="s">
        <v>380</v>
      </c>
    </row>
    <row r="7400" spans="1:10" x14ac:dyDescent="0.3">
      <c r="A7400" t="s">
        <v>13962</v>
      </c>
      <c r="B7400" t="s">
        <v>13963</v>
      </c>
      <c r="D7400">
        <v>2</v>
      </c>
      <c r="E7400" t="s">
        <v>71</v>
      </c>
      <c r="F7400" t="s">
        <v>380</v>
      </c>
    </row>
    <row r="7401" spans="1:10" x14ac:dyDescent="0.3">
      <c r="A7401" t="s">
        <v>13964</v>
      </c>
      <c r="B7401" t="s">
        <v>13965</v>
      </c>
      <c r="D7401">
        <v>5</v>
      </c>
      <c r="E7401" t="s">
        <v>1168</v>
      </c>
      <c r="F7401" t="s">
        <v>1169</v>
      </c>
      <c r="H7401" t="s">
        <v>68</v>
      </c>
    </row>
    <row r="7402" spans="1:10" x14ac:dyDescent="0.3">
      <c r="A7402" t="s">
        <v>13966</v>
      </c>
      <c r="B7402" t="s">
        <v>13967</v>
      </c>
      <c r="D7402">
        <v>6</v>
      </c>
      <c r="F7402" t="s">
        <v>1193</v>
      </c>
      <c r="H7402" t="s">
        <v>814</v>
      </c>
    </row>
    <row r="7403" spans="1:10" x14ac:dyDescent="0.3">
      <c r="A7403" t="s">
        <v>5504</v>
      </c>
      <c r="B7403" t="s">
        <v>13968</v>
      </c>
      <c r="D7403" t="s">
        <v>1650</v>
      </c>
      <c r="F7403" t="s">
        <v>13969</v>
      </c>
      <c r="J7403" t="s">
        <v>1177</v>
      </c>
    </row>
    <row r="7404" spans="1:10" x14ac:dyDescent="0.3">
      <c r="A7404" t="s">
        <v>5733</v>
      </c>
      <c r="B7404" t="s">
        <v>8482</v>
      </c>
      <c r="D7404">
        <v>1</v>
      </c>
      <c r="E7404" t="s">
        <v>11</v>
      </c>
      <c r="F7404" t="s">
        <v>98</v>
      </c>
    </row>
    <row r="7405" spans="1:10" x14ac:dyDescent="0.3">
      <c r="A7405" t="s">
        <v>11336</v>
      </c>
      <c r="B7405" t="s">
        <v>13970</v>
      </c>
      <c r="D7405">
        <v>5</v>
      </c>
      <c r="F7405" t="s">
        <v>333</v>
      </c>
      <c r="G7405" t="s">
        <v>1247</v>
      </c>
    </row>
    <row r="7406" spans="1:10" x14ac:dyDescent="0.3">
      <c r="A7406" t="s">
        <v>5023</v>
      </c>
      <c r="B7406" t="s">
        <v>13971</v>
      </c>
      <c r="D7406">
        <v>1</v>
      </c>
      <c r="F7406" t="s">
        <v>6046</v>
      </c>
    </row>
    <row r="7407" spans="1:10" x14ac:dyDescent="0.3">
      <c r="A7407" t="s">
        <v>13574</v>
      </c>
      <c r="B7407" t="s">
        <v>163</v>
      </c>
      <c r="F7407" t="s">
        <v>163</v>
      </c>
    </row>
    <row r="7408" spans="1:10" x14ac:dyDescent="0.3">
      <c r="A7408" t="s">
        <v>13972</v>
      </c>
      <c r="B7408" t="s">
        <v>1760</v>
      </c>
      <c r="D7408">
        <v>0.5</v>
      </c>
      <c r="F7408" t="s">
        <v>1431</v>
      </c>
    </row>
    <row r="7409" spans="1:10" x14ac:dyDescent="0.3">
      <c r="A7409" t="s">
        <v>7479</v>
      </c>
      <c r="B7409" t="s">
        <v>13973</v>
      </c>
      <c r="D7409">
        <v>1</v>
      </c>
      <c r="E7409" t="s">
        <v>37</v>
      </c>
      <c r="F7409" t="s">
        <v>1204</v>
      </c>
    </row>
    <row r="7410" spans="1:10" x14ac:dyDescent="0.3">
      <c r="A7410" t="s">
        <v>13974</v>
      </c>
      <c r="B7410" t="s">
        <v>8225</v>
      </c>
      <c r="D7410">
        <v>3</v>
      </c>
      <c r="E7410" t="s">
        <v>835</v>
      </c>
      <c r="F7410" t="s">
        <v>8226</v>
      </c>
    </row>
    <row r="7411" spans="1:10" x14ac:dyDescent="0.3">
      <c r="A7411" t="s">
        <v>13975</v>
      </c>
      <c r="B7411" t="s">
        <v>13976</v>
      </c>
      <c r="D7411">
        <v>1</v>
      </c>
      <c r="F7411" t="s">
        <v>10666</v>
      </c>
      <c r="G7411" t="s">
        <v>2167</v>
      </c>
    </row>
    <row r="7412" spans="1:10" x14ac:dyDescent="0.3">
      <c r="A7412" t="s">
        <v>7244</v>
      </c>
      <c r="B7412" t="s">
        <v>1611</v>
      </c>
      <c r="D7412">
        <v>0.75</v>
      </c>
      <c r="E7412" t="s">
        <v>37</v>
      </c>
      <c r="F7412" t="s">
        <v>160</v>
      </c>
    </row>
    <row r="7413" spans="1:10" x14ac:dyDescent="0.3">
      <c r="A7413" t="s">
        <v>13977</v>
      </c>
      <c r="B7413" t="s">
        <v>13978</v>
      </c>
      <c r="D7413">
        <v>10</v>
      </c>
      <c r="E7413" t="s">
        <v>23</v>
      </c>
      <c r="F7413" t="s">
        <v>1204</v>
      </c>
    </row>
    <row r="7414" spans="1:10" x14ac:dyDescent="0.3">
      <c r="A7414" t="s">
        <v>12791</v>
      </c>
      <c r="B7414" t="s">
        <v>13979</v>
      </c>
      <c r="D7414">
        <v>4</v>
      </c>
      <c r="E7414" t="s">
        <v>23</v>
      </c>
      <c r="F7414" t="s">
        <v>4797</v>
      </c>
    </row>
    <row r="7415" spans="1:10" x14ac:dyDescent="0.3">
      <c r="A7415" t="s">
        <v>13980</v>
      </c>
      <c r="B7415" t="s">
        <v>5701</v>
      </c>
      <c r="D7415">
        <v>2</v>
      </c>
      <c r="E7415" t="s">
        <v>345</v>
      </c>
      <c r="F7415" t="s">
        <v>41</v>
      </c>
    </row>
    <row r="7416" spans="1:10" x14ac:dyDescent="0.3">
      <c r="A7416" t="s">
        <v>7411</v>
      </c>
      <c r="B7416" t="s">
        <v>13981</v>
      </c>
      <c r="D7416">
        <v>5</v>
      </c>
      <c r="E7416" t="s">
        <v>29</v>
      </c>
      <c r="F7416" t="s">
        <v>6151</v>
      </c>
    </row>
    <row r="7417" spans="1:10" x14ac:dyDescent="0.3">
      <c r="A7417" t="s">
        <v>2670</v>
      </c>
      <c r="B7417" t="s">
        <v>13982</v>
      </c>
      <c r="D7417">
        <v>1.5</v>
      </c>
      <c r="E7417" t="s">
        <v>91</v>
      </c>
      <c r="F7417" t="s">
        <v>13983</v>
      </c>
      <c r="J7417" t="s">
        <v>13984</v>
      </c>
    </row>
    <row r="7418" spans="1:10" x14ac:dyDescent="0.3">
      <c r="A7418" t="s">
        <v>13985</v>
      </c>
      <c r="B7418" t="s">
        <v>7688</v>
      </c>
      <c r="D7418">
        <v>1</v>
      </c>
      <c r="E7418" t="s">
        <v>23</v>
      </c>
      <c r="F7418" t="s">
        <v>1543</v>
      </c>
    </row>
    <row r="7419" spans="1:10" x14ac:dyDescent="0.3">
      <c r="A7419" t="s">
        <v>13986</v>
      </c>
      <c r="B7419" t="s">
        <v>13987</v>
      </c>
      <c r="D7419">
        <v>25</v>
      </c>
      <c r="E7419" t="s">
        <v>29</v>
      </c>
      <c r="F7419" t="s">
        <v>13988</v>
      </c>
      <c r="J7419" t="s">
        <v>20</v>
      </c>
    </row>
    <row r="7420" spans="1:10" x14ac:dyDescent="0.3">
      <c r="A7420" t="s">
        <v>13612</v>
      </c>
      <c r="B7420" t="s">
        <v>13989</v>
      </c>
      <c r="D7420">
        <v>1</v>
      </c>
      <c r="E7420" t="s">
        <v>18</v>
      </c>
      <c r="F7420" t="s">
        <v>1097</v>
      </c>
    </row>
    <row r="7421" spans="1:10" x14ac:dyDescent="0.3">
      <c r="A7421" t="s">
        <v>13990</v>
      </c>
      <c r="B7421" t="s">
        <v>13991</v>
      </c>
      <c r="D7421">
        <v>4</v>
      </c>
      <c r="E7421" t="s">
        <v>189</v>
      </c>
      <c r="F7421" t="s">
        <v>1223</v>
      </c>
    </row>
    <row r="7422" spans="1:10" x14ac:dyDescent="0.3">
      <c r="A7422" t="s">
        <v>6234</v>
      </c>
      <c r="B7422" t="s">
        <v>13492</v>
      </c>
      <c r="D7422">
        <v>0.5</v>
      </c>
      <c r="E7422" t="s">
        <v>11</v>
      </c>
      <c r="F7422" t="s">
        <v>13234</v>
      </c>
    </row>
    <row r="7423" spans="1:10" x14ac:dyDescent="0.3">
      <c r="A7423" t="s">
        <v>9072</v>
      </c>
      <c r="B7423" t="s">
        <v>3593</v>
      </c>
      <c r="D7423">
        <v>0.75</v>
      </c>
      <c r="E7423" t="s">
        <v>11</v>
      </c>
      <c r="F7423" t="s">
        <v>524</v>
      </c>
    </row>
    <row r="7424" spans="1:10" x14ac:dyDescent="0.3">
      <c r="A7424" t="s">
        <v>13992</v>
      </c>
      <c r="B7424" t="s">
        <v>13993</v>
      </c>
      <c r="D7424">
        <v>1</v>
      </c>
      <c r="E7424" t="s">
        <v>2397</v>
      </c>
      <c r="F7424" t="s">
        <v>1133</v>
      </c>
      <c r="J7424" t="s">
        <v>289</v>
      </c>
    </row>
    <row r="7425" spans="1:10" x14ac:dyDescent="0.3">
      <c r="A7425" t="s">
        <v>7483</v>
      </c>
      <c r="B7425" t="s">
        <v>13994</v>
      </c>
      <c r="D7425">
        <v>0.12</v>
      </c>
      <c r="E7425" t="s">
        <v>361</v>
      </c>
      <c r="F7425" t="s">
        <v>13995</v>
      </c>
      <c r="J7425" t="s">
        <v>13996</v>
      </c>
    </row>
    <row r="7426" spans="1:10" x14ac:dyDescent="0.3">
      <c r="A7426" t="s">
        <v>13997</v>
      </c>
      <c r="B7426" t="s">
        <v>13998</v>
      </c>
      <c r="D7426" t="s">
        <v>5995</v>
      </c>
      <c r="F7426" t="s">
        <v>13999</v>
      </c>
      <c r="J7426" t="s">
        <v>3613</v>
      </c>
    </row>
    <row r="7427" spans="1:10" x14ac:dyDescent="0.3">
      <c r="A7427" t="s">
        <v>14000</v>
      </c>
      <c r="B7427" t="s">
        <v>3935</v>
      </c>
      <c r="D7427">
        <v>3</v>
      </c>
      <c r="E7427" t="s">
        <v>189</v>
      </c>
      <c r="F7427" t="s">
        <v>3891</v>
      </c>
    </row>
    <row r="7428" spans="1:10" x14ac:dyDescent="0.3">
      <c r="A7428" t="s">
        <v>14001</v>
      </c>
      <c r="B7428" t="s">
        <v>14002</v>
      </c>
      <c r="D7428">
        <v>1</v>
      </c>
      <c r="E7428" t="s">
        <v>460</v>
      </c>
      <c r="F7428" t="s">
        <v>1440</v>
      </c>
    </row>
    <row r="7429" spans="1:10" x14ac:dyDescent="0.3">
      <c r="A7429" t="s">
        <v>14003</v>
      </c>
      <c r="B7429" t="s">
        <v>3247</v>
      </c>
      <c r="D7429">
        <v>1</v>
      </c>
      <c r="E7429" t="s">
        <v>23</v>
      </c>
      <c r="F7429" t="s">
        <v>1506</v>
      </c>
    </row>
    <row r="7430" spans="1:10" x14ac:dyDescent="0.3">
      <c r="A7430" t="s">
        <v>14004</v>
      </c>
      <c r="B7430" t="s">
        <v>14005</v>
      </c>
      <c r="D7430">
        <v>4</v>
      </c>
      <c r="E7430" t="s">
        <v>23</v>
      </c>
      <c r="F7430" t="s">
        <v>1188</v>
      </c>
    </row>
    <row r="7431" spans="1:10" x14ac:dyDescent="0.3">
      <c r="A7431" t="s">
        <v>11632</v>
      </c>
      <c r="B7431" t="s">
        <v>674</v>
      </c>
      <c r="D7431">
        <v>0.5</v>
      </c>
      <c r="E7431" t="s">
        <v>23</v>
      </c>
      <c r="F7431" t="s">
        <v>38</v>
      </c>
    </row>
    <row r="7432" spans="1:10" x14ac:dyDescent="0.3">
      <c r="A7432" t="s">
        <v>12902</v>
      </c>
      <c r="B7432" t="s">
        <v>14006</v>
      </c>
      <c r="D7432">
        <v>1</v>
      </c>
      <c r="E7432" t="s">
        <v>12290</v>
      </c>
      <c r="F7432" t="s">
        <v>1644</v>
      </c>
      <c r="I7432" t="s">
        <v>1078</v>
      </c>
    </row>
    <row r="7433" spans="1:10" x14ac:dyDescent="0.3">
      <c r="A7433" t="s">
        <v>592</v>
      </c>
      <c r="B7433" t="s">
        <v>14007</v>
      </c>
      <c r="D7433">
        <v>0.5</v>
      </c>
      <c r="E7433" t="s">
        <v>37</v>
      </c>
      <c r="F7433" t="s">
        <v>14008</v>
      </c>
    </row>
    <row r="7434" spans="1:10" x14ac:dyDescent="0.3">
      <c r="A7434" t="s">
        <v>14009</v>
      </c>
      <c r="B7434" t="s">
        <v>1204</v>
      </c>
      <c r="F7434" t="s">
        <v>1204</v>
      </c>
    </row>
    <row r="7435" spans="1:10" x14ac:dyDescent="0.3">
      <c r="A7435" t="s">
        <v>14010</v>
      </c>
      <c r="B7435" t="s">
        <v>1027</v>
      </c>
      <c r="F7435" t="s">
        <v>1027</v>
      </c>
    </row>
    <row r="7436" spans="1:10" x14ac:dyDescent="0.3">
      <c r="A7436" t="s">
        <v>14011</v>
      </c>
      <c r="B7436" t="s">
        <v>7716</v>
      </c>
      <c r="D7436">
        <v>0.75</v>
      </c>
      <c r="E7436" t="s">
        <v>11</v>
      </c>
      <c r="F7436" t="s">
        <v>1032</v>
      </c>
    </row>
    <row r="7437" spans="1:10" x14ac:dyDescent="0.3">
      <c r="A7437" t="s">
        <v>6919</v>
      </c>
      <c r="B7437" t="s">
        <v>14012</v>
      </c>
      <c r="D7437">
        <v>0.5</v>
      </c>
      <c r="E7437" t="s">
        <v>23</v>
      </c>
      <c r="F7437" t="s">
        <v>14013</v>
      </c>
    </row>
    <row r="7438" spans="1:10" x14ac:dyDescent="0.3">
      <c r="A7438" t="s">
        <v>14014</v>
      </c>
      <c r="B7438" t="s">
        <v>14015</v>
      </c>
      <c r="D7438">
        <v>1</v>
      </c>
      <c r="E7438" t="s">
        <v>2397</v>
      </c>
      <c r="F7438" t="s">
        <v>1984</v>
      </c>
    </row>
    <row r="7439" spans="1:10" x14ac:dyDescent="0.3">
      <c r="A7439" t="s">
        <v>194</v>
      </c>
      <c r="B7439" t="s">
        <v>14016</v>
      </c>
      <c r="D7439">
        <v>25</v>
      </c>
      <c r="E7439" t="s">
        <v>29</v>
      </c>
      <c r="F7439" t="s">
        <v>5676</v>
      </c>
    </row>
    <row r="7440" spans="1:10" x14ac:dyDescent="0.3">
      <c r="A7440" t="s">
        <v>1685</v>
      </c>
      <c r="B7440" t="s">
        <v>5636</v>
      </c>
      <c r="D7440">
        <v>0.5</v>
      </c>
      <c r="E7440" t="s">
        <v>23</v>
      </c>
      <c r="F7440" t="s">
        <v>4212</v>
      </c>
    </row>
    <row r="7441" spans="1:10" x14ac:dyDescent="0.3">
      <c r="A7441" t="s">
        <v>9987</v>
      </c>
      <c r="B7441" t="s">
        <v>14017</v>
      </c>
      <c r="D7441">
        <v>1</v>
      </c>
      <c r="E7441" t="s">
        <v>23</v>
      </c>
      <c r="F7441" t="s">
        <v>183</v>
      </c>
    </row>
    <row r="7442" spans="1:10" x14ac:dyDescent="0.3">
      <c r="A7442" t="s">
        <v>14018</v>
      </c>
      <c r="B7442" t="s">
        <v>14019</v>
      </c>
      <c r="D7442">
        <v>3</v>
      </c>
      <c r="E7442" t="s">
        <v>91</v>
      </c>
      <c r="F7442" t="s">
        <v>14020</v>
      </c>
    </row>
    <row r="7443" spans="1:10" x14ac:dyDescent="0.3">
      <c r="A7443" t="s">
        <v>14021</v>
      </c>
      <c r="B7443" t="s">
        <v>14022</v>
      </c>
      <c r="D7443">
        <v>0.75</v>
      </c>
      <c r="E7443" t="s">
        <v>23</v>
      </c>
      <c r="F7443" t="s">
        <v>594</v>
      </c>
    </row>
    <row r="7444" spans="1:10" x14ac:dyDescent="0.3">
      <c r="A7444" t="s">
        <v>14023</v>
      </c>
      <c r="B7444" t="s">
        <v>14024</v>
      </c>
      <c r="D7444">
        <v>2</v>
      </c>
      <c r="E7444" t="s">
        <v>189</v>
      </c>
      <c r="F7444" t="s">
        <v>7032</v>
      </c>
    </row>
    <row r="7445" spans="1:10" x14ac:dyDescent="0.3">
      <c r="A7445" t="s">
        <v>14025</v>
      </c>
      <c r="B7445" t="s">
        <v>1670</v>
      </c>
      <c r="D7445">
        <v>1</v>
      </c>
      <c r="E7445" t="s">
        <v>1671</v>
      </c>
      <c r="F7445" t="s">
        <v>163</v>
      </c>
      <c r="J7445" t="s">
        <v>248</v>
      </c>
    </row>
    <row r="7446" spans="1:10" x14ac:dyDescent="0.3">
      <c r="A7446" t="s">
        <v>5733</v>
      </c>
      <c r="B7446" t="s">
        <v>14026</v>
      </c>
      <c r="D7446">
        <v>1</v>
      </c>
      <c r="E7446" t="s">
        <v>37</v>
      </c>
      <c r="F7446" t="s">
        <v>38</v>
      </c>
      <c r="H7446" t="s">
        <v>168</v>
      </c>
      <c r="J7446" t="s">
        <v>325</v>
      </c>
    </row>
    <row r="7447" spans="1:10" x14ac:dyDescent="0.3">
      <c r="A7447" t="s">
        <v>3413</v>
      </c>
      <c r="B7447" t="s">
        <v>14027</v>
      </c>
      <c r="D7447">
        <v>4</v>
      </c>
      <c r="E7447" t="s">
        <v>23</v>
      </c>
      <c r="F7447" t="s">
        <v>3071</v>
      </c>
    </row>
    <row r="7448" spans="1:10" x14ac:dyDescent="0.3">
      <c r="A7448" t="s">
        <v>14028</v>
      </c>
      <c r="B7448" t="s">
        <v>10606</v>
      </c>
      <c r="D7448">
        <v>0.75</v>
      </c>
      <c r="E7448" t="s">
        <v>23</v>
      </c>
      <c r="F7448" t="s">
        <v>171</v>
      </c>
    </row>
    <row r="7449" spans="1:10" x14ac:dyDescent="0.3">
      <c r="A7449" t="s">
        <v>799</v>
      </c>
      <c r="B7449" t="s">
        <v>10097</v>
      </c>
      <c r="D7449">
        <v>1</v>
      </c>
      <c r="E7449" t="s">
        <v>18</v>
      </c>
      <c r="F7449" t="s">
        <v>672</v>
      </c>
    </row>
    <row r="7450" spans="1:10" x14ac:dyDescent="0.3">
      <c r="A7450" t="s">
        <v>14029</v>
      </c>
      <c r="B7450" t="s">
        <v>11150</v>
      </c>
      <c r="D7450">
        <v>1</v>
      </c>
      <c r="E7450" t="s">
        <v>23</v>
      </c>
      <c r="F7450" t="s">
        <v>11151</v>
      </c>
    </row>
    <row r="7451" spans="1:10" x14ac:dyDescent="0.3">
      <c r="A7451" t="s">
        <v>13680</v>
      </c>
      <c r="B7451" t="s">
        <v>14030</v>
      </c>
      <c r="D7451">
        <v>10.5</v>
      </c>
      <c r="E7451" t="s">
        <v>23</v>
      </c>
      <c r="F7451" t="s">
        <v>24</v>
      </c>
      <c r="J7451" t="s">
        <v>10925</v>
      </c>
    </row>
    <row r="7452" spans="1:10" x14ac:dyDescent="0.3">
      <c r="A7452" t="s">
        <v>10217</v>
      </c>
      <c r="B7452" t="s">
        <v>14031</v>
      </c>
      <c r="D7452">
        <v>1</v>
      </c>
      <c r="E7452" t="s">
        <v>1843</v>
      </c>
      <c r="F7452" t="s">
        <v>14032</v>
      </c>
    </row>
    <row r="7453" spans="1:10" x14ac:dyDescent="0.3">
      <c r="A7453" t="s">
        <v>14033</v>
      </c>
      <c r="B7453" t="s">
        <v>14034</v>
      </c>
      <c r="D7453">
        <v>1</v>
      </c>
      <c r="E7453" t="s">
        <v>37</v>
      </c>
      <c r="F7453" t="s">
        <v>551</v>
      </c>
      <c r="H7453" t="s">
        <v>68</v>
      </c>
    </row>
    <row r="7454" spans="1:10" x14ac:dyDescent="0.3">
      <c r="A7454" t="s">
        <v>14035</v>
      </c>
      <c r="B7454" t="s">
        <v>743</v>
      </c>
      <c r="F7454" t="s">
        <v>743</v>
      </c>
    </row>
    <row r="7455" spans="1:10" x14ac:dyDescent="0.3">
      <c r="A7455" t="s">
        <v>14036</v>
      </c>
      <c r="B7455" t="s">
        <v>1087</v>
      </c>
      <c r="F7455" t="s">
        <v>1087</v>
      </c>
    </row>
    <row r="7456" spans="1:10" x14ac:dyDescent="0.3">
      <c r="A7456" t="s">
        <v>14037</v>
      </c>
      <c r="B7456" t="s">
        <v>14038</v>
      </c>
      <c r="D7456">
        <v>2</v>
      </c>
      <c r="E7456" t="s">
        <v>91</v>
      </c>
      <c r="F7456" t="s">
        <v>14039</v>
      </c>
    </row>
    <row r="7457" spans="1:10" x14ac:dyDescent="0.3">
      <c r="A7457" t="s">
        <v>13632</v>
      </c>
      <c r="B7457" t="s">
        <v>4919</v>
      </c>
      <c r="D7457">
        <v>0.5</v>
      </c>
      <c r="E7457" t="s">
        <v>23</v>
      </c>
      <c r="F7457" t="s">
        <v>30</v>
      </c>
    </row>
    <row r="7458" spans="1:10" x14ac:dyDescent="0.3">
      <c r="A7458" t="s">
        <v>14040</v>
      </c>
      <c r="B7458" t="s">
        <v>1545</v>
      </c>
      <c r="F7458" t="s">
        <v>10211</v>
      </c>
    </row>
    <row r="7459" spans="1:10" x14ac:dyDescent="0.3">
      <c r="A7459" t="s">
        <v>1160</v>
      </c>
      <c r="B7459" t="s">
        <v>14041</v>
      </c>
      <c r="D7459">
        <v>1</v>
      </c>
      <c r="E7459" t="s">
        <v>37</v>
      </c>
      <c r="F7459" t="s">
        <v>14042</v>
      </c>
      <c r="J7459" t="s">
        <v>3310</v>
      </c>
    </row>
    <row r="7460" spans="1:10" x14ac:dyDescent="0.3">
      <c r="A7460" t="s">
        <v>14043</v>
      </c>
      <c r="B7460" t="s">
        <v>1203</v>
      </c>
      <c r="D7460">
        <v>4</v>
      </c>
      <c r="E7460" t="s">
        <v>23</v>
      </c>
      <c r="F7460" t="s">
        <v>1204</v>
      </c>
    </row>
    <row r="7461" spans="1:10" x14ac:dyDescent="0.3">
      <c r="A7461" t="s">
        <v>4733</v>
      </c>
      <c r="B7461" t="s">
        <v>14044</v>
      </c>
      <c r="D7461">
        <v>0.5</v>
      </c>
      <c r="E7461" t="s">
        <v>23</v>
      </c>
      <c r="F7461" t="s">
        <v>2115</v>
      </c>
    </row>
    <row r="7462" spans="1:10" x14ac:dyDescent="0.3">
      <c r="A7462" t="s">
        <v>14045</v>
      </c>
      <c r="B7462" t="s">
        <v>14046</v>
      </c>
      <c r="D7462">
        <v>0.5</v>
      </c>
      <c r="E7462" t="s">
        <v>23</v>
      </c>
      <c r="F7462" t="s">
        <v>807</v>
      </c>
    </row>
    <row r="7463" spans="1:10" x14ac:dyDescent="0.3">
      <c r="A7463" t="s">
        <v>9491</v>
      </c>
      <c r="B7463" t="s">
        <v>14047</v>
      </c>
      <c r="D7463">
        <v>2</v>
      </c>
      <c r="E7463" t="s">
        <v>345</v>
      </c>
      <c r="F7463" t="s">
        <v>2602</v>
      </c>
    </row>
    <row r="7464" spans="1:10" x14ac:dyDescent="0.3">
      <c r="A7464" t="s">
        <v>14048</v>
      </c>
      <c r="B7464" t="s">
        <v>3496</v>
      </c>
      <c r="D7464">
        <v>2</v>
      </c>
      <c r="E7464" t="s">
        <v>23</v>
      </c>
      <c r="F7464" t="s">
        <v>281</v>
      </c>
    </row>
    <row r="7465" spans="1:10" x14ac:dyDescent="0.3">
      <c r="A7465" t="s">
        <v>14049</v>
      </c>
      <c r="B7465" t="s">
        <v>5634</v>
      </c>
      <c r="D7465">
        <v>2</v>
      </c>
      <c r="E7465" t="s">
        <v>23</v>
      </c>
      <c r="F7465" t="s">
        <v>102</v>
      </c>
    </row>
    <row r="7466" spans="1:10" x14ac:dyDescent="0.3">
      <c r="A7466" t="s">
        <v>8721</v>
      </c>
      <c r="B7466" t="s">
        <v>14050</v>
      </c>
      <c r="D7466">
        <v>3</v>
      </c>
      <c r="E7466" t="s">
        <v>14051</v>
      </c>
      <c r="F7466" t="s">
        <v>14052</v>
      </c>
    </row>
    <row r="7467" spans="1:10" x14ac:dyDescent="0.3">
      <c r="A7467" t="s">
        <v>525</v>
      </c>
      <c r="B7467" t="s">
        <v>1274</v>
      </c>
      <c r="D7467">
        <v>0.75</v>
      </c>
      <c r="E7467" t="s">
        <v>11</v>
      </c>
      <c r="F7467" t="s">
        <v>88</v>
      </c>
    </row>
    <row r="7468" spans="1:10" x14ac:dyDescent="0.3">
      <c r="A7468" t="s">
        <v>14053</v>
      </c>
      <c r="B7468" t="s">
        <v>537</v>
      </c>
      <c r="D7468">
        <v>6</v>
      </c>
      <c r="F7468" t="s">
        <v>538</v>
      </c>
    </row>
    <row r="7469" spans="1:10" x14ac:dyDescent="0.3">
      <c r="A7469" t="s">
        <v>3418</v>
      </c>
      <c r="B7469" t="s">
        <v>14054</v>
      </c>
      <c r="D7469">
        <v>125</v>
      </c>
      <c r="E7469" t="s">
        <v>29</v>
      </c>
      <c r="F7469" t="s">
        <v>30</v>
      </c>
    </row>
    <row r="7470" spans="1:10" x14ac:dyDescent="0.3">
      <c r="A7470" t="s">
        <v>8502</v>
      </c>
      <c r="B7470" t="s">
        <v>14055</v>
      </c>
      <c r="D7470">
        <v>12</v>
      </c>
      <c r="F7470" t="s">
        <v>813</v>
      </c>
    </row>
    <row r="7471" spans="1:10" x14ac:dyDescent="0.3">
      <c r="A7471" t="s">
        <v>8290</v>
      </c>
      <c r="B7471" t="s">
        <v>14056</v>
      </c>
      <c r="D7471">
        <v>0.5</v>
      </c>
      <c r="F7471" t="s">
        <v>14057</v>
      </c>
      <c r="G7471" t="s">
        <v>908</v>
      </c>
    </row>
    <row r="7472" spans="1:10" x14ac:dyDescent="0.3">
      <c r="A7472" t="s">
        <v>14058</v>
      </c>
      <c r="B7472" t="s">
        <v>413</v>
      </c>
      <c r="F7472" t="s">
        <v>413</v>
      </c>
    </row>
    <row r="7473" spans="1:10" x14ac:dyDescent="0.3">
      <c r="A7473" t="s">
        <v>14059</v>
      </c>
      <c r="B7473" t="s">
        <v>14060</v>
      </c>
      <c r="D7473">
        <v>4</v>
      </c>
      <c r="E7473" t="s">
        <v>91</v>
      </c>
      <c r="F7473" t="s">
        <v>4682</v>
      </c>
    </row>
    <row r="7474" spans="1:10" x14ac:dyDescent="0.3">
      <c r="A7474" t="s">
        <v>14061</v>
      </c>
      <c r="B7474" t="s">
        <v>14062</v>
      </c>
      <c r="D7474">
        <v>1.5</v>
      </c>
      <c r="E7474" t="s">
        <v>23</v>
      </c>
      <c r="F7474" t="s">
        <v>2289</v>
      </c>
    </row>
    <row r="7475" spans="1:10" x14ac:dyDescent="0.3">
      <c r="A7475" t="s">
        <v>14063</v>
      </c>
      <c r="B7475" t="s">
        <v>4002</v>
      </c>
      <c r="D7475">
        <v>1</v>
      </c>
      <c r="E7475" t="s">
        <v>23</v>
      </c>
      <c r="F7475" t="s">
        <v>1003</v>
      </c>
    </row>
    <row r="7476" spans="1:10" x14ac:dyDescent="0.3">
      <c r="A7476" t="s">
        <v>12393</v>
      </c>
      <c r="B7476" t="s">
        <v>4371</v>
      </c>
      <c r="D7476">
        <v>2</v>
      </c>
      <c r="E7476" t="s">
        <v>345</v>
      </c>
      <c r="F7476" t="s">
        <v>160</v>
      </c>
    </row>
    <row r="7477" spans="1:10" x14ac:dyDescent="0.3">
      <c r="A7477" t="s">
        <v>14064</v>
      </c>
      <c r="B7477" t="s">
        <v>8156</v>
      </c>
      <c r="D7477">
        <v>10.5</v>
      </c>
      <c r="E7477" t="s">
        <v>91</v>
      </c>
      <c r="F7477" t="s">
        <v>14065</v>
      </c>
    </row>
    <row r="7478" spans="1:10" x14ac:dyDescent="0.3">
      <c r="A7478" t="s">
        <v>14066</v>
      </c>
      <c r="B7478" t="s">
        <v>14067</v>
      </c>
      <c r="D7478">
        <v>20</v>
      </c>
      <c r="E7478" t="s">
        <v>29</v>
      </c>
      <c r="F7478" t="s">
        <v>380</v>
      </c>
    </row>
    <row r="7479" spans="1:10" x14ac:dyDescent="0.3">
      <c r="A7479" t="s">
        <v>14068</v>
      </c>
      <c r="B7479" t="s">
        <v>4980</v>
      </c>
      <c r="D7479">
        <v>1</v>
      </c>
      <c r="E7479" t="s">
        <v>23</v>
      </c>
      <c r="F7479" t="s">
        <v>281</v>
      </c>
      <c r="J7479" t="s">
        <v>289</v>
      </c>
    </row>
    <row r="7480" spans="1:10" x14ac:dyDescent="0.3">
      <c r="A7480" t="s">
        <v>370</v>
      </c>
      <c r="B7480" t="s">
        <v>14069</v>
      </c>
      <c r="D7480">
        <v>35</v>
      </c>
      <c r="E7480" t="s">
        <v>29</v>
      </c>
      <c r="F7480" t="s">
        <v>14070</v>
      </c>
    </row>
    <row r="7481" spans="1:10" x14ac:dyDescent="0.3">
      <c r="A7481" t="s">
        <v>14071</v>
      </c>
      <c r="B7481" t="s">
        <v>14072</v>
      </c>
      <c r="D7481">
        <v>1.5</v>
      </c>
      <c r="E7481" t="s">
        <v>23</v>
      </c>
      <c r="F7481" t="s">
        <v>14073</v>
      </c>
    </row>
    <row r="7482" spans="1:10" x14ac:dyDescent="0.3">
      <c r="A7482" t="s">
        <v>14074</v>
      </c>
      <c r="B7482" t="s">
        <v>1203</v>
      </c>
      <c r="D7482">
        <v>4</v>
      </c>
      <c r="E7482" t="s">
        <v>23</v>
      </c>
      <c r="F7482" t="s">
        <v>1204</v>
      </c>
    </row>
    <row r="7483" spans="1:10" x14ac:dyDescent="0.3">
      <c r="A7483" t="s">
        <v>13941</v>
      </c>
      <c r="B7483" t="s">
        <v>14075</v>
      </c>
      <c r="D7483">
        <v>10.5</v>
      </c>
      <c r="E7483" t="s">
        <v>91</v>
      </c>
      <c r="F7483" t="s">
        <v>14076</v>
      </c>
      <c r="J7483" t="s">
        <v>893</v>
      </c>
    </row>
    <row r="7484" spans="1:10" x14ac:dyDescent="0.3">
      <c r="A7484" t="s">
        <v>14077</v>
      </c>
      <c r="B7484" t="s">
        <v>489</v>
      </c>
      <c r="D7484">
        <v>1</v>
      </c>
      <c r="E7484" t="s">
        <v>23</v>
      </c>
      <c r="F7484" t="s">
        <v>41</v>
      </c>
    </row>
    <row r="7485" spans="1:10" x14ac:dyDescent="0.3">
      <c r="A7485" t="s">
        <v>14078</v>
      </c>
      <c r="B7485" t="s">
        <v>240</v>
      </c>
      <c r="D7485">
        <v>1</v>
      </c>
      <c r="E7485" t="s">
        <v>23</v>
      </c>
      <c r="F7485" t="s">
        <v>241</v>
      </c>
    </row>
    <row r="7486" spans="1:10" x14ac:dyDescent="0.3">
      <c r="A7486" t="s">
        <v>1893</v>
      </c>
      <c r="B7486" t="s">
        <v>14079</v>
      </c>
      <c r="D7486">
        <v>50</v>
      </c>
      <c r="E7486" t="s">
        <v>29</v>
      </c>
      <c r="F7486" t="s">
        <v>781</v>
      </c>
    </row>
    <row r="7487" spans="1:10" x14ac:dyDescent="0.3">
      <c r="A7487" t="s">
        <v>14080</v>
      </c>
      <c r="B7487" t="s">
        <v>14081</v>
      </c>
      <c r="D7487">
        <v>2</v>
      </c>
      <c r="E7487" t="s">
        <v>60</v>
      </c>
      <c r="F7487" t="s">
        <v>1739</v>
      </c>
    </row>
    <row r="7488" spans="1:10" x14ac:dyDescent="0.3">
      <c r="A7488" t="s">
        <v>14082</v>
      </c>
      <c r="B7488" t="s">
        <v>14083</v>
      </c>
      <c r="D7488">
        <v>13</v>
      </c>
      <c r="E7488" t="s">
        <v>23</v>
      </c>
      <c r="F7488" t="s">
        <v>14084</v>
      </c>
    </row>
    <row r="7489" spans="1:10" x14ac:dyDescent="0.3">
      <c r="A7489" t="s">
        <v>14085</v>
      </c>
      <c r="B7489" t="s">
        <v>14086</v>
      </c>
      <c r="D7489">
        <v>1</v>
      </c>
      <c r="E7489" t="s">
        <v>460</v>
      </c>
      <c r="F7489" t="s">
        <v>61</v>
      </c>
      <c r="J7489" t="s">
        <v>460</v>
      </c>
    </row>
    <row r="7490" spans="1:10" x14ac:dyDescent="0.3">
      <c r="A7490" t="s">
        <v>14087</v>
      </c>
      <c r="B7490" t="s">
        <v>152</v>
      </c>
      <c r="F7490" t="s">
        <v>152</v>
      </c>
    </row>
    <row r="7491" spans="1:10" x14ac:dyDescent="0.3">
      <c r="A7491" t="s">
        <v>14088</v>
      </c>
      <c r="B7491" t="s">
        <v>14089</v>
      </c>
      <c r="D7491">
        <v>0.5</v>
      </c>
      <c r="E7491" t="s">
        <v>11</v>
      </c>
      <c r="F7491" t="s">
        <v>2638</v>
      </c>
    </row>
    <row r="7492" spans="1:10" x14ac:dyDescent="0.3">
      <c r="A7492" t="s">
        <v>14090</v>
      </c>
      <c r="B7492" t="s">
        <v>14091</v>
      </c>
      <c r="D7492">
        <v>2</v>
      </c>
      <c r="E7492" t="s">
        <v>91</v>
      </c>
      <c r="F7492" t="s">
        <v>7350</v>
      </c>
    </row>
    <row r="7493" spans="1:10" x14ac:dyDescent="0.3">
      <c r="A7493" t="s">
        <v>14092</v>
      </c>
      <c r="B7493" t="s">
        <v>152</v>
      </c>
      <c r="F7493" t="s">
        <v>152</v>
      </c>
    </row>
    <row r="7494" spans="1:10" x14ac:dyDescent="0.3">
      <c r="A7494" t="s">
        <v>1130</v>
      </c>
      <c r="B7494" t="s">
        <v>1959</v>
      </c>
      <c r="D7494">
        <v>1</v>
      </c>
      <c r="E7494" t="s">
        <v>18</v>
      </c>
      <c r="F7494" t="s">
        <v>1223</v>
      </c>
    </row>
    <row r="7495" spans="1:10" x14ac:dyDescent="0.3">
      <c r="A7495" t="s">
        <v>14093</v>
      </c>
      <c r="B7495" t="s">
        <v>14094</v>
      </c>
      <c r="D7495">
        <v>2</v>
      </c>
      <c r="E7495" t="s">
        <v>345</v>
      </c>
      <c r="F7495" t="s">
        <v>14095</v>
      </c>
    </row>
    <row r="7496" spans="1:10" x14ac:dyDescent="0.3">
      <c r="A7496" t="s">
        <v>14096</v>
      </c>
      <c r="B7496" t="s">
        <v>3077</v>
      </c>
      <c r="D7496">
        <v>0.5</v>
      </c>
      <c r="E7496" t="s">
        <v>23</v>
      </c>
      <c r="F7496" t="s">
        <v>374</v>
      </c>
    </row>
    <row r="7497" spans="1:10" x14ac:dyDescent="0.3">
      <c r="A7497" t="s">
        <v>2939</v>
      </c>
      <c r="B7497" t="s">
        <v>692</v>
      </c>
      <c r="D7497">
        <v>2</v>
      </c>
      <c r="E7497" t="s">
        <v>91</v>
      </c>
      <c r="F7497" t="s">
        <v>41</v>
      </c>
    </row>
    <row r="7498" spans="1:10" x14ac:dyDescent="0.3">
      <c r="A7498" t="s">
        <v>14097</v>
      </c>
      <c r="B7498" t="s">
        <v>14098</v>
      </c>
      <c r="D7498">
        <v>60</v>
      </c>
      <c r="E7498" t="s">
        <v>29</v>
      </c>
      <c r="F7498" t="s">
        <v>14099</v>
      </c>
    </row>
    <row r="7499" spans="1:10" x14ac:dyDescent="0.3">
      <c r="A7499" t="s">
        <v>14100</v>
      </c>
      <c r="B7499" t="s">
        <v>14101</v>
      </c>
      <c r="D7499">
        <v>4</v>
      </c>
      <c r="E7499" t="s">
        <v>835</v>
      </c>
      <c r="F7499" t="s">
        <v>1578</v>
      </c>
    </row>
    <row r="7500" spans="1:10" x14ac:dyDescent="0.3">
      <c r="A7500" t="s">
        <v>11173</v>
      </c>
      <c r="B7500" t="s">
        <v>14102</v>
      </c>
      <c r="D7500">
        <v>0.5</v>
      </c>
      <c r="E7500" t="s">
        <v>11</v>
      </c>
      <c r="F7500" t="s">
        <v>5205</v>
      </c>
    </row>
    <row r="7501" spans="1:10" x14ac:dyDescent="0.3">
      <c r="A7501" t="s">
        <v>6774</v>
      </c>
      <c r="B7501" t="s">
        <v>14103</v>
      </c>
      <c r="D7501">
        <v>1</v>
      </c>
      <c r="E7501" t="s">
        <v>37</v>
      </c>
      <c r="F7501" t="s">
        <v>883</v>
      </c>
    </row>
    <row r="7502" spans="1:10" x14ac:dyDescent="0.3">
      <c r="A7502" t="s">
        <v>14104</v>
      </c>
      <c r="B7502" t="s">
        <v>14105</v>
      </c>
      <c r="D7502">
        <v>1</v>
      </c>
      <c r="E7502" t="s">
        <v>11</v>
      </c>
      <c r="F7502" t="s">
        <v>14106</v>
      </c>
    </row>
    <row r="7503" spans="1:10" x14ac:dyDescent="0.3">
      <c r="A7503" t="s">
        <v>12273</v>
      </c>
      <c r="B7503" t="s">
        <v>4579</v>
      </c>
      <c r="D7503">
        <v>1</v>
      </c>
      <c r="F7503" t="s">
        <v>4580</v>
      </c>
    </row>
    <row r="7504" spans="1:10" x14ac:dyDescent="0.3">
      <c r="A7504" t="s">
        <v>14107</v>
      </c>
      <c r="B7504" t="s">
        <v>14108</v>
      </c>
      <c r="D7504">
        <v>0.5</v>
      </c>
      <c r="E7504" t="s">
        <v>23</v>
      </c>
      <c r="F7504" t="s">
        <v>4670</v>
      </c>
    </row>
    <row r="7505" spans="1:10" x14ac:dyDescent="0.3">
      <c r="A7505" t="s">
        <v>14109</v>
      </c>
      <c r="B7505" t="s">
        <v>14110</v>
      </c>
      <c r="D7505">
        <v>25</v>
      </c>
      <c r="E7505" t="s">
        <v>29</v>
      </c>
      <c r="F7505" t="s">
        <v>6155</v>
      </c>
    </row>
    <row r="7506" spans="1:10" x14ac:dyDescent="0.3">
      <c r="A7506" t="s">
        <v>14111</v>
      </c>
      <c r="B7506" t="s">
        <v>3782</v>
      </c>
      <c r="D7506">
        <v>10</v>
      </c>
      <c r="E7506" t="s">
        <v>29</v>
      </c>
      <c r="F7506" t="s">
        <v>30</v>
      </c>
    </row>
    <row r="7507" spans="1:10" x14ac:dyDescent="0.3">
      <c r="A7507" t="s">
        <v>11966</v>
      </c>
      <c r="B7507" t="s">
        <v>14112</v>
      </c>
      <c r="D7507">
        <v>1</v>
      </c>
      <c r="E7507" t="s">
        <v>60</v>
      </c>
      <c r="F7507" t="s">
        <v>262</v>
      </c>
    </row>
    <row r="7508" spans="1:10" x14ac:dyDescent="0.3">
      <c r="A7508" t="s">
        <v>14113</v>
      </c>
      <c r="B7508" t="s">
        <v>14114</v>
      </c>
      <c r="D7508">
        <v>2</v>
      </c>
      <c r="E7508" t="s">
        <v>91</v>
      </c>
      <c r="F7508" t="s">
        <v>738</v>
      </c>
    </row>
    <row r="7509" spans="1:10" x14ac:dyDescent="0.3">
      <c r="A7509" t="s">
        <v>14115</v>
      </c>
      <c r="B7509" t="s">
        <v>8634</v>
      </c>
      <c r="D7509">
        <v>0.5</v>
      </c>
      <c r="E7509" t="s">
        <v>23</v>
      </c>
      <c r="F7509" t="s">
        <v>6948</v>
      </c>
    </row>
    <row r="7510" spans="1:10" x14ac:dyDescent="0.3">
      <c r="A7510" t="s">
        <v>6096</v>
      </c>
      <c r="B7510" t="s">
        <v>14116</v>
      </c>
      <c r="D7510">
        <v>2</v>
      </c>
      <c r="E7510" t="s">
        <v>227</v>
      </c>
      <c r="F7510" t="s">
        <v>621</v>
      </c>
      <c r="J7510" t="s">
        <v>14117</v>
      </c>
    </row>
    <row r="7511" spans="1:10" x14ac:dyDescent="0.3">
      <c r="A7511" t="s">
        <v>10157</v>
      </c>
      <c r="B7511" t="s">
        <v>14118</v>
      </c>
      <c r="D7511">
        <v>1.75</v>
      </c>
      <c r="E7511" t="s">
        <v>23</v>
      </c>
      <c r="F7511" t="s">
        <v>41</v>
      </c>
    </row>
    <row r="7512" spans="1:10" x14ac:dyDescent="0.3">
      <c r="A7512" t="s">
        <v>14119</v>
      </c>
      <c r="B7512" t="s">
        <v>14120</v>
      </c>
      <c r="D7512">
        <v>2</v>
      </c>
      <c r="F7512" t="s">
        <v>320</v>
      </c>
    </row>
    <row r="7513" spans="1:10" x14ac:dyDescent="0.3">
      <c r="A7513" t="s">
        <v>1529</v>
      </c>
      <c r="B7513" t="s">
        <v>114</v>
      </c>
      <c r="D7513">
        <v>12.5</v>
      </c>
      <c r="E7513" t="s">
        <v>29</v>
      </c>
      <c r="F7513" t="s">
        <v>115</v>
      </c>
    </row>
    <row r="7514" spans="1:10" x14ac:dyDescent="0.3">
      <c r="A7514" t="s">
        <v>12664</v>
      </c>
      <c r="B7514" t="s">
        <v>14121</v>
      </c>
      <c r="F7514" t="s">
        <v>591</v>
      </c>
      <c r="H7514" t="s">
        <v>814</v>
      </c>
      <c r="J7514" t="s">
        <v>325</v>
      </c>
    </row>
    <row r="7515" spans="1:10" x14ac:dyDescent="0.3">
      <c r="A7515" t="s">
        <v>14122</v>
      </c>
      <c r="B7515" t="s">
        <v>391</v>
      </c>
      <c r="D7515">
        <v>10</v>
      </c>
      <c r="E7515" t="s">
        <v>23</v>
      </c>
      <c r="F7515" t="s">
        <v>292</v>
      </c>
    </row>
    <row r="7516" spans="1:10" x14ac:dyDescent="0.3">
      <c r="A7516" t="s">
        <v>14123</v>
      </c>
      <c r="B7516" t="s">
        <v>2138</v>
      </c>
      <c r="F7516" t="s">
        <v>2138</v>
      </c>
    </row>
    <row r="7517" spans="1:10" x14ac:dyDescent="0.3">
      <c r="A7517" t="s">
        <v>14124</v>
      </c>
      <c r="B7517" t="s">
        <v>14125</v>
      </c>
      <c r="D7517">
        <v>20</v>
      </c>
      <c r="E7517" t="s">
        <v>29</v>
      </c>
      <c r="F7517" t="s">
        <v>2958</v>
      </c>
    </row>
    <row r="7518" spans="1:10" x14ac:dyDescent="0.3">
      <c r="A7518" t="s">
        <v>14126</v>
      </c>
      <c r="B7518" t="s">
        <v>14127</v>
      </c>
      <c r="D7518">
        <v>50</v>
      </c>
      <c r="E7518" t="s">
        <v>29</v>
      </c>
      <c r="F7518" t="s">
        <v>14128</v>
      </c>
    </row>
    <row r="7519" spans="1:10" x14ac:dyDescent="0.3">
      <c r="A7519" t="s">
        <v>3885</v>
      </c>
      <c r="B7519" t="s">
        <v>14129</v>
      </c>
      <c r="D7519">
        <v>1</v>
      </c>
      <c r="E7519" t="s">
        <v>23</v>
      </c>
      <c r="F7519" t="s">
        <v>14130</v>
      </c>
      <c r="J7519" t="s">
        <v>14131</v>
      </c>
    </row>
    <row r="7520" spans="1:10" x14ac:dyDescent="0.3">
      <c r="A7520" t="s">
        <v>14132</v>
      </c>
      <c r="B7520" t="s">
        <v>7462</v>
      </c>
      <c r="D7520">
        <v>1</v>
      </c>
      <c r="F7520" t="s">
        <v>14133</v>
      </c>
      <c r="J7520" t="s">
        <v>248</v>
      </c>
    </row>
    <row r="7521" spans="1:10" x14ac:dyDescent="0.3">
      <c r="A7521" t="s">
        <v>14134</v>
      </c>
      <c r="B7521" t="s">
        <v>14135</v>
      </c>
      <c r="D7521">
        <v>0.5</v>
      </c>
      <c r="E7521" t="s">
        <v>23</v>
      </c>
      <c r="F7521" t="s">
        <v>14136</v>
      </c>
    </row>
    <row r="7522" spans="1:10" x14ac:dyDescent="0.3">
      <c r="A7522" t="s">
        <v>14137</v>
      </c>
      <c r="B7522" t="s">
        <v>7161</v>
      </c>
      <c r="D7522">
        <v>1</v>
      </c>
      <c r="E7522" t="s">
        <v>37</v>
      </c>
      <c r="F7522" t="s">
        <v>1751</v>
      </c>
    </row>
    <row r="7523" spans="1:10" x14ac:dyDescent="0.3">
      <c r="A7523" t="s">
        <v>4297</v>
      </c>
      <c r="B7523" t="s">
        <v>1193</v>
      </c>
      <c r="F7523" t="s">
        <v>1193</v>
      </c>
    </row>
    <row r="7524" spans="1:10" x14ac:dyDescent="0.3">
      <c r="A7524" t="s">
        <v>14138</v>
      </c>
      <c r="B7524" t="s">
        <v>152</v>
      </c>
      <c r="F7524" t="s">
        <v>152</v>
      </c>
    </row>
    <row r="7525" spans="1:10" x14ac:dyDescent="0.3">
      <c r="A7525" t="s">
        <v>1756</v>
      </c>
      <c r="B7525" t="s">
        <v>14139</v>
      </c>
      <c r="D7525">
        <v>1</v>
      </c>
      <c r="E7525" t="s">
        <v>71</v>
      </c>
      <c r="F7525" t="s">
        <v>160</v>
      </c>
    </row>
    <row r="7526" spans="1:10" x14ac:dyDescent="0.3">
      <c r="A7526" t="s">
        <v>14140</v>
      </c>
      <c r="B7526" t="s">
        <v>14141</v>
      </c>
      <c r="D7526">
        <v>4</v>
      </c>
      <c r="E7526" t="s">
        <v>345</v>
      </c>
      <c r="F7526" t="s">
        <v>1077</v>
      </c>
    </row>
    <row r="7527" spans="1:10" x14ac:dyDescent="0.3">
      <c r="A7527" t="s">
        <v>14142</v>
      </c>
      <c r="B7527" t="s">
        <v>7565</v>
      </c>
      <c r="D7527">
        <v>2</v>
      </c>
      <c r="E7527" t="s">
        <v>91</v>
      </c>
      <c r="F7527" t="s">
        <v>3403</v>
      </c>
    </row>
    <row r="7528" spans="1:10" x14ac:dyDescent="0.3">
      <c r="A7528" t="s">
        <v>14143</v>
      </c>
      <c r="B7528" t="s">
        <v>14144</v>
      </c>
      <c r="D7528">
        <v>1</v>
      </c>
      <c r="E7528" t="s">
        <v>2646</v>
      </c>
      <c r="F7528" t="s">
        <v>1463</v>
      </c>
      <c r="I7528" t="s">
        <v>1078</v>
      </c>
    </row>
    <row r="7529" spans="1:10" x14ac:dyDescent="0.3">
      <c r="A7529" t="s">
        <v>14145</v>
      </c>
      <c r="B7529" t="s">
        <v>388</v>
      </c>
      <c r="D7529">
        <v>0.5</v>
      </c>
      <c r="E7529" t="s">
        <v>23</v>
      </c>
      <c r="F7529" t="s">
        <v>331</v>
      </c>
    </row>
    <row r="7530" spans="1:10" x14ac:dyDescent="0.3">
      <c r="A7530" t="s">
        <v>14146</v>
      </c>
      <c r="B7530" t="s">
        <v>14147</v>
      </c>
      <c r="D7530">
        <v>1</v>
      </c>
      <c r="E7530" t="s">
        <v>469</v>
      </c>
      <c r="F7530" t="s">
        <v>51</v>
      </c>
    </row>
    <row r="7531" spans="1:10" x14ac:dyDescent="0.3">
      <c r="A7531" t="s">
        <v>161</v>
      </c>
      <c r="B7531" t="s">
        <v>11320</v>
      </c>
      <c r="D7531">
        <v>0.75</v>
      </c>
      <c r="E7531" t="s">
        <v>23</v>
      </c>
      <c r="F7531" t="s">
        <v>1003</v>
      </c>
    </row>
    <row r="7532" spans="1:10" x14ac:dyDescent="0.3">
      <c r="A7532" t="s">
        <v>12796</v>
      </c>
      <c r="B7532" t="s">
        <v>2988</v>
      </c>
      <c r="D7532">
        <v>0.75</v>
      </c>
      <c r="E7532" t="s">
        <v>37</v>
      </c>
      <c r="F7532" t="s">
        <v>81</v>
      </c>
    </row>
    <row r="7533" spans="1:10" x14ac:dyDescent="0.3">
      <c r="A7533" t="s">
        <v>13719</v>
      </c>
      <c r="B7533" t="s">
        <v>14148</v>
      </c>
      <c r="D7533">
        <v>1</v>
      </c>
      <c r="E7533" t="s">
        <v>361</v>
      </c>
      <c r="F7533" t="s">
        <v>2406</v>
      </c>
      <c r="J7533" t="s">
        <v>14149</v>
      </c>
    </row>
    <row r="7534" spans="1:10" x14ac:dyDescent="0.3">
      <c r="A7534" t="s">
        <v>14150</v>
      </c>
      <c r="B7534" t="s">
        <v>13142</v>
      </c>
      <c r="D7534">
        <v>1.5</v>
      </c>
      <c r="E7534" t="s">
        <v>23</v>
      </c>
      <c r="F7534" t="s">
        <v>1589</v>
      </c>
    </row>
    <row r="7535" spans="1:10" x14ac:dyDescent="0.3">
      <c r="A7535" t="s">
        <v>14151</v>
      </c>
      <c r="B7535" t="s">
        <v>14152</v>
      </c>
      <c r="D7535">
        <v>2</v>
      </c>
      <c r="E7535" t="s">
        <v>473</v>
      </c>
      <c r="F7535" t="s">
        <v>14153</v>
      </c>
    </row>
    <row r="7536" spans="1:10" x14ac:dyDescent="0.3">
      <c r="A7536" t="s">
        <v>14154</v>
      </c>
      <c r="B7536" t="s">
        <v>14155</v>
      </c>
      <c r="D7536">
        <v>2</v>
      </c>
      <c r="E7536" t="s">
        <v>91</v>
      </c>
      <c r="F7536" t="s">
        <v>12180</v>
      </c>
    </row>
    <row r="7537" spans="1:10" x14ac:dyDescent="0.3">
      <c r="A7537" t="s">
        <v>9473</v>
      </c>
      <c r="B7537" t="s">
        <v>14156</v>
      </c>
      <c r="D7537">
        <v>0.75</v>
      </c>
      <c r="E7537" t="s">
        <v>37</v>
      </c>
      <c r="F7537" t="s">
        <v>1537</v>
      </c>
    </row>
    <row r="7538" spans="1:10" x14ac:dyDescent="0.3">
      <c r="A7538" t="s">
        <v>14157</v>
      </c>
      <c r="B7538" t="s">
        <v>14158</v>
      </c>
      <c r="D7538">
        <v>1</v>
      </c>
      <c r="E7538" t="s">
        <v>460</v>
      </c>
      <c r="F7538" t="s">
        <v>51</v>
      </c>
    </row>
    <row r="7539" spans="1:10" x14ac:dyDescent="0.3">
      <c r="A7539" t="s">
        <v>10495</v>
      </c>
      <c r="B7539" t="s">
        <v>1561</v>
      </c>
      <c r="F7539" t="s">
        <v>1561</v>
      </c>
    </row>
    <row r="7540" spans="1:10" x14ac:dyDescent="0.3">
      <c r="A7540" t="s">
        <v>14159</v>
      </c>
      <c r="B7540" t="s">
        <v>14160</v>
      </c>
      <c r="D7540">
        <v>1</v>
      </c>
      <c r="E7540" t="s">
        <v>120</v>
      </c>
      <c r="F7540" t="s">
        <v>183</v>
      </c>
    </row>
    <row r="7541" spans="1:10" x14ac:dyDescent="0.3">
      <c r="A7541" t="s">
        <v>14161</v>
      </c>
      <c r="B7541" t="s">
        <v>5534</v>
      </c>
      <c r="D7541">
        <v>1</v>
      </c>
      <c r="E7541" t="s">
        <v>23</v>
      </c>
      <c r="F7541" t="s">
        <v>1087</v>
      </c>
    </row>
    <row r="7542" spans="1:10" x14ac:dyDescent="0.3">
      <c r="A7542" t="s">
        <v>3152</v>
      </c>
      <c r="B7542" t="s">
        <v>10269</v>
      </c>
      <c r="D7542">
        <v>0.5</v>
      </c>
      <c r="E7542" t="s">
        <v>37</v>
      </c>
      <c r="F7542" t="s">
        <v>2292</v>
      </c>
    </row>
    <row r="7543" spans="1:10" x14ac:dyDescent="0.3">
      <c r="A7543" t="s">
        <v>921</v>
      </c>
      <c r="B7543" t="s">
        <v>14162</v>
      </c>
      <c r="D7543">
        <v>1</v>
      </c>
      <c r="E7543" t="s">
        <v>23</v>
      </c>
      <c r="F7543" t="s">
        <v>14163</v>
      </c>
    </row>
    <row r="7544" spans="1:10" x14ac:dyDescent="0.3">
      <c r="A7544" t="s">
        <v>14164</v>
      </c>
      <c r="B7544" t="s">
        <v>4177</v>
      </c>
      <c r="D7544">
        <v>1</v>
      </c>
      <c r="E7544" t="s">
        <v>1338</v>
      </c>
      <c r="F7544" t="s">
        <v>331</v>
      </c>
    </row>
    <row r="7545" spans="1:10" x14ac:dyDescent="0.3">
      <c r="A7545" t="s">
        <v>14165</v>
      </c>
      <c r="B7545" t="s">
        <v>14166</v>
      </c>
      <c r="D7545">
        <v>1</v>
      </c>
      <c r="E7545" t="s">
        <v>37</v>
      </c>
      <c r="F7545" t="s">
        <v>14167</v>
      </c>
    </row>
    <row r="7546" spans="1:10" x14ac:dyDescent="0.3">
      <c r="A7546" t="s">
        <v>14168</v>
      </c>
      <c r="B7546" t="s">
        <v>14169</v>
      </c>
      <c r="D7546">
        <v>2</v>
      </c>
      <c r="E7546" t="s">
        <v>23</v>
      </c>
      <c r="F7546" t="s">
        <v>160</v>
      </c>
      <c r="H7546" t="s">
        <v>68</v>
      </c>
    </row>
    <row r="7547" spans="1:10" x14ac:dyDescent="0.3">
      <c r="A7547" t="s">
        <v>8062</v>
      </c>
      <c r="B7547" t="s">
        <v>14170</v>
      </c>
      <c r="D7547">
        <v>10</v>
      </c>
      <c r="E7547" t="s">
        <v>29</v>
      </c>
      <c r="F7547" t="s">
        <v>14171</v>
      </c>
    </row>
    <row r="7548" spans="1:10" x14ac:dyDescent="0.3">
      <c r="A7548" t="s">
        <v>14172</v>
      </c>
      <c r="B7548" t="s">
        <v>618</v>
      </c>
      <c r="D7548">
        <v>1</v>
      </c>
      <c r="F7548" t="s">
        <v>299</v>
      </c>
      <c r="J7548" t="s">
        <v>248</v>
      </c>
    </row>
    <row r="7549" spans="1:10" x14ac:dyDescent="0.3">
      <c r="A7549" t="s">
        <v>14173</v>
      </c>
      <c r="B7549" t="s">
        <v>14174</v>
      </c>
      <c r="D7549">
        <v>0.75</v>
      </c>
      <c r="E7549" t="s">
        <v>91</v>
      </c>
      <c r="F7549" t="s">
        <v>14175</v>
      </c>
      <c r="H7549" t="s">
        <v>814</v>
      </c>
      <c r="J7549" t="s">
        <v>20</v>
      </c>
    </row>
    <row r="7550" spans="1:10" x14ac:dyDescent="0.3">
      <c r="A7550" t="s">
        <v>14176</v>
      </c>
      <c r="B7550" t="s">
        <v>14177</v>
      </c>
      <c r="D7550">
        <v>35</v>
      </c>
      <c r="E7550" t="s">
        <v>29</v>
      </c>
      <c r="F7550" t="s">
        <v>14178</v>
      </c>
    </row>
    <row r="7551" spans="1:10" x14ac:dyDescent="0.3">
      <c r="A7551" t="s">
        <v>14179</v>
      </c>
      <c r="B7551" t="s">
        <v>3424</v>
      </c>
      <c r="D7551">
        <v>1</v>
      </c>
      <c r="E7551" t="s">
        <v>23</v>
      </c>
      <c r="F7551" t="s">
        <v>1209</v>
      </c>
    </row>
    <row r="7552" spans="1:10" x14ac:dyDescent="0.3">
      <c r="A7552" t="s">
        <v>14180</v>
      </c>
      <c r="B7552" t="s">
        <v>14181</v>
      </c>
      <c r="D7552">
        <v>0.5</v>
      </c>
      <c r="E7552" t="s">
        <v>23</v>
      </c>
      <c r="F7552" t="s">
        <v>14182</v>
      </c>
    </row>
    <row r="7553" spans="1:10" x14ac:dyDescent="0.3">
      <c r="A7553" t="s">
        <v>14183</v>
      </c>
      <c r="B7553" t="s">
        <v>1726</v>
      </c>
      <c r="D7553">
        <v>0.5</v>
      </c>
      <c r="E7553" t="s">
        <v>23</v>
      </c>
      <c r="F7553" t="s">
        <v>95</v>
      </c>
    </row>
    <row r="7554" spans="1:10" x14ac:dyDescent="0.3">
      <c r="A7554" t="s">
        <v>3605</v>
      </c>
      <c r="B7554" t="s">
        <v>14184</v>
      </c>
      <c r="D7554">
        <v>25</v>
      </c>
      <c r="E7554" t="s">
        <v>29</v>
      </c>
      <c r="F7554" t="s">
        <v>14185</v>
      </c>
    </row>
    <row r="7555" spans="1:10" x14ac:dyDescent="0.3">
      <c r="A7555" t="s">
        <v>14186</v>
      </c>
      <c r="B7555" t="s">
        <v>1900</v>
      </c>
      <c r="D7555">
        <v>0.5</v>
      </c>
      <c r="E7555" t="s">
        <v>23</v>
      </c>
      <c r="F7555" t="s">
        <v>183</v>
      </c>
      <c r="J7555" t="s">
        <v>289</v>
      </c>
    </row>
    <row r="7556" spans="1:10" x14ac:dyDescent="0.3">
      <c r="A7556" t="s">
        <v>2856</v>
      </c>
      <c r="B7556" t="s">
        <v>14187</v>
      </c>
      <c r="D7556">
        <v>2</v>
      </c>
      <c r="E7556" t="s">
        <v>460</v>
      </c>
      <c r="F7556" t="s">
        <v>14188</v>
      </c>
    </row>
    <row r="7557" spans="1:10" x14ac:dyDescent="0.3">
      <c r="A7557" t="s">
        <v>6358</v>
      </c>
      <c r="B7557" t="s">
        <v>10887</v>
      </c>
      <c r="D7557">
        <v>10.5</v>
      </c>
      <c r="E7557" t="s">
        <v>91</v>
      </c>
      <c r="F7557" t="s">
        <v>5688</v>
      </c>
    </row>
    <row r="7558" spans="1:10" x14ac:dyDescent="0.3">
      <c r="A7558" t="s">
        <v>5602</v>
      </c>
      <c r="B7558" t="s">
        <v>14189</v>
      </c>
      <c r="D7558">
        <v>1</v>
      </c>
      <c r="E7558" t="s">
        <v>37</v>
      </c>
      <c r="F7558" t="s">
        <v>1883</v>
      </c>
    </row>
    <row r="7559" spans="1:10" x14ac:dyDescent="0.3">
      <c r="A7559" t="s">
        <v>2300</v>
      </c>
      <c r="B7559" t="s">
        <v>14190</v>
      </c>
      <c r="D7559">
        <v>46</v>
      </c>
      <c r="F7559" t="s">
        <v>6046</v>
      </c>
    </row>
    <row r="7560" spans="1:10" x14ac:dyDescent="0.3">
      <c r="A7560" t="s">
        <v>875</v>
      </c>
      <c r="B7560" t="s">
        <v>5723</v>
      </c>
      <c r="D7560">
        <v>1</v>
      </c>
      <c r="E7560" t="s">
        <v>18</v>
      </c>
      <c r="F7560" t="s">
        <v>1895</v>
      </c>
    </row>
    <row r="7561" spans="1:10" x14ac:dyDescent="0.3">
      <c r="A7561" t="s">
        <v>14191</v>
      </c>
      <c r="B7561" t="s">
        <v>4236</v>
      </c>
      <c r="D7561">
        <v>1</v>
      </c>
      <c r="E7561" t="s">
        <v>23</v>
      </c>
      <c r="F7561" t="s">
        <v>253</v>
      </c>
    </row>
    <row r="7562" spans="1:10" x14ac:dyDescent="0.3">
      <c r="A7562" t="s">
        <v>14192</v>
      </c>
      <c r="B7562" t="s">
        <v>13695</v>
      </c>
      <c r="D7562">
        <v>10.5</v>
      </c>
      <c r="E7562" t="s">
        <v>23</v>
      </c>
      <c r="F7562" t="s">
        <v>220</v>
      </c>
    </row>
    <row r="7563" spans="1:10" x14ac:dyDescent="0.3">
      <c r="A7563" t="s">
        <v>8651</v>
      </c>
      <c r="B7563" t="s">
        <v>3826</v>
      </c>
      <c r="D7563">
        <v>1</v>
      </c>
      <c r="E7563" t="s">
        <v>37</v>
      </c>
      <c r="F7563" t="s">
        <v>38</v>
      </c>
    </row>
    <row r="7564" spans="1:10" x14ac:dyDescent="0.3">
      <c r="A7564" t="s">
        <v>9492</v>
      </c>
      <c r="B7564" t="s">
        <v>14193</v>
      </c>
      <c r="F7564" t="s">
        <v>14193</v>
      </c>
    </row>
    <row r="7565" spans="1:10" x14ac:dyDescent="0.3">
      <c r="A7565" t="s">
        <v>11055</v>
      </c>
      <c r="B7565" t="s">
        <v>333</v>
      </c>
      <c r="F7565" t="s">
        <v>333</v>
      </c>
    </row>
    <row r="7566" spans="1:10" x14ac:dyDescent="0.3">
      <c r="A7566" t="s">
        <v>14194</v>
      </c>
      <c r="B7566" t="s">
        <v>14195</v>
      </c>
      <c r="D7566">
        <v>0.5</v>
      </c>
      <c r="E7566" t="s">
        <v>37</v>
      </c>
      <c r="F7566" t="s">
        <v>8399</v>
      </c>
    </row>
    <row r="7567" spans="1:10" x14ac:dyDescent="0.3">
      <c r="A7567" t="s">
        <v>12806</v>
      </c>
      <c r="B7567" t="s">
        <v>907</v>
      </c>
      <c r="F7567" t="s">
        <v>907</v>
      </c>
    </row>
    <row r="7568" spans="1:10" x14ac:dyDescent="0.3">
      <c r="A7568" t="s">
        <v>14196</v>
      </c>
      <c r="B7568" t="s">
        <v>11596</v>
      </c>
      <c r="D7568">
        <v>0.75</v>
      </c>
      <c r="E7568" t="s">
        <v>23</v>
      </c>
      <c r="F7568" t="s">
        <v>30</v>
      </c>
      <c r="J7568" t="s">
        <v>289</v>
      </c>
    </row>
    <row r="7569" spans="1:10" x14ac:dyDescent="0.3">
      <c r="A7569" t="s">
        <v>3215</v>
      </c>
      <c r="B7569" t="s">
        <v>14197</v>
      </c>
      <c r="D7569">
        <v>1.5</v>
      </c>
      <c r="E7569" t="s">
        <v>23</v>
      </c>
      <c r="F7569" t="s">
        <v>14198</v>
      </c>
    </row>
    <row r="7570" spans="1:10" x14ac:dyDescent="0.3">
      <c r="A7570" t="s">
        <v>12181</v>
      </c>
      <c r="B7570" t="s">
        <v>3593</v>
      </c>
      <c r="D7570">
        <v>0.75</v>
      </c>
      <c r="E7570" t="s">
        <v>11</v>
      </c>
      <c r="F7570" t="s">
        <v>524</v>
      </c>
    </row>
    <row r="7571" spans="1:10" x14ac:dyDescent="0.3">
      <c r="A7571" t="s">
        <v>7454</v>
      </c>
      <c r="B7571" t="s">
        <v>14199</v>
      </c>
      <c r="D7571">
        <v>2</v>
      </c>
      <c r="E7571" t="s">
        <v>715</v>
      </c>
      <c r="F7571" t="s">
        <v>1003</v>
      </c>
    </row>
    <row r="7572" spans="1:10" x14ac:dyDescent="0.3">
      <c r="A7572" t="s">
        <v>14200</v>
      </c>
      <c r="B7572" t="s">
        <v>2635</v>
      </c>
      <c r="D7572">
        <v>0.5</v>
      </c>
      <c r="E7572" t="s">
        <v>11</v>
      </c>
      <c r="F7572" t="s">
        <v>2636</v>
      </c>
    </row>
    <row r="7573" spans="1:10" x14ac:dyDescent="0.3">
      <c r="A7573" t="s">
        <v>9491</v>
      </c>
      <c r="B7573" t="s">
        <v>4304</v>
      </c>
      <c r="E7573" t="s">
        <v>1281</v>
      </c>
      <c r="F7573" t="s">
        <v>163</v>
      </c>
    </row>
    <row r="7574" spans="1:10" x14ac:dyDescent="0.3">
      <c r="A7574" t="s">
        <v>1249</v>
      </c>
      <c r="B7574" t="s">
        <v>262</v>
      </c>
      <c r="F7574" t="s">
        <v>262</v>
      </c>
    </row>
    <row r="7575" spans="1:10" x14ac:dyDescent="0.3">
      <c r="A7575" t="s">
        <v>7706</v>
      </c>
      <c r="B7575" t="s">
        <v>166</v>
      </c>
      <c r="D7575">
        <v>0.5</v>
      </c>
      <c r="E7575" t="s">
        <v>37</v>
      </c>
      <c r="F7575" t="s">
        <v>38</v>
      </c>
      <c r="G7575" t="s">
        <v>167</v>
      </c>
      <c r="H7575" t="s">
        <v>168</v>
      </c>
      <c r="J7575" t="s">
        <v>325</v>
      </c>
    </row>
    <row r="7576" spans="1:10" x14ac:dyDescent="0.3">
      <c r="A7576" t="s">
        <v>2265</v>
      </c>
      <c r="B7576" t="s">
        <v>14201</v>
      </c>
      <c r="D7576">
        <v>0.25</v>
      </c>
      <c r="F7576" t="s">
        <v>14202</v>
      </c>
    </row>
    <row r="7577" spans="1:10" x14ac:dyDescent="0.3">
      <c r="A7577" t="s">
        <v>14203</v>
      </c>
      <c r="B7577" t="s">
        <v>14204</v>
      </c>
      <c r="D7577">
        <v>4</v>
      </c>
      <c r="F7577" t="s">
        <v>9140</v>
      </c>
      <c r="J7577" t="s">
        <v>1154</v>
      </c>
    </row>
    <row r="7578" spans="1:10" x14ac:dyDescent="0.3">
      <c r="A7578" t="s">
        <v>14205</v>
      </c>
      <c r="B7578" t="s">
        <v>14206</v>
      </c>
      <c r="D7578">
        <v>1</v>
      </c>
      <c r="E7578" t="s">
        <v>1785</v>
      </c>
      <c r="F7578" t="s">
        <v>716</v>
      </c>
    </row>
    <row r="7579" spans="1:10" x14ac:dyDescent="0.3">
      <c r="A7579" t="s">
        <v>5008</v>
      </c>
      <c r="B7579" t="s">
        <v>14207</v>
      </c>
      <c r="D7579">
        <v>0.25</v>
      </c>
      <c r="E7579" t="s">
        <v>37</v>
      </c>
      <c r="F7579" t="s">
        <v>4728</v>
      </c>
    </row>
    <row r="7580" spans="1:10" x14ac:dyDescent="0.3">
      <c r="A7580" t="s">
        <v>13081</v>
      </c>
      <c r="B7580" t="s">
        <v>14208</v>
      </c>
      <c r="D7580">
        <v>0.75</v>
      </c>
      <c r="E7580" t="s">
        <v>37</v>
      </c>
      <c r="F7580" t="s">
        <v>1718</v>
      </c>
      <c r="J7580" t="s">
        <v>14209</v>
      </c>
    </row>
    <row r="7581" spans="1:10" x14ac:dyDescent="0.3">
      <c r="A7581" t="s">
        <v>2139</v>
      </c>
      <c r="B7581" t="s">
        <v>14210</v>
      </c>
      <c r="D7581">
        <v>1.5</v>
      </c>
      <c r="E7581" t="s">
        <v>23</v>
      </c>
      <c r="F7581" t="s">
        <v>781</v>
      </c>
      <c r="J7581" t="s">
        <v>289</v>
      </c>
    </row>
    <row r="7582" spans="1:10" x14ac:dyDescent="0.3">
      <c r="A7582" t="s">
        <v>10137</v>
      </c>
      <c r="B7582" t="s">
        <v>13159</v>
      </c>
      <c r="D7582">
        <v>1</v>
      </c>
      <c r="E7582" t="s">
        <v>11</v>
      </c>
      <c r="F7582" t="s">
        <v>7398</v>
      </c>
    </row>
    <row r="7583" spans="1:10" x14ac:dyDescent="0.3">
      <c r="A7583" t="s">
        <v>14211</v>
      </c>
      <c r="B7583" t="s">
        <v>8899</v>
      </c>
      <c r="D7583">
        <v>1</v>
      </c>
      <c r="E7583" t="s">
        <v>23</v>
      </c>
      <c r="F7583" t="s">
        <v>262</v>
      </c>
    </row>
    <row r="7584" spans="1:10" x14ac:dyDescent="0.3">
      <c r="A7584" t="s">
        <v>14212</v>
      </c>
      <c r="B7584" t="s">
        <v>3085</v>
      </c>
      <c r="D7584">
        <v>1</v>
      </c>
      <c r="E7584" t="s">
        <v>23</v>
      </c>
      <c r="F7584" t="s">
        <v>1059</v>
      </c>
    </row>
    <row r="7585" spans="1:10" x14ac:dyDescent="0.3">
      <c r="A7585" t="s">
        <v>14213</v>
      </c>
      <c r="B7585" t="s">
        <v>9986</v>
      </c>
      <c r="D7585">
        <v>1</v>
      </c>
      <c r="E7585" t="s">
        <v>23</v>
      </c>
      <c r="F7585" t="s">
        <v>2096</v>
      </c>
    </row>
    <row r="7586" spans="1:10" x14ac:dyDescent="0.3">
      <c r="A7586" t="s">
        <v>2586</v>
      </c>
      <c r="B7586" t="s">
        <v>51</v>
      </c>
      <c r="F7586" t="s">
        <v>51</v>
      </c>
    </row>
    <row r="7587" spans="1:10" x14ac:dyDescent="0.3">
      <c r="A7587" t="s">
        <v>4001</v>
      </c>
      <c r="B7587" t="s">
        <v>1237</v>
      </c>
      <c r="D7587">
        <v>1</v>
      </c>
      <c r="E7587" t="s">
        <v>23</v>
      </c>
      <c r="F7587" t="s">
        <v>1238</v>
      </c>
    </row>
    <row r="7588" spans="1:10" x14ac:dyDescent="0.3">
      <c r="A7588" t="s">
        <v>3076</v>
      </c>
      <c r="B7588" t="s">
        <v>14214</v>
      </c>
      <c r="D7588">
        <v>0.5</v>
      </c>
      <c r="E7588" t="s">
        <v>23</v>
      </c>
      <c r="F7588" t="s">
        <v>14215</v>
      </c>
    </row>
    <row r="7589" spans="1:10" x14ac:dyDescent="0.3">
      <c r="A7589" t="s">
        <v>12110</v>
      </c>
      <c r="B7589" t="s">
        <v>14216</v>
      </c>
      <c r="D7589">
        <v>0.5</v>
      </c>
      <c r="E7589" t="s">
        <v>460</v>
      </c>
      <c r="F7589" t="s">
        <v>14217</v>
      </c>
    </row>
    <row r="7590" spans="1:10" x14ac:dyDescent="0.3">
      <c r="A7590" t="s">
        <v>14218</v>
      </c>
      <c r="B7590" t="s">
        <v>2309</v>
      </c>
      <c r="D7590">
        <v>0.5</v>
      </c>
      <c r="E7590" t="s">
        <v>23</v>
      </c>
      <c r="F7590" t="s">
        <v>338</v>
      </c>
    </row>
    <row r="7591" spans="1:10" x14ac:dyDescent="0.3">
      <c r="A7591" t="s">
        <v>14219</v>
      </c>
      <c r="B7591" t="s">
        <v>2410</v>
      </c>
      <c r="F7591" t="s">
        <v>2410</v>
      </c>
    </row>
    <row r="7592" spans="1:10" x14ac:dyDescent="0.3">
      <c r="A7592" t="s">
        <v>14220</v>
      </c>
      <c r="B7592" t="s">
        <v>13199</v>
      </c>
      <c r="E7592" t="s">
        <v>435</v>
      </c>
      <c r="F7592" t="s">
        <v>1056</v>
      </c>
      <c r="J7592" t="s">
        <v>164</v>
      </c>
    </row>
    <row r="7593" spans="1:10" x14ac:dyDescent="0.3">
      <c r="A7593" t="s">
        <v>3722</v>
      </c>
      <c r="B7593" t="s">
        <v>14221</v>
      </c>
      <c r="D7593">
        <v>2.5</v>
      </c>
      <c r="E7593" t="s">
        <v>206</v>
      </c>
      <c r="F7593" t="s">
        <v>220</v>
      </c>
    </row>
    <row r="7594" spans="1:10" x14ac:dyDescent="0.3">
      <c r="A7594" t="s">
        <v>14222</v>
      </c>
      <c r="B7594" t="s">
        <v>1011</v>
      </c>
      <c r="F7594" t="s">
        <v>1011</v>
      </c>
    </row>
    <row r="7595" spans="1:10" x14ac:dyDescent="0.3">
      <c r="A7595" t="s">
        <v>14223</v>
      </c>
      <c r="B7595" t="s">
        <v>14224</v>
      </c>
      <c r="F7595" t="s">
        <v>14224</v>
      </c>
    </row>
    <row r="7596" spans="1:10" x14ac:dyDescent="0.3">
      <c r="A7596" t="s">
        <v>14225</v>
      </c>
      <c r="B7596" t="s">
        <v>923</v>
      </c>
      <c r="D7596">
        <v>1.5</v>
      </c>
      <c r="E7596" t="s">
        <v>23</v>
      </c>
      <c r="F7596" t="s">
        <v>793</v>
      </c>
    </row>
    <row r="7597" spans="1:10" x14ac:dyDescent="0.3">
      <c r="A7597" t="s">
        <v>8285</v>
      </c>
      <c r="B7597" t="s">
        <v>14226</v>
      </c>
      <c r="D7597">
        <v>25</v>
      </c>
      <c r="E7597" t="s">
        <v>29</v>
      </c>
      <c r="F7597" t="s">
        <v>793</v>
      </c>
    </row>
    <row r="7598" spans="1:10" x14ac:dyDescent="0.3">
      <c r="A7598" t="s">
        <v>14227</v>
      </c>
      <c r="B7598" t="s">
        <v>14228</v>
      </c>
      <c r="D7598">
        <v>0.5</v>
      </c>
      <c r="E7598" t="s">
        <v>37</v>
      </c>
      <c r="F7598" t="s">
        <v>160</v>
      </c>
      <c r="J7598" t="s">
        <v>14229</v>
      </c>
    </row>
    <row r="7599" spans="1:10" x14ac:dyDescent="0.3">
      <c r="A7599" t="s">
        <v>14230</v>
      </c>
      <c r="B7599" t="s">
        <v>14231</v>
      </c>
      <c r="D7599">
        <v>0.5</v>
      </c>
      <c r="E7599" t="s">
        <v>37</v>
      </c>
      <c r="F7599" t="s">
        <v>2984</v>
      </c>
      <c r="J7599" t="s">
        <v>14232</v>
      </c>
    </row>
    <row r="7600" spans="1:10" x14ac:dyDescent="0.3">
      <c r="A7600" t="s">
        <v>14233</v>
      </c>
      <c r="B7600" t="s">
        <v>4395</v>
      </c>
      <c r="D7600">
        <v>1</v>
      </c>
      <c r="E7600" t="s">
        <v>23</v>
      </c>
      <c r="F7600" t="s">
        <v>102</v>
      </c>
    </row>
    <row r="7601" spans="1:10" x14ac:dyDescent="0.3">
      <c r="A7601" t="s">
        <v>14234</v>
      </c>
      <c r="B7601" t="s">
        <v>3424</v>
      </c>
      <c r="D7601">
        <v>1</v>
      </c>
      <c r="E7601" t="s">
        <v>23</v>
      </c>
      <c r="F7601" t="s">
        <v>1209</v>
      </c>
    </row>
    <row r="7602" spans="1:10" x14ac:dyDescent="0.3">
      <c r="A7602" t="s">
        <v>14235</v>
      </c>
      <c r="B7602" t="s">
        <v>14236</v>
      </c>
      <c r="D7602">
        <v>1</v>
      </c>
      <c r="E7602" t="s">
        <v>2646</v>
      </c>
      <c r="F7602" t="s">
        <v>14237</v>
      </c>
      <c r="J7602" t="s">
        <v>1470</v>
      </c>
    </row>
    <row r="7603" spans="1:10" x14ac:dyDescent="0.3">
      <c r="A7603" t="s">
        <v>14238</v>
      </c>
      <c r="B7603" t="s">
        <v>14239</v>
      </c>
      <c r="D7603">
        <v>0.25</v>
      </c>
      <c r="E7603" t="s">
        <v>37</v>
      </c>
      <c r="F7603" t="s">
        <v>14240</v>
      </c>
      <c r="G7603" t="s">
        <v>167</v>
      </c>
      <c r="H7603" t="s">
        <v>168</v>
      </c>
      <c r="J7603" t="s">
        <v>14241</v>
      </c>
    </row>
    <row r="7604" spans="1:10" x14ac:dyDescent="0.3">
      <c r="A7604" t="s">
        <v>2716</v>
      </c>
      <c r="B7604" t="s">
        <v>14242</v>
      </c>
      <c r="D7604">
        <v>2</v>
      </c>
      <c r="E7604" t="s">
        <v>91</v>
      </c>
      <c r="F7604" t="s">
        <v>14243</v>
      </c>
    </row>
    <row r="7605" spans="1:10" x14ac:dyDescent="0.3">
      <c r="A7605" t="s">
        <v>14244</v>
      </c>
      <c r="B7605" t="s">
        <v>14245</v>
      </c>
      <c r="D7605">
        <v>1</v>
      </c>
      <c r="E7605" t="s">
        <v>4545</v>
      </c>
      <c r="F7605" t="s">
        <v>11023</v>
      </c>
    </row>
    <row r="7606" spans="1:10" x14ac:dyDescent="0.3">
      <c r="A7606" t="s">
        <v>14246</v>
      </c>
      <c r="B7606" t="s">
        <v>5305</v>
      </c>
      <c r="D7606">
        <v>0.5</v>
      </c>
      <c r="E7606" t="s">
        <v>23</v>
      </c>
      <c r="F7606" t="s">
        <v>171</v>
      </c>
    </row>
    <row r="7607" spans="1:10" x14ac:dyDescent="0.3">
      <c r="A7607" t="s">
        <v>5191</v>
      </c>
      <c r="B7607" t="s">
        <v>1424</v>
      </c>
      <c r="D7607">
        <v>2</v>
      </c>
      <c r="E7607" t="s">
        <v>23</v>
      </c>
      <c r="F7607" t="s">
        <v>516</v>
      </c>
    </row>
    <row r="7608" spans="1:10" x14ac:dyDescent="0.3">
      <c r="A7608" t="s">
        <v>14247</v>
      </c>
      <c r="B7608" t="s">
        <v>159</v>
      </c>
      <c r="D7608">
        <v>0.75</v>
      </c>
      <c r="E7608" t="s">
        <v>23</v>
      </c>
      <c r="F7608" t="s">
        <v>160</v>
      </c>
      <c r="H7608" t="s">
        <v>68</v>
      </c>
    </row>
    <row r="7609" spans="1:10" x14ac:dyDescent="0.3">
      <c r="A7609" t="s">
        <v>6507</v>
      </c>
      <c r="B7609" t="s">
        <v>14248</v>
      </c>
      <c r="D7609">
        <v>50</v>
      </c>
      <c r="E7609" t="s">
        <v>29</v>
      </c>
      <c r="F7609" t="s">
        <v>14249</v>
      </c>
      <c r="J7609" t="s">
        <v>3025</v>
      </c>
    </row>
    <row r="7610" spans="1:10" x14ac:dyDescent="0.3">
      <c r="A7610" t="s">
        <v>14250</v>
      </c>
      <c r="B7610" t="s">
        <v>4919</v>
      </c>
      <c r="D7610">
        <v>0.5</v>
      </c>
      <c r="E7610" t="s">
        <v>23</v>
      </c>
      <c r="F7610" t="s">
        <v>30</v>
      </c>
    </row>
    <row r="7611" spans="1:10" x14ac:dyDescent="0.3">
      <c r="A7611" t="s">
        <v>14251</v>
      </c>
      <c r="B7611" t="s">
        <v>14252</v>
      </c>
      <c r="D7611">
        <v>1</v>
      </c>
      <c r="F7611" t="s">
        <v>14253</v>
      </c>
    </row>
    <row r="7612" spans="1:10" x14ac:dyDescent="0.3">
      <c r="A7612" t="s">
        <v>14254</v>
      </c>
      <c r="B7612" t="s">
        <v>14255</v>
      </c>
      <c r="D7612">
        <v>1</v>
      </c>
      <c r="E7612" t="s">
        <v>585</v>
      </c>
      <c r="F7612" t="s">
        <v>3471</v>
      </c>
      <c r="J7612" t="s">
        <v>248</v>
      </c>
    </row>
    <row r="7613" spans="1:10" x14ac:dyDescent="0.3">
      <c r="A7613" t="s">
        <v>14256</v>
      </c>
      <c r="B7613" t="s">
        <v>14257</v>
      </c>
      <c r="D7613">
        <v>2</v>
      </c>
      <c r="E7613" t="s">
        <v>23</v>
      </c>
      <c r="F7613" t="s">
        <v>1701</v>
      </c>
    </row>
    <row r="7614" spans="1:10" x14ac:dyDescent="0.3">
      <c r="A7614" t="s">
        <v>13088</v>
      </c>
      <c r="B7614" t="s">
        <v>1193</v>
      </c>
      <c r="F7614" t="s">
        <v>1193</v>
      </c>
    </row>
    <row r="7615" spans="1:10" x14ac:dyDescent="0.3">
      <c r="A7615" t="s">
        <v>14258</v>
      </c>
      <c r="B7615" t="s">
        <v>14259</v>
      </c>
      <c r="D7615">
        <v>1</v>
      </c>
      <c r="E7615" t="s">
        <v>60</v>
      </c>
      <c r="F7615" t="s">
        <v>4114</v>
      </c>
    </row>
    <row r="7616" spans="1:10" x14ac:dyDescent="0.3">
      <c r="A7616" t="s">
        <v>14260</v>
      </c>
      <c r="B7616" t="s">
        <v>14261</v>
      </c>
      <c r="D7616" t="s">
        <v>2082</v>
      </c>
      <c r="E7616" t="s">
        <v>18</v>
      </c>
      <c r="F7616" t="s">
        <v>190</v>
      </c>
      <c r="J7616" t="s">
        <v>1652</v>
      </c>
    </row>
    <row r="7617" spans="1:10" x14ac:dyDescent="0.3">
      <c r="A7617" t="s">
        <v>14262</v>
      </c>
      <c r="B7617" t="s">
        <v>2805</v>
      </c>
      <c r="D7617">
        <v>1</v>
      </c>
      <c r="E7617" t="s">
        <v>23</v>
      </c>
      <c r="F7617" t="s">
        <v>2496</v>
      </c>
    </row>
    <row r="7618" spans="1:10" x14ac:dyDescent="0.3">
      <c r="A7618" t="s">
        <v>14263</v>
      </c>
      <c r="B7618" t="s">
        <v>12503</v>
      </c>
      <c r="F7618" t="s">
        <v>12503</v>
      </c>
    </row>
    <row r="7619" spans="1:10" x14ac:dyDescent="0.3">
      <c r="A7619" t="s">
        <v>14264</v>
      </c>
      <c r="B7619" t="s">
        <v>14265</v>
      </c>
      <c r="D7619">
        <v>0.25</v>
      </c>
      <c r="E7619" t="s">
        <v>23</v>
      </c>
      <c r="F7619" t="s">
        <v>331</v>
      </c>
    </row>
    <row r="7620" spans="1:10" x14ac:dyDescent="0.3">
      <c r="A7620" t="s">
        <v>5612</v>
      </c>
      <c r="B7620" t="s">
        <v>14266</v>
      </c>
      <c r="D7620">
        <v>0.5</v>
      </c>
      <c r="E7620" t="s">
        <v>23</v>
      </c>
      <c r="F7620" t="s">
        <v>8794</v>
      </c>
    </row>
    <row r="7621" spans="1:10" x14ac:dyDescent="0.3">
      <c r="A7621" t="s">
        <v>6024</v>
      </c>
      <c r="B7621" t="s">
        <v>14267</v>
      </c>
      <c r="D7621">
        <v>2</v>
      </c>
      <c r="E7621" t="s">
        <v>686</v>
      </c>
      <c r="F7621" t="s">
        <v>10818</v>
      </c>
      <c r="J7621" t="s">
        <v>14268</v>
      </c>
    </row>
    <row r="7622" spans="1:10" x14ac:dyDescent="0.3">
      <c r="A7622" t="s">
        <v>14269</v>
      </c>
      <c r="B7622" t="s">
        <v>607</v>
      </c>
      <c r="D7622">
        <v>0.5</v>
      </c>
      <c r="E7622" t="s">
        <v>23</v>
      </c>
      <c r="F7622" t="s">
        <v>292</v>
      </c>
    </row>
    <row r="7623" spans="1:10" x14ac:dyDescent="0.3">
      <c r="A7623" t="s">
        <v>9441</v>
      </c>
      <c r="B7623" t="s">
        <v>1692</v>
      </c>
      <c r="D7623">
        <v>0.75</v>
      </c>
      <c r="E7623" t="s">
        <v>11</v>
      </c>
      <c r="F7623" t="s">
        <v>423</v>
      </c>
    </row>
    <row r="7624" spans="1:10" x14ac:dyDescent="0.3">
      <c r="A7624" t="s">
        <v>3418</v>
      </c>
      <c r="B7624" t="s">
        <v>1235</v>
      </c>
      <c r="D7624">
        <v>0.5</v>
      </c>
      <c r="E7624" t="s">
        <v>11</v>
      </c>
      <c r="F7624" t="s">
        <v>88</v>
      </c>
    </row>
    <row r="7625" spans="1:10" x14ac:dyDescent="0.3">
      <c r="A7625" t="s">
        <v>14270</v>
      </c>
      <c r="B7625" t="s">
        <v>1976</v>
      </c>
      <c r="D7625">
        <v>1</v>
      </c>
      <c r="F7625" t="s">
        <v>1977</v>
      </c>
    </row>
    <row r="7626" spans="1:10" x14ac:dyDescent="0.3">
      <c r="A7626" t="s">
        <v>7954</v>
      </c>
      <c r="B7626" t="s">
        <v>3496</v>
      </c>
      <c r="D7626">
        <v>2</v>
      </c>
      <c r="E7626" t="s">
        <v>23</v>
      </c>
      <c r="F7626" t="s">
        <v>281</v>
      </c>
    </row>
    <row r="7627" spans="1:10" x14ac:dyDescent="0.3">
      <c r="A7627" t="s">
        <v>6480</v>
      </c>
      <c r="B7627" t="s">
        <v>6561</v>
      </c>
      <c r="D7627">
        <v>0.5</v>
      </c>
      <c r="E7627" t="s">
        <v>23</v>
      </c>
      <c r="F7627" t="s">
        <v>365</v>
      </c>
    </row>
    <row r="7628" spans="1:10" x14ac:dyDescent="0.3">
      <c r="A7628" t="s">
        <v>4879</v>
      </c>
      <c r="B7628" t="s">
        <v>3171</v>
      </c>
      <c r="D7628">
        <v>2</v>
      </c>
      <c r="F7628" t="s">
        <v>2053</v>
      </c>
    </row>
    <row r="7629" spans="1:10" x14ac:dyDescent="0.3">
      <c r="A7629" t="s">
        <v>14271</v>
      </c>
      <c r="B7629" t="s">
        <v>3096</v>
      </c>
      <c r="D7629">
        <v>0.5</v>
      </c>
      <c r="E7629" t="s">
        <v>23</v>
      </c>
      <c r="F7629" t="s">
        <v>14272</v>
      </c>
    </row>
    <row r="7630" spans="1:10" x14ac:dyDescent="0.3">
      <c r="A7630" t="s">
        <v>14273</v>
      </c>
      <c r="B7630" t="s">
        <v>14274</v>
      </c>
      <c r="D7630">
        <v>5</v>
      </c>
      <c r="E7630" t="s">
        <v>189</v>
      </c>
      <c r="F7630" t="s">
        <v>190</v>
      </c>
    </row>
    <row r="7631" spans="1:10" x14ac:dyDescent="0.3">
      <c r="A7631" t="s">
        <v>14275</v>
      </c>
      <c r="B7631" t="s">
        <v>12146</v>
      </c>
      <c r="D7631">
        <v>1</v>
      </c>
      <c r="E7631" t="s">
        <v>460</v>
      </c>
      <c r="F7631" t="s">
        <v>500</v>
      </c>
    </row>
    <row r="7632" spans="1:10" x14ac:dyDescent="0.3">
      <c r="A7632" t="s">
        <v>14276</v>
      </c>
      <c r="B7632" t="s">
        <v>3826</v>
      </c>
      <c r="D7632">
        <v>1</v>
      </c>
      <c r="E7632" t="s">
        <v>37</v>
      </c>
      <c r="F7632" t="s">
        <v>38</v>
      </c>
    </row>
    <row r="7633" spans="1:10" x14ac:dyDescent="0.3">
      <c r="A7633" t="s">
        <v>14277</v>
      </c>
      <c r="B7633" t="s">
        <v>14278</v>
      </c>
      <c r="D7633">
        <v>1</v>
      </c>
      <c r="E7633" t="s">
        <v>206</v>
      </c>
      <c r="F7633" t="s">
        <v>551</v>
      </c>
      <c r="G7633" t="s">
        <v>167</v>
      </c>
      <c r="H7633" t="s">
        <v>168</v>
      </c>
    </row>
    <row r="7634" spans="1:10" x14ac:dyDescent="0.3">
      <c r="A7634" t="s">
        <v>5569</v>
      </c>
      <c r="B7634" t="s">
        <v>14279</v>
      </c>
      <c r="D7634">
        <v>1</v>
      </c>
      <c r="E7634" t="s">
        <v>612</v>
      </c>
      <c r="F7634" t="s">
        <v>14128</v>
      </c>
    </row>
    <row r="7635" spans="1:10" x14ac:dyDescent="0.3">
      <c r="A7635" t="s">
        <v>14280</v>
      </c>
      <c r="B7635" t="s">
        <v>14281</v>
      </c>
      <c r="D7635">
        <v>1</v>
      </c>
      <c r="E7635" t="s">
        <v>11</v>
      </c>
      <c r="F7635" t="s">
        <v>8241</v>
      </c>
    </row>
    <row r="7636" spans="1:10" x14ac:dyDescent="0.3">
      <c r="A7636" t="s">
        <v>14282</v>
      </c>
      <c r="B7636" t="s">
        <v>14283</v>
      </c>
      <c r="D7636">
        <v>1</v>
      </c>
      <c r="E7636" t="s">
        <v>23</v>
      </c>
      <c r="F7636" t="s">
        <v>2243</v>
      </c>
    </row>
    <row r="7637" spans="1:10" x14ac:dyDescent="0.3">
      <c r="A7637" t="s">
        <v>13719</v>
      </c>
      <c r="B7637" t="s">
        <v>14284</v>
      </c>
      <c r="D7637" t="s">
        <v>14285</v>
      </c>
      <c r="F7637" t="s">
        <v>538</v>
      </c>
      <c r="J7637" t="s">
        <v>548</v>
      </c>
    </row>
    <row r="7638" spans="1:10" x14ac:dyDescent="0.3">
      <c r="A7638" t="s">
        <v>14286</v>
      </c>
      <c r="B7638" t="s">
        <v>14287</v>
      </c>
      <c r="D7638">
        <v>1</v>
      </c>
      <c r="E7638" t="s">
        <v>23</v>
      </c>
      <c r="F7638" t="s">
        <v>6948</v>
      </c>
    </row>
    <row r="7639" spans="1:10" x14ac:dyDescent="0.3">
      <c r="A7639" t="s">
        <v>3486</v>
      </c>
      <c r="B7639" t="s">
        <v>14288</v>
      </c>
      <c r="E7639" t="s">
        <v>1990</v>
      </c>
      <c r="F7639" t="s">
        <v>163</v>
      </c>
    </row>
    <row r="7640" spans="1:10" x14ac:dyDescent="0.3">
      <c r="A7640" t="s">
        <v>9778</v>
      </c>
      <c r="B7640" t="s">
        <v>14289</v>
      </c>
      <c r="D7640">
        <v>0.75</v>
      </c>
      <c r="E7640" t="s">
        <v>23</v>
      </c>
      <c r="F7640" t="s">
        <v>2086</v>
      </c>
    </row>
    <row r="7641" spans="1:10" x14ac:dyDescent="0.3">
      <c r="A7641" t="s">
        <v>14290</v>
      </c>
      <c r="B7641" t="s">
        <v>11303</v>
      </c>
      <c r="D7641">
        <v>0.5</v>
      </c>
      <c r="E7641" t="s">
        <v>23</v>
      </c>
      <c r="F7641" t="s">
        <v>1003</v>
      </c>
    </row>
    <row r="7642" spans="1:10" x14ac:dyDescent="0.3">
      <c r="A7642" t="s">
        <v>11051</v>
      </c>
      <c r="B7642" t="s">
        <v>14291</v>
      </c>
      <c r="D7642">
        <v>1</v>
      </c>
      <c r="E7642" t="s">
        <v>469</v>
      </c>
      <c r="F7642" t="s">
        <v>14292</v>
      </c>
    </row>
    <row r="7643" spans="1:10" x14ac:dyDescent="0.3">
      <c r="A7643" t="s">
        <v>14293</v>
      </c>
      <c r="B7643" t="s">
        <v>2809</v>
      </c>
      <c r="D7643">
        <v>1</v>
      </c>
      <c r="E7643" t="s">
        <v>1671</v>
      </c>
      <c r="F7643" t="s">
        <v>152</v>
      </c>
      <c r="J7643" t="s">
        <v>248</v>
      </c>
    </row>
    <row r="7644" spans="1:10" x14ac:dyDescent="0.3">
      <c r="A7644" t="s">
        <v>12810</v>
      </c>
      <c r="B7644" t="s">
        <v>14112</v>
      </c>
      <c r="D7644">
        <v>1</v>
      </c>
      <c r="E7644" t="s">
        <v>60</v>
      </c>
      <c r="F7644" t="s">
        <v>262</v>
      </c>
    </row>
    <row r="7645" spans="1:10" x14ac:dyDescent="0.3">
      <c r="A7645" t="s">
        <v>14294</v>
      </c>
      <c r="B7645" t="s">
        <v>14295</v>
      </c>
      <c r="D7645">
        <v>3</v>
      </c>
      <c r="E7645" t="s">
        <v>91</v>
      </c>
      <c r="F7645" t="s">
        <v>14296</v>
      </c>
    </row>
    <row r="7646" spans="1:10" x14ac:dyDescent="0.3">
      <c r="A7646" t="s">
        <v>14297</v>
      </c>
      <c r="B7646" t="s">
        <v>14298</v>
      </c>
      <c r="D7646">
        <v>25</v>
      </c>
      <c r="E7646" t="s">
        <v>29</v>
      </c>
      <c r="F7646" t="s">
        <v>13378</v>
      </c>
    </row>
    <row r="7647" spans="1:10" x14ac:dyDescent="0.3">
      <c r="A7647" t="s">
        <v>14299</v>
      </c>
      <c r="B7647" t="s">
        <v>14300</v>
      </c>
      <c r="D7647">
        <v>10</v>
      </c>
      <c r="E7647" t="s">
        <v>29</v>
      </c>
      <c r="F7647" t="s">
        <v>1457</v>
      </c>
    </row>
    <row r="7648" spans="1:10" x14ac:dyDescent="0.3">
      <c r="A7648" t="s">
        <v>4543</v>
      </c>
      <c r="B7648" t="s">
        <v>14301</v>
      </c>
      <c r="D7648">
        <v>1</v>
      </c>
      <c r="E7648" t="s">
        <v>4545</v>
      </c>
      <c r="F7648" t="s">
        <v>1445</v>
      </c>
    </row>
    <row r="7649" spans="1:10" x14ac:dyDescent="0.3">
      <c r="A7649" t="s">
        <v>14302</v>
      </c>
      <c r="B7649" t="s">
        <v>14303</v>
      </c>
      <c r="F7649" t="s">
        <v>14304</v>
      </c>
      <c r="G7649" t="s">
        <v>1571</v>
      </c>
      <c r="J7649" t="s">
        <v>1124</v>
      </c>
    </row>
    <row r="7650" spans="1:10" x14ac:dyDescent="0.3">
      <c r="A7650" t="s">
        <v>8815</v>
      </c>
      <c r="B7650" t="s">
        <v>14305</v>
      </c>
      <c r="D7650">
        <v>4</v>
      </c>
      <c r="E7650" t="s">
        <v>345</v>
      </c>
      <c r="F7650" t="s">
        <v>14306</v>
      </c>
    </row>
    <row r="7651" spans="1:10" x14ac:dyDescent="0.3">
      <c r="A7651" t="s">
        <v>14307</v>
      </c>
      <c r="B7651" t="s">
        <v>14308</v>
      </c>
      <c r="D7651">
        <v>175</v>
      </c>
      <c r="E7651" t="s">
        <v>29</v>
      </c>
      <c r="F7651" t="s">
        <v>14309</v>
      </c>
    </row>
    <row r="7652" spans="1:10" x14ac:dyDescent="0.3">
      <c r="A7652" t="s">
        <v>14310</v>
      </c>
      <c r="B7652" t="s">
        <v>14311</v>
      </c>
      <c r="D7652">
        <v>2</v>
      </c>
      <c r="E7652" t="s">
        <v>1338</v>
      </c>
      <c r="F7652" t="s">
        <v>14312</v>
      </c>
      <c r="J7652" t="s">
        <v>289</v>
      </c>
    </row>
    <row r="7653" spans="1:10" x14ac:dyDescent="0.3">
      <c r="A7653" t="s">
        <v>1393</v>
      </c>
      <c r="B7653" t="s">
        <v>10344</v>
      </c>
      <c r="D7653">
        <v>4</v>
      </c>
      <c r="E7653" t="s">
        <v>23</v>
      </c>
      <c r="F7653" t="s">
        <v>581</v>
      </c>
      <c r="I7653" t="s">
        <v>3058</v>
      </c>
    </row>
    <row r="7654" spans="1:10" x14ac:dyDescent="0.3">
      <c r="A7654" t="s">
        <v>14313</v>
      </c>
      <c r="B7654" t="s">
        <v>8821</v>
      </c>
      <c r="F7654" t="s">
        <v>317</v>
      </c>
      <c r="J7654" t="s">
        <v>1146</v>
      </c>
    </row>
    <row r="7655" spans="1:10" x14ac:dyDescent="0.3">
      <c r="A7655" t="s">
        <v>14314</v>
      </c>
      <c r="B7655" t="s">
        <v>14315</v>
      </c>
      <c r="D7655">
        <v>2</v>
      </c>
      <c r="E7655" t="s">
        <v>176</v>
      </c>
      <c r="F7655" t="s">
        <v>4724</v>
      </c>
    </row>
    <row r="7656" spans="1:10" x14ac:dyDescent="0.3">
      <c r="A7656" t="s">
        <v>14316</v>
      </c>
      <c r="B7656" t="s">
        <v>14317</v>
      </c>
      <c r="D7656">
        <v>1</v>
      </c>
      <c r="E7656" t="s">
        <v>426</v>
      </c>
      <c r="F7656" t="s">
        <v>9130</v>
      </c>
      <c r="I7656" t="s">
        <v>3058</v>
      </c>
    </row>
    <row r="7657" spans="1:10" x14ac:dyDescent="0.3">
      <c r="A7657" t="s">
        <v>13189</v>
      </c>
      <c r="B7657" t="s">
        <v>13736</v>
      </c>
      <c r="D7657">
        <v>2</v>
      </c>
      <c r="F7657" t="s">
        <v>1193</v>
      </c>
      <c r="J7657" t="s">
        <v>248</v>
      </c>
    </row>
    <row r="7658" spans="1:10" x14ac:dyDescent="0.3">
      <c r="A7658" t="s">
        <v>5519</v>
      </c>
      <c r="B7658" t="s">
        <v>3424</v>
      </c>
      <c r="D7658">
        <v>1</v>
      </c>
      <c r="E7658" t="s">
        <v>23</v>
      </c>
      <c r="F7658" t="s">
        <v>1209</v>
      </c>
    </row>
    <row r="7659" spans="1:10" x14ac:dyDescent="0.3">
      <c r="A7659" t="s">
        <v>14318</v>
      </c>
      <c r="B7659" t="s">
        <v>14319</v>
      </c>
      <c r="D7659">
        <v>8</v>
      </c>
      <c r="E7659" t="s">
        <v>345</v>
      </c>
      <c r="F7659" t="s">
        <v>14320</v>
      </c>
      <c r="I7659" t="s">
        <v>1078</v>
      </c>
      <c r="J7659" t="s">
        <v>14321</v>
      </c>
    </row>
    <row r="7660" spans="1:10" x14ac:dyDescent="0.3">
      <c r="A7660" t="s">
        <v>14322</v>
      </c>
      <c r="B7660" t="s">
        <v>9688</v>
      </c>
      <c r="D7660">
        <v>1</v>
      </c>
      <c r="E7660" t="s">
        <v>10199</v>
      </c>
      <c r="F7660" t="s">
        <v>638</v>
      </c>
    </row>
    <row r="7661" spans="1:10" x14ac:dyDescent="0.3">
      <c r="A7661" t="s">
        <v>12727</v>
      </c>
      <c r="B7661" t="s">
        <v>8320</v>
      </c>
      <c r="D7661">
        <v>0.5</v>
      </c>
      <c r="E7661" t="s">
        <v>460</v>
      </c>
      <c r="F7661" t="s">
        <v>51</v>
      </c>
      <c r="G7661" t="s">
        <v>10695</v>
      </c>
    </row>
    <row r="7662" spans="1:10" x14ac:dyDescent="0.3">
      <c r="A7662" t="s">
        <v>842</v>
      </c>
      <c r="B7662" t="s">
        <v>3863</v>
      </c>
      <c r="D7662">
        <v>45</v>
      </c>
      <c r="E7662" t="s">
        <v>29</v>
      </c>
      <c r="F7662" t="s">
        <v>1003</v>
      </c>
    </row>
    <row r="7663" spans="1:10" x14ac:dyDescent="0.3">
      <c r="A7663" t="s">
        <v>14323</v>
      </c>
      <c r="B7663" t="s">
        <v>14324</v>
      </c>
      <c r="D7663">
        <v>1</v>
      </c>
      <c r="E7663" t="s">
        <v>23</v>
      </c>
      <c r="F7663" t="s">
        <v>14325</v>
      </c>
    </row>
    <row r="7664" spans="1:10" x14ac:dyDescent="0.3">
      <c r="A7664" t="s">
        <v>2111</v>
      </c>
      <c r="B7664" t="s">
        <v>12237</v>
      </c>
      <c r="D7664">
        <v>6</v>
      </c>
      <c r="E7664" t="s">
        <v>176</v>
      </c>
      <c r="F7664" t="s">
        <v>728</v>
      </c>
    </row>
    <row r="7665" spans="1:10" x14ac:dyDescent="0.3">
      <c r="A7665" t="s">
        <v>8385</v>
      </c>
      <c r="B7665" t="s">
        <v>14326</v>
      </c>
      <c r="D7665">
        <v>1</v>
      </c>
      <c r="E7665" t="s">
        <v>23</v>
      </c>
      <c r="F7665" t="s">
        <v>3114</v>
      </c>
    </row>
    <row r="7666" spans="1:10" x14ac:dyDescent="0.3">
      <c r="A7666" t="s">
        <v>14327</v>
      </c>
      <c r="B7666" t="s">
        <v>14328</v>
      </c>
      <c r="D7666">
        <v>2</v>
      </c>
      <c r="E7666" t="s">
        <v>686</v>
      </c>
      <c r="F7666" t="s">
        <v>2192</v>
      </c>
    </row>
    <row r="7667" spans="1:10" x14ac:dyDescent="0.3">
      <c r="A7667" t="s">
        <v>14329</v>
      </c>
      <c r="B7667" t="s">
        <v>14330</v>
      </c>
      <c r="D7667">
        <v>2.5</v>
      </c>
      <c r="E7667" t="s">
        <v>23</v>
      </c>
      <c r="F7667" t="s">
        <v>1506</v>
      </c>
    </row>
    <row r="7668" spans="1:10" x14ac:dyDescent="0.3">
      <c r="A7668" t="s">
        <v>14331</v>
      </c>
      <c r="B7668" t="s">
        <v>12122</v>
      </c>
      <c r="E7668" t="s">
        <v>236</v>
      </c>
      <c r="F7668" t="s">
        <v>1056</v>
      </c>
      <c r="J7668" t="s">
        <v>164</v>
      </c>
    </row>
    <row r="7669" spans="1:10" x14ac:dyDescent="0.3">
      <c r="A7669" t="s">
        <v>14332</v>
      </c>
      <c r="B7669" t="s">
        <v>14333</v>
      </c>
      <c r="D7669">
        <v>50</v>
      </c>
      <c r="E7669" t="s">
        <v>29</v>
      </c>
      <c r="F7669" t="s">
        <v>98</v>
      </c>
    </row>
    <row r="7670" spans="1:10" x14ac:dyDescent="0.3">
      <c r="A7670" t="s">
        <v>2048</v>
      </c>
      <c r="B7670" t="s">
        <v>6550</v>
      </c>
      <c r="D7670">
        <v>1</v>
      </c>
      <c r="E7670" t="s">
        <v>37</v>
      </c>
      <c r="F7670" t="s">
        <v>38</v>
      </c>
      <c r="G7670" t="s">
        <v>167</v>
      </c>
      <c r="H7670" t="s">
        <v>168</v>
      </c>
      <c r="J7670" t="s">
        <v>325</v>
      </c>
    </row>
    <row r="7671" spans="1:10" x14ac:dyDescent="0.3">
      <c r="A7671" t="s">
        <v>14334</v>
      </c>
      <c r="B7671" t="s">
        <v>14335</v>
      </c>
      <c r="D7671">
        <v>25</v>
      </c>
      <c r="E7671" t="s">
        <v>29</v>
      </c>
      <c r="F7671" t="s">
        <v>14336</v>
      </c>
    </row>
    <row r="7672" spans="1:10" x14ac:dyDescent="0.3">
      <c r="A7672" t="s">
        <v>1893</v>
      </c>
      <c r="B7672" t="s">
        <v>14337</v>
      </c>
      <c r="D7672">
        <v>2</v>
      </c>
      <c r="E7672" t="s">
        <v>1338</v>
      </c>
      <c r="F7672" t="s">
        <v>190</v>
      </c>
    </row>
    <row r="7673" spans="1:10" x14ac:dyDescent="0.3">
      <c r="A7673" t="s">
        <v>14338</v>
      </c>
      <c r="B7673" t="s">
        <v>14339</v>
      </c>
      <c r="D7673">
        <v>0.5</v>
      </c>
      <c r="E7673" t="s">
        <v>460</v>
      </c>
      <c r="F7673" t="s">
        <v>6129</v>
      </c>
    </row>
    <row r="7674" spans="1:10" x14ac:dyDescent="0.3">
      <c r="A7674" t="s">
        <v>14340</v>
      </c>
      <c r="B7674" t="s">
        <v>2222</v>
      </c>
      <c r="D7674">
        <v>1.5</v>
      </c>
      <c r="E7674" t="s">
        <v>23</v>
      </c>
      <c r="F7674" t="s">
        <v>41</v>
      </c>
    </row>
    <row r="7675" spans="1:10" x14ac:dyDescent="0.3">
      <c r="A7675" t="s">
        <v>14341</v>
      </c>
      <c r="B7675" t="s">
        <v>14342</v>
      </c>
      <c r="D7675">
        <v>1.5</v>
      </c>
      <c r="E7675" t="s">
        <v>345</v>
      </c>
      <c r="F7675" t="s">
        <v>14343</v>
      </c>
    </row>
    <row r="7676" spans="1:10" x14ac:dyDescent="0.3">
      <c r="A7676" t="s">
        <v>11987</v>
      </c>
      <c r="B7676" t="s">
        <v>333</v>
      </c>
      <c r="F7676" t="s">
        <v>333</v>
      </c>
    </row>
    <row r="7677" spans="1:10" x14ac:dyDescent="0.3">
      <c r="A7677" t="s">
        <v>12776</v>
      </c>
      <c r="B7677" t="s">
        <v>14344</v>
      </c>
      <c r="D7677">
        <v>1</v>
      </c>
      <c r="E7677" t="s">
        <v>2712</v>
      </c>
      <c r="F7677" t="s">
        <v>14345</v>
      </c>
    </row>
    <row r="7678" spans="1:10" x14ac:dyDescent="0.3">
      <c r="A7678" t="s">
        <v>14346</v>
      </c>
      <c r="B7678" t="s">
        <v>7025</v>
      </c>
      <c r="D7678">
        <v>25</v>
      </c>
      <c r="E7678" t="s">
        <v>29</v>
      </c>
      <c r="F7678" t="s">
        <v>88</v>
      </c>
    </row>
    <row r="7679" spans="1:10" x14ac:dyDescent="0.3">
      <c r="A7679" t="s">
        <v>14347</v>
      </c>
      <c r="B7679" t="s">
        <v>518</v>
      </c>
      <c r="F7679" t="s">
        <v>518</v>
      </c>
    </row>
    <row r="7680" spans="1:10" x14ac:dyDescent="0.3">
      <c r="A7680" t="s">
        <v>12143</v>
      </c>
      <c r="B7680" t="s">
        <v>163</v>
      </c>
      <c r="F7680" t="s">
        <v>163</v>
      </c>
    </row>
    <row r="7681" spans="1:10" x14ac:dyDescent="0.3">
      <c r="A7681" t="s">
        <v>14348</v>
      </c>
      <c r="B7681" t="s">
        <v>1055</v>
      </c>
      <c r="D7681">
        <v>1</v>
      </c>
      <c r="E7681" t="s">
        <v>585</v>
      </c>
      <c r="F7681" t="s">
        <v>1056</v>
      </c>
      <c r="J7681" t="s">
        <v>248</v>
      </c>
    </row>
    <row r="7682" spans="1:10" x14ac:dyDescent="0.3">
      <c r="A7682" t="s">
        <v>14349</v>
      </c>
      <c r="B7682" t="s">
        <v>14350</v>
      </c>
      <c r="D7682">
        <v>0.5</v>
      </c>
      <c r="E7682" t="s">
        <v>91</v>
      </c>
      <c r="F7682" t="s">
        <v>183</v>
      </c>
    </row>
    <row r="7683" spans="1:10" x14ac:dyDescent="0.3">
      <c r="A7683" t="s">
        <v>7221</v>
      </c>
      <c r="B7683" t="s">
        <v>14351</v>
      </c>
      <c r="D7683">
        <v>2</v>
      </c>
      <c r="E7683" t="s">
        <v>91</v>
      </c>
      <c r="F7683" t="s">
        <v>1204</v>
      </c>
    </row>
    <row r="7684" spans="1:10" x14ac:dyDescent="0.3">
      <c r="A7684" t="s">
        <v>14352</v>
      </c>
      <c r="B7684" t="s">
        <v>14353</v>
      </c>
      <c r="D7684">
        <v>5</v>
      </c>
      <c r="F7684" t="s">
        <v>323</v>
      </c>
      <c r="G7684" t="s">
        <v>2854</v>
      </c>
      <c r="J7684" t="s">
        <v>325</v>
      </c>
    </row>
    <row r="7685" spans="1:10" x14ac:dyDescent="0.3">
      <c r="A7685" t="s">
        <v>14354</v>
      </c>
      <c r="B7685" t="s">
        <v>4333</v>
      </c>
      <c r="D7685">
        <v>1</v>
      </c>
      <c r="E7685" t="s">
        <v>23</v>
      </c>
      <c r="F7685" t="s">
        <v>2204</v>
      </c>
    </row>
    <row r="7686" spans="1:10" x14ac:dyDescent="0.3">
      <c r="A7686" t="s">
        <v>14355</v>
      </c>
      <c r="B7686" t="s">
        <v>14356</v>
      </c>
      <c r="D7686">
        <v>2</v>
      </c>
      <c r="E7686" t="s">
        <v>23</v>
      </c>
      <c r="F7686" t="s">
        <v>13312</v>
      </c>
    </row>
    <row r="7687" spans="1:10" x14ac:dyDescent="0.3">
      <c r="A7687" t="s">
        <v>14357</v>
      </c>
      <c r="B7687" t="s">
        <v>14358</v>
      </c>
      <c r="D7687">
        <v>1</v>
      </c>
      <c r="E7687" t="s">
        <v>13840</v>
      </c>
      <c r="F7687" t="s">
        <v>14359</v>
      </c>
      <c r="H7687" t="s">
        <v>68</v>
      </c>
      <c r="J7687" t="s">
        <v>289</v>
      </c>
    </row>
    <row r="7688" spans="1:10" x14ac:dyDescent="0.3">
      <c r="A7688" t="s">
        <v>3137</v>
      </c>
      <c r="B7688" t="s">
        <v>14360</v>
      </c>
      <c r="D7688">
        <v>0.5</v>
      </c>
      <c r="E7688" t="s">
        <v>37</v>
      </c>
      <c r="F7688" t="s">
        <v>529</v>
      </c>
      <c r="J7688" t="s">
        <v>14361</v>
      </c>
    </row>
    <row r="7689" spans="1:10" x14ac:dyDescent="0.3">
      <c r="A7689" t="s">
        <v>2048</v>
      </c>
      <c r="B7689" t="s">
        <v>1976</v>
      </c>
      <c r="D7689">
        <v>1</v>
      </c>
      <c r="F7689" t="s">
        <v>1977</v>
      </c>
    </row>
    <row r="7690" spans="1:10" x14ac:dyDescent="0.3">
      <c r="A7690" t="s">
        <v>14362</v>
      </c>
      <c r="B7690" t="s">
        <v>13487</v>
      </c>
      <c r="D7690">
        <v>50</v>
      </c>
      <c r="E7690" t="s">
        <v>29</v>
      </c>
      <c r="F7690" t="s">
        <v>524</v>
      </c>
    </row>
    <row r="7691" spans="1:10" x14ac:dyDescent="0.3">
      <c r="A7691" t="s">
        <v>8242</v>
      </c>
      <c r="B7691" t="s">
        <v>14363</v>
      </c>
      <c r="D7691">
        <v>2</v>
      </c>
      <c r="E7691" t="s">
        <v>345</v>
      </c>
      <c r="F7691" t="s">
        <v>14364</v>
      </c>
    </row>
    <row r="7692" spans="1:10" x14ac:dyDescent="0.3">
      <c r="A7692" t="s">
        <v>1255</v>
      </c>
      <c r="B7692" t="s">
        <v>14365</v>
      </c>
      <c r="D7692">
        <v>1</v>
      </c>
      <c r="E7692" t="s">
        <v>11</v>
      </c>
      <c r="F7692" t="s">
        <v>14366</v>
      </c>
    </row>
    <row r="7693" spans="1:10" x14ac:dyDescent="0.3">
      <c r="A7693" t="s">
        <v>334</v>
      </c>
      <c r="B7693" t="s">
        <v>14367</v>
      </c>
      <c r="D7693">
        <v>1.5</v>
      </c>
      <c r="E7693" t="s">
        <v>71</v>
      </c>
      <c r="F7693" t="s">
        <v>516</v>
      </c>
    </row>
    <row r="7694" spans="1:10" x14ac:dyDescent="0.3">
      <c r="A7694" t="s">
        <v>14368</v>
      </c>
      <c r="B7694" t="s">
        <v>14369</v>
      </c>
      <c r="D7694">
        <v>1.5</v>
      </c>
      <c r="E7694" t="s">
        <v>23</v>
      </c>
      <c r="F7694" t="s">
        <v>14370</v>
      </c>
      <c r="J7694" t="s">
        <v>14371</v>
      </c>
    </row>
    <row r="7695" spans="1:10" x14ac:dyDescent="0.3">
      <c r="A7695" t="s">
        <v>14372</v>
      </c>
      <c r="B7695" t="s">
        <v>13480</v>
      </c>
      <c r="D7695">
        <v>0.25</v>
      </c>
      <c r="E7695" t="s">
        <v>37</v>
      </c>
      <c r="F7695" t="s">
        <v>4407</v>
      </c>
    </row>
    <row r="7696" spans="1:10" x14ac:dyDescent="0.3">
      <c r="A7696" t="s">
        <v>14373</v>
      </c>
      <c r="B7696" t="s">
        <v>14374</v>
      </c>
      <c r="D7696">
        <v>5</v>
      </c>
      <c r="E7696" t="s">
        <v>23</v>
      </c>
      <c r="F7696" t="s">
        <v>14375</v>
      </c>
      <c r="I7696" t="s">
        <v>3058</v>
      </c>
    </row>
    <row r="7697" spans="1:10" x14ac:dyDescent="0.3">
      <c r="A7697" t="s">
        <v>1524</v>
      </c>
      <c r="B7697" t="s">
        <v>3153</v>
      </c>
      <c r="D7697">
        <v>2</v>
      </c>
      <c r="E7697" t="s">
        <v>345</v>
      </c>
      <c r="F7697" t="s">
        <v>220</v>
      </c>
    </row>
    <row r="7698" spans="1:10" x14ac:dyDescent="0.3">
      <c r="A7698" t="s">
        <v>14376</v>
      </c>
      <c r="B7698" t="s">
        <v>14377</v>
      </c>
      <c r="D7698">
        <v>0.75</v>
      </c>
      <c r="E7698" t="s">
        <v>345</v>
      </c>
      <c r="F7698" t="s">
        <v>4996</v>
      </c>
    </row>
    <row r="7699" spans="1:10" x14ac:dyDescent="0.3">
      <c r="A7699" t="s">
        <v>14378</v>
      </c>
      <c r="B7699" t="s">
        <v>2279</v>
      </c>
      <c r="D7699">
        <v>0.75</v>
      </c>
      <c r="E7699" t="s">
        <v>11</v>
      </c>
      <c r="F7699" t="s">
        <v>793</v>
      </c>
    </row>
    <row r="7700" spans="1:10" x14ac:dyDescent="0.3">
      <c r="A7700" t="s">
        <v>14379</v>
      </c>
      <c r="B7700" t="s">
        <v>14380</v>
      </c>
      <c r="D7700">
        <v>7</v>
      </c>
      <c r="E7700" t="s">
        <v>23</v>
      </c>
      <c r="F7700" t="s">
        <v>320</v>
      </c>
    </row>
    <row r="7701" spans="1:10" x14ac:dyDescent="0.3">
      <c r="A7701" t="s">
        <v>161</v>
      </c>
      <c r="B7701" t="s">
        <v>11570</v>
      </c>
      <c r="D7701">
        <v>15</v>
      </c>
      <c r="E7701" t="s">
        <v>29</v>
      </c>
      <c r="F7701" t="s">
        <v>199</v>
      </c>
    </row>
    <row r="7702" spans="1:10" x14ac:dyDescent="0.3">
      <c r="A7702" t="s">
        <v>439</v>
      </c>
      <c r="B7702" t="s">
        <v>1643</v>
      </c>
      <c r="F7702" t="s">
        <v>1644</v>
      </c>
      <c r="J7702" t="s">
        <v>1146</v>
      </c>
    </row>
    <row r="7703" spans="1:10" x14ac:dyDescent="0.3">
      <c r="A7703" t="s">
        <v>11466</v>
      </c>
      <c r="B7703" t="s">
        <v>14381</v>
      </c>
      <c r="D7703">
        <v>0.75</v>
      </c>
      <c r="E7703" t="s">
        <v>11</v>
      </c>
      <c r="F7703" t="s">
        <v>14382</v>
      </c>
    </row>
    <row r="7704" spans="1:10" x14ac:dyDescent="0.3">
      <c r="A7704" t="s">
        <v>14383</v>
      </c>
      <c r="B7704" t="s">
        <v>14384</v>
      </c>
      <c r="J7704" t="s">
        <v>14384</v>
      </c>
    </row>
    <row r="7705" spans="1:10" x14ac:dyDescent="0.3">
      <c r="A7705" t="s">
        <v>14385</v>
      </c>
      <c r="B7705" t="s">
        <v>792</v>
      </c>
      <c r="D7705">
        <v>0.5</v>
      </c>
      <c r="E7705" t="s">
        <v>11</v>
      </c>
      <c r="F7705" t="s">
        <v>793</v>
      </c>
    </row>
    <row r="7706" spans="1:10" x14ac:dyDescent="0.3">
      <c r="A7706" t="s">
        <v>14386</v>
      </c>
      <c r="B7706" t="s">
        <v>14160</v>
      </c>
      <c r="D7706">
        <v>1</v>
      </c>
      <c r="E7706" t="s">
        <v>120</v>
      </c>
      <c r="F7706" t="s">
        <v>183</v>
      </c>
    </row>
    <row r="7707" spans="1:10" x14ac:dyDescent="0.3">
      <c r="A7707" t="s">
        <v>1296</v>
      </c>
      <c r="B7707" t="s">
        <v>14387</v>
      </c>
      <c r="D7707">
        <v>16</v>
      </c>
      <c r="E7707" t="s">
        <v>23</v>
      </c>
      <c r="F7707" t="s">
        <v>413</v>
      </c>
      <c r="G7707" t="s">
        <v>1014</v>
      </c>
    </row>
    <row r="7708" spans="1:10" x14ac:dyDescent="0.3">
      <c r="A7708" t="s">
        <v>14388</v>
      </c>
      <c r="B7708" t="s">
        <v>7702</v>
      </c>
      <c r="D7708">
        <v>1</v>
      </c>
      <c r="F7708" t="s">
        <v>5161</v>
      </c>
    </row>
    <row r="7709" spans="1:10" x14ac:dyDescent="0.3">
      <c r="A7709" t="s">
        <v>14389</v>
      </c>
      <c r="B7709" t="s">
        <v>14390</v>
      </c>
      <c r="D7709">
        <v>1</v>
      </c>
      <c r="E7709" t="s">
        <v>37</v>
      </c>
      <c r="F7709" t="s">
        <v>1220</v>
      </c>
    </row>
    <row r="7710" spans="1:10" x14ac:dyDescent="0.3">
      <c r="A7710" t="s">
        <v>347</v>
      </c>
      <c r="B7710" t="s">
        <v>14391</v>
      </c>
      <c r="D7710">
        <v>1</v>
      </c>
      <c r="E7710" t="s">
        <v>23</v>
      </c>
      <c r="F7710" t="s">
        <v>1589</v>
      </c>
    </row>
    <row r="7711" spans="1:10" x14ac:dyDescent="0.3">
      <c r="A7711" t="s">
        <v>9335</v>
      </c>
      <c r="B7711" t="s">
        <v>14392</v>
      </c>
      <c r="D7711">
        <v>5</v>
      </c>
      <c r="E7711" t="s">
        <v>23</v>
      </c>
      <c r="F7711" t="s">
        <v>171</v>
      </c>
    </row>
    <row r="7712" spans="1:10" x14ac:dyDescent="0.3">
      <c r="A7712" t="s">
        <v>414</v>
      </c>
      <c r="B7712" t="s">
        <v>4455</v>
      </c>
      <c r="D7712">
        <v>50</v>
      </c>
      <c r="E7712" t="s">
        <v>29</v>
      </c>
      <c r="F7712" t="s">
        <v>10889</v>
      </c>
    </row>
    <row r="7713" spans="1:10" x14ac:dyDescent="0.3">
      <c r="A7713" t="s">
        <v>1226</v>
      </c>
      <c r="B7713" t="s">
        <v>14393</v>
      </c>
      <c r="D7713">
        <v>0.5</v>
      </c>
      <c r="E7713" t="s">
        <v>23</v>
      </c>
      <c r="F7713" t="s">
        <v>12418</v>
      </c>
    </row>
    <row r="7714" spans="1:10" x14ac:dyDescent="0.3">
      <c r="A7714" t="s">
        <v>1429</v>
      </c>
      <c r="B7714" t="s">
        <v>824</v>
      </c>
      <c r="D7714">
        <v>1</v>
      </c>
      <c r="F7714" t="s">
        <v>825</v>
      </c>
      <c r="J7714" t="s">
        <v>248</v>
      </c>
    </row>
    <row r="7715" spans="1:10" x14ac:dyDescent="0.3">
      <c r="A7715" t="s">
        <v>12958</v>
      </c>
      <c r="B7715" t="s">
        <v>14394</v>
      </c>
      <c r="D7715">
        <v>5</v>
      </c>
      <c r="E7715" t="s">
        <v>23</v>
      </c>
      <c r="F7715" t="s">
        <v>7063</v>
      </c>
    </row>
    <row r="7716" spans="1:10" x14ac:dyDescent="0.3">
      <c r="A7716" t="s">
        <v>14395</v>
      </c>
      <c r="B7716" t="s">
        <v>1394</v>
      </c>
      <c r="D7716">
        <v>0.5</v>
      </c>
      <c r="E7716" t="s">
        <v>612</v>
      </c>
      <c r="F7716" t="s">
        <v>1395</v>
      </c>
    </row>
    <row r="7717" spans="1:10" x14ac:dyDescent="0.3">
      <c r="A7717" t="s">
        <v>5905</v>
      </c>
      <c r="B7717" t="s">
        <v>14396</v>
      </c>
      <c r="F7717" t="s">
        <v>14397</v>
      </c>
      <c r="J7717" t="s">
        <v>1124</v>
      </c>
    </row>
    <row r="7718" spans="1:10" x14ac:dyDescent="0.3">
      <c r="A7718" t="s">
        <v>14398</v>
      </c>
      <c r="B7718" t="s">
        <v>6344</v>
      </c>
      <c r="F7718" t="s">
        <v>743</v>
      </c>
      <c r="J7718" t="s">
        <v>164</v>
      </c>
    </row>
    <row r="7719" spans="1:10" x14ac:dyDescent="0.3">
      <c r="A7719" t="s">
        <v>4957</v>
      </c>
      <c r="B7719" t="s">
        <v>14399</v>
      </c>
      <c r="D7719">
        <v>1</v>
      </c>
      <c r="E7719" t="s">
        <v>14400</v>
      </c>
      <c r="F7719" t="s">
        <v>857</v>
      </c>
    </row>
    <row r="7720" spans="1:10" x14ac:dyDescent="0.3">
      <c r="A7720" t="s">
        <v>14401</v>
      </c>
      <c r="B7720" t="s">
        <v>1237</v>
      </c>
      <c r="D7720">
        <v>1</v>
      </c>
      <c r="E7720" t="s">
        <v>23</v>
      </c>
      <c r="F7720" t="s">
        <v>1238</v>
      </c>
    </row>
    <row r="7721" spans="1:10" x14ac:dyDescent="0.3">
      <c r="A7721" t="s">
        <v>14402</v>
      </c>
      <c r="B7721" t="s">
        <v>13197</v>
      </c>
      <c r="D7721">
        <v>25</v>
      </c>
      <c r="E7721" t="s">
        <v>29</v>
      </c>
      <c r="F7721" t="s">
        <v>13198</v>
      </c>
    </row>
    <row r="7722" spans="1:10" x14ac:dyDescent="0.3">
      <c r="A7722" t="s">
        <v>14403</v>
      </c>
      <c r="B7722" t="s">
        <v>9812</v>
      </c>
      <c r="D7722">
        <v>1</v>
      </c>
      <c r="E7722" t="s">
        <v>23</v>
      </c>
      <c r="F7722" t="s">
        <v>9813</v>
      </c>
    </row>
    <row r="7723" spans="1:10" x14ac:dyDescent="0.3">
      <c r="A7723" t="s">
        <v>13571</v>
      </c>
      <c r="B7723" t="s">
        <v>14404</v>
      </c>
      <c r="D7723">
        <v>12.5</v>
      </c>
      <c r="E7723" t="s">
        <v>29</v>
      </c>
      <c r="F7723" t="s">
        <v>2039</v>
      </c>
    </row>
    <row r="7724" spans="1:10" x14ac:dyDescent="0.3">
      <c r="A7724" t="s">
        <v>14405</v>
      </c>
      <c r="B7724" t="s">
        <v>8110</v>
      </c>
      <c r="D7724">
        <v>0.5</v>
      </c>
      <c r="E7724" t="s">
        <v>37</v>
      </c>
      <c r="F7724" t="s">
        <v>38</v>
      </c>
      <c r="G7724" t="s">
        <v>167</v>
      </c>
      <c r="H7724" t="s">
        <v>168</v>
      </c>
    </row>
    <row r="7725" spans="1:10" x14ac:dyDescent="0.3">
      <c r="A7725" t="s">
        <v>2060</v>
      </c>
      <c r="B7725" t="s">
        <v>14406</v>
      </c>
      <c r="D7725">
        <v>10</v>
      </c>
      <c r="E7725" t="s">
        <v>29</v>
      </c>
      <c r="F7725" t="s">
        <v>602</v>
      </c>
    </row>
    <row r="7726" spans="1:10" x14ac:dyDescent="0.3">
      <c r="A7726" t="s">
        <v>1249</v>
      </c>
      <c r="B7726" t="s">
        <v>1706</v>
      </c>
      <c r="D7726">
        <v>1</v>
      </c>
      <c r="E7726" t="s">
        <v>11</v>
      </c>
      <c r="F7726" t="s">
        <v>793</v>
      </c>
    </row>
    <row r="7727" spans="1:10" x14ac:dyDescent="0.3">
      <c r="A7727" t="s">
        <v>14407</v>
      </c>
      <c r="B7727" t="s">
        <v>5712</v>
      </c>
      <c r="D7727">
        <v>0.5</v>
      </c>
      <c r="E7727" t="s">
        <v>23</v>
      </c>
      <c r="F7727" t="s">
        <v>88</v>
      </c>
    </row>
    <row r="7728" spans="1:10" x14ac:dyDescent="0.3">
      <c r="A7728" t="s">
        <v>14408</v>
      </c>
      <c r="B7728" t="s">
        <v>10554</v>
      </c>
      <c r="D7728">
        <v>0.25</v>
      </c>
      <c r="E7728" t="s">
        <v>37</v>
      </c>
      <c r="F7728" t="s">
        <v>10555</v>
      </c>
    </row>
    <row r="7729" spans="1:10" x14ac:dyDescent="0.3">
      <c r="A7729" t="s">
        <v>14409</v>
      </c>
      <c r="B7729" t="s">
        <v>1193</v>
      </c>
      <c r="F7729" t="s">
        <v>1193</v>
      </c>
    </row>
    <row r="7730" spans="1:10" x14ac:dyDescent="0.3">
      <c r="A7730" t="s">
        <v>14410</v>
      </c>
      <c r="B7730" t="s">
        <v>14411</v>
      </c>
      <c r="D7730">
        <v>2</v>
      </c>
      <c r="E7730" t="s">
        <v>23</v>
      </c>
      <c r="F7730" t="s">
        <v>64</v>
      </c>
    </row>
    <row r="7731" spans="1:10" x14ac:dyDescent="0.3">
      <c r="A7731" t="s">
        <v>5778</v>
      </c>
      <c r="B7731" t="s">
        <v>188</v>
      </c>
      <c r="D7731">
        <v>2</v>
      </c>
      <c r="E7731" t="s">
        <v>189</v>
      </c>
      <c r="F7731" t="s">
        <v>190</v>
      </c>
    </row>
    <row r="7732" spans="1:10" x14ac:dyDescent="0.3">
      <c r="A7732" t="s">
        <v>14412</v>
      </c>
      <c r="B7732" t="s">
        <v>14413</v>
      </c>
      <c r="D7732">
        <v>1</v>
      </c>
      <c r="E7732" t="s">
        <v>469</v>
      </c>
      <c r="F7732" t="s">
        <v>5382</v>
      </c>
    </row>
    <row r="7733" spans="1:10" x14ac:dyDescent="0.3">
      <c r="A7733" t="s">
        <v>14414</v>
      </c>
      <c r="B7733" t="s">
        <v>8953</v>
      </c>
      <c r="D7733">
        <v>0.5</v>
      </c>
      <c r="E7733" t="s">
        <v>284</v>
      </c>
      <c r="F7733" t="s">
        <v>413</v>
      </c>
      <c r="G7733" t="s">
        <v>1571</v>
      </c>
      <c r="J7733" t="s">
        <v>4067</v>
      </c>
    </row>
    <row r="7734" spans="1:10" x14ac:dyDescent="0.3">
      <c r="A7734" t="s">
        <v>7582</v>
      </c>
      <c r="B7734" t="s">
        <v>14415</v>
      </c>
      <c r="D7734">
        <v>10.5</v>
      </c>
      <c r="E7734" t="s">
        <v>23</v>
      </c>
      <c r="F7734" t="s">
        <v>14416</v>
      </c>
    </row>
    <row r="7735" spans="1:10" x14ac:dyDescent="0.3">
      <c r="A7735" t="s">
        <v>14417</v>
      </c>
      <c r="B7735" t="s">
        <v>14418</v>
      </c>
      <c r="D7735">
        <v>1</v>
      </c>
      <c r="E7735" t="s">
        <v>904</v>
      </c>
      <c r="F7735" t="s">
        <v>281</v>
      </c>
    </row>
    <row r="7736" spans="1:10" x14ac:dyDescent="0.3">
      <c r="A7736" t="s">
        <v>14419</v>
      </c>
      <c r="B7736" t="s">
        <v>14420</v>
      </c>
      <c r="D7736">
        <v>70</v>
      </c>
      <c r="E7736" t="s">
        <v>29</v>
      </c>
      <c r="F7736" t="s">
        <v>224</v>
      </c>
    </row>
    <row r="7737" spans="1:10" x14ac:dyDescent="0.3">
      <c r="A7737" t="s">
        <v>5506</v>
      </c>
      <c r="B7737" t="s">
        <v>14421</v>
      </c>
      <c r="D7737">
        <v>2</v>
      </c>
      <c r="E7737" t="s">
        <v>189</v>
      </c>
      <c r="F7737" t="s">
        <v>14422</v>
      </c>
    </row>
    <row r="7738" spans="1:10" x14ac:dyDescent="0.3">
      <c r="A7738" t="s">
        <v>14423</v>
      </c>
      <c r="B7738" t="s">
        <v>14424</v>
      </c>
      <c r="D7738">
        <v>10.5</v>
      </c>
      <c r="E7738" t="s">
        <v>91</v>
      </c>
      <c r="F7738" t="s">
        <v>4145</v>
      </c>
      <c r="J7738" t="s">
        <v>20</v>
      </c>
    </row>
    <row r="7739" spans="1:10" x14ac:dyDescent="0.3">
      <c r="A7739" t="s">
        <v>14425</v>
      </c>
      <c r="B7739" t="s">
        <v>14426</v>
      </c>
      <c r="D7739">
        <v>0.75</v>
      </c>
      <c r="E7739" t="s">
        <v>11</v>
      </c>
      <c r="F7739" t="s">
        <v>15</v>
      </c>
    </row>
    <row r="7740" spans="1:10" x14ac:dyDescent="0.3">
      <c r="A7740" t="s">
        <v>9280</v>
      </c>
      <c r="B7740" t="s">
        <v>13034</v>
      </c>
      <c r="D7740">
        <v>1</v>
      </c>
      <c r="E7740" t="s">
        <v>11</v>
      </c>
      <c r="F7740" t="s">
        <v>7327</v>
      </c>
    </row>
    <row r="7741" spans="1:10" x14ac:dyDescent="0.3">
      <c r="A7741" t="s">
        <v>14427</v>
      </c>
      <c r="B7741" t="s">
        <v>14428</v>
      </c>
      <c r="D7741">
        <v>1</v>
      </c>
      <c r="E7741" t="s">
        <v>18</v>
      </c>
      <c r="F7741" t="s">
        <v>81</v>
      </c>
    </row>
    <row r="7742" spans="1:10" x14ac:dyDescent="0.3">
      <c r="A7742" t="s">
        <v>11519</v>
      </c>
      <c r="B7742" t="s">
        <v>382</v>
      </c>
      <c r="D7742">
        <v>0.5</v>
      </c>
      <c r="E7742" t="s">
        <v>23</v>
      </c>
      <c r="F7742" t="s">
        <v>383</v>
      </c>
    </row>
    <row r="7743" spans="1:10" x14ac:dyDescent="0.3">
      <c r="A7743" t="s">
        <v>1754</v>
      </c>
      <c r="B7743" t="s">
        <v>272</v>
      </c>
      <c r="D7743">
        <v>0.5</v>
      </c>
      <c r="E7743" t="s">
        <v>23</v>
      </c>
      <c r="F7743" t="s">
        <v>265</v>
      </c>
    </row>
    <row r="7744" spans="1:10" x14ac:dyDescent="0.3">
      <c r="A7744" t="s">
        <v>14429</v>
      </c>
      <c r="B7744" t="s">
        <v>14430</v>
      </c>
      <c r="D7744">
        <v>1.5</v>
      </c>
      <c r="E7744" t="s">
        <v>23</v>
      </c>
      <c r="F7744" t="s">
        <v>88</v>
      </c>
    </row>
    <row r="7745" spans="1:10" x14ac:dyDescent="0.3">
      <c r="A7745" t="s">
        <v>14431</v>
      </c>
      <c r="B7745" t="s">
        <v>9347</v>
      </c>
      <c r="D7745">
        <v>1</v>
      </c>
      <c r="F7745" t="s">
        <v>163</v>
      </c>
    </row>
    <row r="7746" spans="1:10" x14ac:dyDescent="0.3">
      <c r="A7746" t="s">
        <v>14432</v>
      </c>
      <c r="B7746" t="s">
        <v>8537</v>
      </c>
      <c r="D7746">
        <v>0.75</v>
      </c>
      <c r="E7746" t="s">
        <v>23</v>
      </c>
      <c r="F7746" t="s">
        <v>712</v>
      </c>
    </row>
    <row r="7747" spans="1:10" x14ac:dyDescent="0.3">
      <c r="A7747" t="s">
        <v>14433</v>
      </c>
      <c r="B7747" t="s">
        <v>14434</v>
      </c>
      <c r="D7747">
        <v>12</v>
      </c>
      <c r="E7747" t="s">
        <v>23</v>
      </c>
      <c r="F7747" t="s">
        <v>1006</v>
      </c>
    </row>
    <row r="7748" spans="1:10" x14ac:dyDescent="0.3">
      <c r="A7748" t="s">
        <v>14435</v>
      </c>
      <c r="B7748" t="s">
        <v>14436</v>
      </c>
      <c r="D7748">
        <v>2</v>
      </c>
      <c r="E7748" t="s">
        <v>345</v>
      </c>
      <c r="F7748" t="s">
        <v>14437</v>
      </c>
    </row>
    <row r="7749" spans="1:10" x14ac:dyDescent="0.3">
      <c r="A7749" t="s">
        <v>12980</v>
      </c>
      <c r="B7749" t="s">
        <v>14438</v>
      </c>
      <c r="D7749">
        <v>2</v>
      </c>
      <c r="E7749" t="s">
        <v>23</v>
      </c>
      <c r="F7749" t="s">
        <v>6276</v>
      </c>
    </row>
    <row r="7750" spans="1:10" x14ac:dyDescent="0.3">
      <c r="A7750" t="s">
        <v>14439</v>
      </c>
      <c r="B7750" t="s">
        <v>14440</v>
      </c>
      <c r="E7750" t="s">
        <v>33</v>
      </c>
      <c r="F7750" t="s">
        <v>1056</v>
      </c>
      <c r="J7750" t="s">
        <v>14441</v>
      </c>
    </row>
    <row r="7751" spans="1:10" x14ac:dyDescent="0.3">
      <c r="A7751" t="s">
        <v>14442</v>
      </c>
      <c r="B7751" t="s">
        <v>2021</v>
      </c>
      <c r="D7751">
        <v>0.5</v>
      </c>
      <c r="E7751" t="s">
        <v>23</v>
      </c>
      <c r="F7751" t="s">
        <v>183</v>
      </c>
    </row>
    <row r="7752" spans="1:10" x14ac:dyDescent="0.3">
      <c r="A7752" t="s">
        <v>5884</v>
      </c>
      <c r="B7752" t="s">
        <v>13342</v>
      </c>
      <c r="D7752">
        <v>3</v>
      </c>
      <c r="E7752" t="s">
        <v>189</v>
      </c>
      <c r="F7752" t="s">
        <v>1043</v>
      </c>
    </row>
    <row r="7753" spans="1:10" x14ac:dyDescent="0.3">
      <c r="A7753" t="s">
        <v>14443</v>
      </c>
      <c r="B7753" t="s">
        <v>4262</v>
      </c>
      <c r="D7753">
        <v>1</v>
      </c>
      <c r="F7753" t="s">
        <v>1440</v>
      </c>
      <c r="G7753" t="s">
        <v>908</v>
      </c>
    </row>
    <row r="7754" spans="1:10" x14ac:dyDescent="0.3">
      <c r="A7754" t="s">
        <v>10037</v>
      </c>
      <c r="B7754" t="s">
        <v>14444</v>
      </c>
      <c r="D7754">
        <v>1</v>
      </c>
      <c r="E7754" t="s">
        <v>29</v>
      </c>
      <c r="F7754" t="s">
        <v>6910</v>
      </c>
      <c r="J7754" t="s">
        <v>248</v>
      </c>
    </row>
    <row r="7755" spans="1:10" x14ac:dyDescent="0.3">
      <c r="A7755" t="s">
        <v>3108</v>
      </c>
      <c r="B7755" t="s">
        <v>14445</v>
      </c>
      <c r="D7755">
        <v>2</v>
      </c>
      <c r="E7755" t="s">
        <v>23</v>
      </c>
      <c r="F7755" t="s">
        <v>2385</v>
      </c>
    </row>
    <row r="7756" spans="1:10" x14ac:dyDescent="0.3">
      <c r="A7756" t="s">
        <v>14446</v>
      </c>
      <c r="B7756" t="s">
        <v>14447</v>
      </c>
      <c r="D7756">
        <v>1</v>
      </c>
      <c r="E7756" t="s">
        <v>2006</v>
      </c>
      <c r="F7756" t="s">
        <v>30</v>
      </c>
    </row>
    <row r="7757" spans="1:10" x14ac:dyDescent="0.3">
      <c r="A7757" t="s">
        <v>4095</v>
      </c>
      <c r="B7757" t="s">
        <v>14448</v>
      </c>
      <c r="D7757" t="s">
        <v>14449</v>
      </c>
      <c r="E7757" t="s">
        <v>37</v>
      </c>
      <c r="F7757" t="s">
        <v>81</v>
      </c>
      <c r="J7757" t="s">
        <v>2083</v>
      </c>
    </row>
    <row r="7758" spans="1:10" x14ac:dyDescent="0.3">
      <c r="A7758" t="s">
        <v>14450</v>
      </c>
      <c r="B7758" t="s">
        <v>14451</v>
      </c>
      <c r="D7758">
        <v>1</v>
      </c>
      <c r="F7758" t="s">
        <v>518</v>
      </c>
    </row>
    <row r="7759" spans="1:10" x14ac:dyDescent="0.3">
      <c r="A7759" t="s">
        <v>14452</v>
      </c>
      <c r="B7759" t="s">
        <v>4442</v>
      </c>
      <c r="D7759">
        <v>1</v>
      </c>
      <c r="E7759" t="s">
        <v>23</v>
      </c>
      <c r="F7759" t="s">
        <v>30</v>
      </c>
    </row>
    <row r="7760" spans="1:10" x14ac:dyDescent="0.3">
      <c r="A7760" t="s">
        <v>9551</v>
      </c>
      <c r="B7760" t="s">
        <v>14453</v>
      </c>
      <c r="D7760">
        <v>2</v>
      </c>
      <c r="E7760" t="s">
        <v>189</v>
      </c>
      <c r="F7760" t="s">
        <v>3942</v>
      </c>
    </row>
    <row r="7761" spans="1:10" x14ac:dyDescent="0.3">
      <c r="A7761" t="s">
        <v>12315</v>
      </c>
      <c r="B7761" t="s">
        <v>14454</v>
      </c>
      <c r="D7761">
        <v>0.7</v>
      </c>
      <c r="E7761" t="s">
        <v>23</v>
      </c>
      <c r="F7761" t="s">
        <v>10575</v>
      </c>
    </row>
    <row r="7762" spans="1:10" x14ac:dyDescent="0.3">
      <c r="A7762" t="s">
        <v>9601</v>
      </c>
      <c r="B7762" t="s">
        <v>14455</v>
      </c>
      <c r="D7762">
        <v>2</v>
      </c>
      <c r="E7762" t="s">
        <v>23</v>
      </c>
      <c r="F7762" t="s">
        <v>14456</v>
      </c>
      <c r="J7762" t="s">
        <v>289</v>
      </c>
    </row>
    <row r="7763" spans="1:10" x14ac:dyDescent="0.3">
      <c r="A7763" t="s">
        <v>14457</v>
      </c>
      <c r="B7763" t="s">
        <v>14458</v>
      </c>
      <c r="D7763">
        <v>1.5</v>
      </c>
      <c r="E7763" t="s">
        <v>23</v>
      </c>
      <c r="F7763" t="s">
        <v>2181</v>
      </c>
    </row>
    <row r="7764" spans="1:10" x14ac:dyDescent="0.3">
      <c r="A7764" t="s">
        <v>2074</v>
      </c>
      <c r="B7764" t="s">
        <v>14459</v>
      </c>
      <c r="D7764">
        <v>6</v>
      </c>
      <c r="F7764" t="s">
        <v>14460</v>
      </c>
    </row>
    <row r="7765" spans="1:10" x14ac:dyDescent="0.3">
      <c r="A7765" t="s">
        <v>14461</v>
      </c>
      <c r="B7765" t="s">
        <v>14462</v>
      </c>
      <c r="D7765">
        <v>1</v>
      </c>
      <c r="E7765" t="s">
        <v>11</v>
      </c>
      <c r="F7765" t="s">
        <v>2709</v>
      </c>
    </row>
    <row r="7766" spans="1:10" x14ac:dyDescent="0.3">
      <c r="A7766" t="s">
        <v>14463</v>
      </c>
      <c r="B7766" t="s">
        <v>6453</v>
      </c>
      <c r="D7766">
        <v>20</v>
      </c>
      <c r="E7766" t="s">
        <v>29</v>
      </c>
      <c r="F7766" t="s">
        <v>30</v>
      </c>
    </row>
    <row r="7767" spans="1:10" x14ac:dyDescent="0.3">
      <c r="A7767" t="s">
        <v>14464</v>
      </c>
      <c r="B7767" t="s">
        <v>1235</v>
      </c>
      <c r="D7767">
        <v>0.5</v>
      </c>
      <c r="E7767" t="s">
        <v>11</v>
      </c>
      <c r="F7767" t="s">
        <v>88</v>
      </c>
    </row>
    <row r="7768" spans="1:10" x14ac:dyDescent="0.3">
      <c r="A7768" t="s">
        <v>14465</v>
      </c>
      <c r="B7768" t="s">
        <v>14466</v>
      </c>
      <c r="D7768">
        <v>0.5</v>
      </c>
      <c r="E7768" t="s">
        <v>37</v>
      </c>
      <c r="F7768" t="s">
        <v>14467</v>
      </c>
    </row>
    <row r="7769" spans="1:10" x14ac:dyDescent="0.3">
      <c r="A7769" t="s">
        <v>14468</v>
      </c>
      <c r="B7769" t="s">
        <v>14469</v>
      </c>
      <c r="D7769">
        <v>1.5</v>
      </c>
      <c r="E7769" t="s">
        <v>23</v>
      </c>
      <c r="F7769" t="s">
        <v>2446</v>
      </c>
    </row>
    <row r="7770" spans="1:10" x14ac:dyDescent="0.3">
      <c r="A7770" t="s">
        <v>14470</v>
      </c>
      <c r="B7770" t="s">
        <v>163</v>
      </c>
      <c r="F7770" t="s">
        <v>163</v>
      </c>
    </row>
    <row r="7771" spans="1:10" x14ac:dyDescent="0.3">
      <c r="A7771" t="s">
        <v>5270</v>
      </c>
      <c r="B7771" t="s">
        <v>14471</v>
      </c>
      <c r="D7771">
        <v>1</v>
      </c>
      <c r="E7771" t="s">
        <v>752</v>
      </c>
      <c r="F7771" t="s">
        <v>2406</v>
      </c>
      <c r="J7771" t="s">
        <v>10099</v>
      </c>
    </row>
    <row r="7772" spans="1:10" x14ac:dyDescent="0.3">
      <c r="A7772" t="s">
        <v>2813</v>
      </c>
      <c r="B7772" t="s">
        <v>3711</v>
      </c>
      <c r="D7772">
        <v>2</v>
      </c>
      <c r="E7772" t="s">
        <v>91</v>
      </c>
      <c r="F7772" t="s">
        <v>30</v>
      </c>
      <c r="H7772" t="s">
        <v>814</v>
      </c>
    </row>
    <row r="7773" spans="1:10" x14ac:dyDescent="0.3">
      <c r="A7773" t="s">
        <v>14472</v>
      </c>
      <c r="B7773" t="s">
        <v>14473</v>
      </c>
      <c r="D7773">
        <v>25</v>
      </c>
      <c r="E7773" t="s">
        <v>29</v>
      </c>
      <c r="F7773" t="s">
        <v>10684</v>
      </c>
    </row>
    <row r="7774" spans="1:10" x14ac:dyDescent="0.3">
      <c r="A7774" t="s">
        <v>14474</v>
      </c>
      <c r="B7774" t="s">
        <v>14475</v>
      </c>
      <c r="D7774">
        <v>3</v>
      </c>
      <c r="E7774" t="s">
        <v>23</v>
      </c>
      <c r="F7774" t="s">
        <v>1816</v>
      </c>
    </row>
    <row r="7775" spans="1:10" x14ac:dyDescent="0.3">
      <c r="A7775" t="s">
        <v>14476</v>
      </c>
      <c r="B7775" t="s">
        <v>14477</v>
      </c>
      <c r="D7775">
        <v>1</v>
      </c>
      <c r="E7775" t="s">
        <v>752</v>
      </c>
      <c r="F7775" t="s">
        <v>14478</v>
      </c>
    </row>
    <row r="7776" spans="1:10" x14ac:dyDescent="0.3">
      <c r="A7776" t="s">
        <v>14479</v>
      </c>
      <c r="B7776" t="s">
        <v>14480</v>
      </c>
      <c r="E7776" t="s">
        <v>435</v>
      </c>
      <c r="F7776" t="s">
        <v>377</v>
      </c>
    </row>
    <row r="7777" spans="1:10" x14ac:dyDescent="0.3">
      <c r="A7777" t="s">
        <v>12299</v>
      </c>
      <c r="B7777" t="s">
        <v>7420</v>
      </c>
      <c r="F7777" t="s">
        <v>317</v>
      </c>
      <c r="J7777" t="s">
        <v>7421</v>
      </c>
    </row>
    <row r="7778" spans="1:10" x14ac:dyDescent="0.3">
      <c r="A7778" t="s">
        <v>8748</v>
      </c>
      <c r="B7778" t="s">
        <v>14481</v>
      </c>
      <c r="F7778" t="s">
        <v>14482</v>
      </c>
      <c r="J7778" t="s">
        <v>1399</v>
      </c>
    </row>
    <row r="7779" spans="1:10" x14ac:dyDescent="0.3">
      <c r="A7779" t="s">
        <v>522</v>
      </c>
      <c r="B7779" t="s">
        <v>14483</v>
      </c>
      <c r="D7779">
        <v>25</v>
      </c>
      <c r="E7779" t="s">
        <v>29</v>
      </c>
      <c r="F7779" t="s">
        <v>738</v>
      </c>
    </row>
    <row r="7780" spans="1:10" x14ac:dyDescent="0.3">
      <c r="A7780" t="s">
        <v>14484</v>
      </c>
      <c r="B7780" t="s">
        <v>13826</v>
      </c>
      <c r="D7780">
        <v>1.5</v>
      </c>
      <c r="E7780" t="s">
        <v>23</v>
      </c>
      <c r="F7780" t="s">
        <v>7925</v>
      </c>
    </row>
    <row r="7781" spans="1:10" x14ac:dyDescent="0.3">
      <c r="A7781" t="s">
        <v>8201</v>
      </c>
      <c r="B7781" t="s">
        <v>14485</v>
      </c>
      <c r="D7781">
        <v>2</v>
      </c>
      <c r="E7781" t="s">
        <v>345</v>
      </c>
      <c r="F7781" t="s">
        <v>13628</v>
      </c>
    </row>
    <row r="7782" spans="1:10" x14ac:dyDescent="0.3">
      <c r="A7782" t="s">
        <v>1535</v>
      </c>
      <c r="B7782" t="s">
        <v>14486</v>
      </c>
      <c r="D7782">
        <v>1.5</v>
      </c>
      <c r="E7782" t="s">
        <v>37</v>
      </c>
      <c r="F7782" t="s">
        <v>14487</v>
      </c>
      <c r="J7782" t="s">
        <v>4324</v>
      </c>
    </row>
    <row r="7783" spans="1:10" x14ac:dyDescent="0.3">
      <c r="A7783" t="s">
        <v>14488</v>
      </c>
      <c r="B7783" t="s">
        <v>14489</v>
      </c>
      <c r="D7783">
        <v>1</v>
      </c>
      <c r="E7783" t="s">
        <v>11</v>
      </c>
      <c r="F7783" t="s">
        <v>3426</v>
      </c>
    </row>
    <row r="7784" spans="1:10" x14ac:dyDescent="0.3">
      <c r="A7784" t="s">
        <v>14490</v>
      </c>
      <c r="B7784" t="s">
        <v>968</v>
      </c>
      <c r="D7784">
        <v>1</v>
      </c>
      <c r="E7784" t="s">
        <v>23</v>
      </c>
      <c r="F7784" t="s">
        <v>199</v>
      </c>
    </row>
    <row r="7785" spans="1:10" x14ac:dyDescent="0.3">
      <c r="A7785" t="s">
        <v>14491</v>
      </c>
      <c r="B7785" t="s">
        <v>879</v>
      </c>
      <c r="D7785">
        <v>1</v>
      </c>
      <c r="E7785" t="s">
        <v>23</v>
      </c>
      <c r="F7785" t="s">
        <v>880</v>
      </c>
    </row>
    <row r="7786" spans="1:10" x14ac:dyDescent="0.3">
      <c r="A7786" t="s">
        <v>5322</v>
      </c>
      <c r="B7786" t="s">
        <v>333</v>
      </c>
      <c r="F7786" t="s">
        <v>333</v>
      </c>
    </row>
    <row r="7787" spans="1:10" x14ac:dyDescent="0.3">
      <c r="A7787" t="s">
        <v>14492</v>
      </c>
      <c r="B7787" t="s">
        <v>4919</v>
      </c>
      <c r="D7787">
        <v>0.5</v>
      </c>
      <c r="E7787" t="s">
        <v>23</v>
      </c>
      <c r="F7787" t="s">
        <v>30</v>
      </c>
    </row>
    <row r="7788" spans="1:10" x14ac:dyDescent="0.3">
      <c r="A7788" t="s">
        <v>5018</v>
      </c>
      <c r="B7788" t="s">
        <v>5775</v>
      </c>
      <c r="F7788" t="s">
        <v>5775</v>
      </c>
    </row>
    <row r="7789" spans="1:10" x14ac:dyDescent="0.3">
      <c r="A7789" t="s">
        <v>2454</v>
      </c>
      <c r="B7789" t="s">
        <v>14493</v>
      </c>
      <c r="D7789">
        <v>0.25</v>
      </c>
      <c r="E7789" t="s">
        <v>11</v>
      </c>
      <c r="F7789" t="s">
        <v>4302</v>
      </c>
    </row>
    <row r="7790" spans="1:10" x14ac:dyDescent="0.3">
      <c r="A7790" t="s">
        <v>12326</v>
      </c>
      <c r="B7790" t="s">
        <v>14494</v>
      </c>
      <c r="D7790">
        <v>1</v>
      </c>
      <c r="E7790" t="s">
        <v>23</v>
      </c>
      <c r="F7790" t="s">
        <v>13036</v>
      </c>
    </row>
    <row r="7791" spans="1:10" x14ac:dyDescent="0.3">
      <c r="A7791" t="s">
        <v>14495</v>
      </c>
      <c r="B7791" t="s">
        <v>4394</v>
      </c>
      <c r="D7791">
        <v>1</v>
      </c>
      <c r="E7791" t="s">
        <v>23</v>
      </c>
      <c r="F7791" t="s">
        <v>355</v>
      </c>
    </row>
    <row r="7792" spans="1:10" x14ac:dyDescent="0.3">
      <c r="A7792" t="s">
        <v>14496</v>
      </c>
      <c r="B7792" t="s">
        <v>14497</v>
      </c>
      <c r="D7792">
        <v>3</v>
      </c>
      <c r="E7792" t="s">
        <v>91</v>
      </c>
      <c r="F7792" t="s">
        <v>3403</v>
      </c>
    </row>
    <row r="7793" spans="1:10" x14ac:dyDescent="0.3">
      <c r="A7793" t="s">
        <v>1904</v>
      </c>
      <c r="B7793" t="s">
        <v>10478</v>
      </c>
      <c r="D7793">
        <v>1</v>
      </c>
      <c r="E7793" t="s">
        <v>11</v>
      </c>
      <c r="F7793" t="s">
        <v>1674</v>
      </c>
    </row>
    <row r="7794" spans="1:10" x14ac:dyDescent="0.3">
      <c r="A7794" t="s">
        <v>8016</v>
      </c>
      <c r="B7794" t="s">
        <v>14498</v>
      </c>
      <c r="D7794">
        <v>0.5</v>
      </c>
      <c r="E7794" t="s">
        <v>23</v>
      </c>
      <c r="F7794" t="s">
        <v>1136</v>
      </c>
    </row>
    <row r="7795" spans="1:10" x14ac:dyDescent="0.3">
      <c r="A7795" t="s">
        <v>12496</v>
      </c>
      <c r="B7795" t="s">
        <v>2160</v>
      </c>
      <c r="D7795">
        <v>0.5</v>
      </c>
      <c r="E7795" t="s">
        <v>23</v>
      </c>
      <c r="F7795" t="s">
        <v>355</v>
      </c>
    </row>
    <row r="7796" spans="1:10" x14ac:dyDescent="0.3">
      <c r="A7796" t="s">
        <v>14499</v>
      </c>
      <c r="B7796" t="s">
        <v>14500</v>
      </c>
      <c r="D7796">
        <v>1</v>
      </c>
      <c r="E7796" t="s">
        <v>435</v>
      </c>
      <c r="F7796" t="s">
        <v>1984</v>
      </c>
      <c r="G7796" t="s">
        <v>14501</v>
      </c>
      <c r="H7796" t="s">
        <v>1723</v>
      </c>
      <c r="J7796" t="s">
        <v>20</v>
      </c>
    </row>
    <row r="7797" spans="1:10" x14ac:dyDescent="0.3">
      <c r="A7797" t="s">
        <v>14502</v>
      </c>
      <c r="B7797" t="s">
        <v>14503</v>
      </c>
      <c r="D7797" t="s">
        <v>665</v>
      </c>
      <c r="E7797" t="s">
        <v>23</v>
      </c>
      <c r="F7797" t="s">
        <v>380</v>
      </c>
    </row>
    <row r="7798" spans="1:10" x14ac:dyDescent="0.3">
      <c r="A7798" t="s">
        <v>14504</v>
      </c>
      <c r="B7798" t="s">
        <v>3533</v>
      </c>
      <c r="D7798">
        <v>2</v>
      </c>
      <c r="E7798" t="s">
        <v>345</v>
      </c>
      <c r="F7798" t="s">
        <v>2552</v>
      </c>
    </row>
    <row r="7799" spans="1:10" x14ac:dyDescent="0.3">
      <c r="A7799" t="s">
        <v>4103</v>
      </c>
      <c r="B7799" t="s">
        <v>584</v>
      </c>
      <c r="E7799" t="s">
        <v>585</v>
      </c>
      <c r="F7799" t="s">
        <v>121</v>
      </c>
    </row>
    <row r="7800" spans="1:10" x14ac:dyDescent="0.3">
      <c r="A7800" t="s">
        <v>11917</v>
      </c>
      <c r="B7800" t="s">
        <v>1243</v>
      </c>
      <c r="D7800">
        <v>0.75</v>
      </c>
      <c r="E7800" t="s">
        <v>23</v>
      </c>
      <c r="F7800" t="s">
        <v>30</v>
      </c>
    </row>
    <row r="7801" spans="1:10" x14ac:dyDescent="0.3">
      <c r="A7801" t="s">
        <v>14505</v>
      </c>
      <c r="B7801" t="s">
        <v>1286</v>
      </c>
      <c r="D7801">
        <v>2</v>
      </c>
      <c r="E7801" t="s">
        <v>91</v>
      </c>
      <c r="F7801" t="s">
        <v>281</v>
      </c>
    </row>
    <row r="7802" spans="1:10" x14ac:dyDescent="0.3">
      <c r="A7802" t="s">
        <v>14506</v>
      </c>
      <c r="B7802" t="s">
        <v>5972</v>
      </c>
      <c r="D7802">
        <v>1</v>
      </c>
      <c r="E7802" t="s">
        <v>11</v>
      </c>
      <c r="F7802" t="s">
        <v>5973</v>
      </c>
    </row>
    <row r="7803" spans="1:10" x14ac:dyDescent="0.3">
      <c r="A7803" t="s">
        <v>12731</v>
      </c>
      <c r="B7803" t="s">
        <v>11739</v>
      </c>
      <c r="D7803">
        <v>2</v>
      </c>
      <c r="E7803" t="s">
        <v>23</v>
      </c>
      <c r="F7803" t="s">
        <v>2115</v>
      </c>
    </row>
    <row r="7804" spans="1:10" x14ac:dyDescent="0.3">
      <c r="A7804" t="s">
        <v>14507</v>
      </c>
      <c r="B7804" t="s">
        <v>14508</v>
      </c>
      <c r="D7804">
        <v>0.5</v>
      </c>
      <c r="E7804" t="s">
        <v>50</v>
      </c>
      <c r="F7804" t="s">
        <v>5344</v>
      </c>
    </row>
    <row r="7805" spans="1:10" x14ac:dyDescent="0.3">
      <c r="A7805" t="s">
        <v>14509</v>
      </c>
      <c r="B7805" t="s">
        <v>14510</v>
      </c>
      <c r="D7805">
        <v>0.25</v>
      </c>
      <c r="E7805" t="s">
        <v>23</v>
      </c>
      <c r="F7805" t="s">
        <v>15</v>
      </c>
    </row>
    <row r="7806" spans="1:10" x14ac:dyDescent="0.3">
      <c r="A7806" t="s">
        <v>293</v>
      </c>
      <c r="B7806" t="s">
        <v>14511</v>
      </c>
      <c r="D7806">
        <v>8</v>
      </c>
      <c r="E7806" t="s">
        <v>23</v>
      </c>
      <c r="F7806" t="s">
        <v>581</v>
      </c>
      <c r="I7806" t="s">
        <v>3945</v>
      </c>
    </row>
    <row r="7807" spans="1:10" x14ac:dyDescent="0.3">
      <c r="A7807" t="s">
        <v>14512</v>
      </c>
      <c r="B7807" t="s">
        <v>6019</v>
      </c>
      <c r="F7807" t="s">
        <v>413</v>
      </c>
      <c r="G7807" t="s">
        <v>1571</v>
      </c>
    </row>
    <row r="7808" spans="1:10" x14ac:dyDescent="0.3">
      <c r="A7808" t="s">
        <v>14513</v>
      </c>
      <c r="B7808" t="s">
        <v>14514</v>
      </c>
      <c r="D7808">
        <v>1.5</v>
      </c>
      <c r="E7808" t="s">
        <v>345</v>
      </c>
      <c r="F7808" t="s">
        <v>14515</v>
      </c>
    </row>
    <row r="7809" spans="1:10" x14ac:dyDescent="0.3">
      <c r="A7809" t="s">
        <v>14516</v>
      </c>
      <c r="B7809" t="s">
        <v>14517</v>
      </c>
      <c r="D7809">
        <v>1</v>
      </c>
      <c r="F7809" t="s">
        <v>14518</v>
      </c>
      <c r="G7809" t="s">
        <v>14519</v>
      </c>
      <c r="J7809" t="s">
        <v>2963</v>
      </c>
    </row>
    <row r="7810" spans="1:10" x14ac:dyDescent="0.3">
      <c r="A7810" t="s">
        <v>14520</v>
      </c>
      <c r="B7810" t="s">
        <v>14521</v>
      </c>
      <c r="D7810">
        <v>0.5</v>
      </c>
      <c r="E7810" t="s">
        <v>23</v>
      </c>
      <c r="F7810" t="s">
        <v>2920</v>
      </c>
    </row>
    <row r="7811" spans="1:10" x14ac:dyDescent="0.3">
      <c r="A7811" t="s">
        <v>14522</v>
      </c>
      <c r="B7811" t="s">
        <v>14523</v>
      </c>
      <c r="D7811">
        <v>200</v>
      </c>
      <c r="E7811" t="s">
        <v>29</v>
      </c>
      <c r="F7811" t="s">
        <v>1748</v>
      </c>
    </row>
    <row r="7812" spans="1:10" x14ac:dyDescent="0.3">
      <c r="A7812" t="s">
        <v>14524</v>
      </c>
      <c r="B7812" t="s">
        <v>14525</v>
      </c>
      <c r="D7812">
        <v>3</v>
      </c>
      <c r="E7812" t="s">
        <v>23</v>
      </c>
      <c r="F7812" t="s">
        <v>11589</v>
      </c>
    </row>
    <row r="7813" spans="1:10" x14ac:dyDescent="0.3">
      <c r="A7813" t="s">
        <v>14526</v>
      </c>
      <c r="B7813" t="s">
        <v>5954</v>
      </c>
      <c r="D7813">
        <v>2</v>
      </c>
      <c r="E7813" t="s">
        <v>23</v>
      </c>
      <c r="F7813" t="s">
        <v>524</v>
      </c>
    </row>
    <row r="7814" spans="1:10" x14ac:dyDescent="0.3">
      <c r="A7814" t="s">
        <v>14527</v>
      </c>
      <c r="B7814" t="s">
        <v>14528</v>
      </c>
      <c r="D7814">
        <v>1</v>
      </c>
      <c r="E7814" t="s">
        <v>4545</v>
      </c>
      <c r="F7814" t="s">
        <v>160</v>
      </c>
      <c r="G7814" t="s">
        <v>167</v>
      </c>
      <c r="H7814" t="s">
        <v>168</v>
      </c>
    </row>
    <row r="7815" spans="1:10" x14ac:dyDescent="0.3">
      <c r="A7815" t="s">
        <v>10436</v>
      </c>
      <c r="B7815" t="s">
        <v>14529</v>
      </c>
      <c r="D7815">
        <v>0.5</v>
      </c>
      <c r="E7815" t="s">
        <v>23</v>
      </c>
      <c r="F7815" t="s">
        <v>4996</v>
      </c>
    </row>
    <row r="7816" spans="1:10" x14ac:dyDescent="0.3">
      <c r="A7816" t="s">
        <v>14530</v>
      </c>
      <c r="B7816" t="s">
        <v>14531</v>
      </c>
      <c r="D7816">
        <v>75</v>
      </c>
      <c r="E7816" t="s">
        <v>29</v>
      </c>
      <c r="F7816" t="s">
        <v>14532</v>
      </c>
      <c r="J7816" t="s">
        <v>20</v>
      </c>
    </row>
    <row r="7817" spans="1:10" x14ac:dyDescent="0.3">
      <c r="A7817" t="s">
        <v>14533</v>
      </c>
      <c r="B7817" t="s">
        <v>14534</v>
      </c>
      <c r="D7817">
        <v>0.38</v>
      </c>
      <c r="E7817" t="s">
        <v>37</v>
      </c>
      <c r="F7817" t="s">
        <v>14535</v>
      </c>
    </row>
    <row r="7818" spans="1:10" x14ac:dyDescent="0.3">
      <c r="A7818" t="s">
        <v>14536</v>
      </c>
      <c r="B7818" t="s">
        <v>14537</v>
      </c>
      <c r="D7818">
        <v>0.5</v>
      </c>
      <c r="E7818" t="s">
        <v>361</v>
      </c>
      <c r="F7818" t="s">
        <v>81</v>
      </c>
    </row>
    <row r="7819" spans="1:10" x14ac:dyDescent="0.3">
      <c r="A7819" t="s">
        <v>11189</v>
      </c>
      <c r="B7819" t="s">
        <v>1179</v>
      </c>
      <c r="D7819">
        <v>1</v>
      </c>
      <c r="E7819" t="s">
        <v>23</v>
      </c>
      <c r="F7819" t="s">
        <v>233</v>
      </c>
    </row>
    <row r="7820" spans="1:10" x14ac:dyDescent="0.3">
      <c r="A7820" t="s">
        <v>14538</v>
      </c>
      <c r="B7820" t="s">
        <v>14539</v>
      </c>
      <c r="D7820">
        <v>1</v>
      </c>
      <c r="F7820" t="s">
        <v>14540</v>
      </c>
      <c r="J7820" t="s">
        <v>289</v>
      </c>
    </row>
    <row r="7821" spans="1:10" x14ac:dyDescent="0.3">
      <c r="A7821" t="s">
        <v>13939</v>
      </c>
      <c r="B7821" t="s">
        <v>6814</v>
      </c>
      <c r="D7821">
        <v>4</v>
      </c>
      <c r="E7821" t="s">
        <v>23</v>
      </c>
      <c r="F7821" t="s">
        <v>241</v>
      </c>
    </row>
    <row r="7822" spans="1:10" x14ac:dyDescent="0.3">
      <c r="A7822" t="s">
        <v>1218</v>
      </c>
      <c r="B7822" t="s">
        <v>11262</v>
      </c>
      <c r="D7822">
        <v>0.5</v>
      </c>
      <c r="E7822" t="s">
        <v>23</v>
      </c>
      <c r="F7822" t="s">
        <v>4904</v>
      </c>
    </row>
    <row r="7823" spans="1:10" x14ac:dyDescent="0.3">
      <c r="A7823" t="s">
        <v>14541</v>
      </c>
      <c r="B7823" t="s">
        <v>14542</v>
      </c>
      <c r="D7823">
        <v>0.75</v>
      </c>
      <c r="E7823" t="s">
        <v>11</v>
      </c>
      <c r="F7823" t="s">
        <v>1457</v>
      </c>
    </row>
    <row r="7824" spans="1:10" x14ac:dyDescent="0.3">
      <c r="A7824" t="s">
        <v>3827</v>
      </c>
      <c r="B7824" t="s">
        <v>3110</v>
      </c>
      <c r="D7824">
        <v>0.5</v>
      </c>
      <c r="E7824" t="s">
        <v>11</v>
      </c>
      <c r="F7824" t="s">
        <v>423</v>
      </c>
    </row>
    <row r="7825" spans="1:10" x14ac:dyDescent="0.3">
      <c r="A7825" t="s">
        <v>14543</v>
      </c>
      <c r="B7825" t="s">
        <v>14544</v>
      </c>
      <c r="D7825">
        <v>37.5</v>
      </c>
      <c r="E7825" t="s">
        <v>29</v>
      </c>
      <c r="F7825" t="s">
        <v>5587</v>
      </c>
    </row>
    <row r="7826" spans="1:10" x14ac:dyDescent="0.3">
      <c r="A7826" t="s">
        <v>3563</v>
      </c>
      <c r="B7826" t="s">
        <v>14545</v>
      </c>
      <c r="D7826">
        <v>1</v>
      </c>
      <c r="E7826" t="s">
        <v>146</v>
      </c>
      <c r="F7826" t="s">
        <v>233</v>
      </c>
    </row>
    <row r="7827" spans="1:10" x14ac:dyDescent="0.3">
      <c r="A7827" t="s">
        <v>2611</v>
      </c>
      <c r="B7827" t="s">
        <v>7163</v>
      </c>
      <c r="D7827">
        <v>2</v>
      </c>
      <c r="E7827" t="s">
        <v>23</v>
      </c>
      <c r="F7827" t="s">
        <v>281</v>
      </c>
      <c r="J7827" t="s">
        <v>289</v>
      </c>
    </row>
    <row r="7828" spans="1:10" x14ac:dyDescent="0.3">
      <c r="A7828" t="s">
        <v>13055</v>
      </c>
      <c r="B7828" t="s">
        <v>14546</v>
      </c>
      <c r="D7828">
        <v>2</v>
      </c>
      <c r="F7828" t="s">
        <v>333</v>
      </c>
      <c r="G7828" t="s">
        <v>1247</v>
      </c>
    </row>
    <row r="7829" spans="1:10" x14ac:dyDescent="0.3">
      <c r="A7829" t="s">
        <v>14547</v>
      </c>
      <c r="B7829" t="s">
        <v>14548</v>
      </c>
      <c r="F7829" t="s">
        <v>14548</v>
      </c>
    </row>
    <row r="7830" spans="1:10" x14ac:dyDescent="0.3">
      <c r="A7830" t="s">
        <v>14549</v>
      </c>
      <c r="B7830" t="s">
        <v>14550</v>
      </c>
      <c r="D7830">
        <v>0.75</v>
      </c>
      <c r="E7830" t="s">
        <v>37</v>
      </c>
      <c r="F7830" t="s">
        <v>14551</v>
      </c>
      <c r="J7830" t="s">
        <v>2028</v>
      </c>
    </row>
    <row r="7831" spans="1:10" x14ac:dyDescent="0.3">
      <c r="A7831" t="s">
        <v>14552</v>
      </c>
      <c r="B7831" t="s">
        <v>14553</v>
      </c>
      <c r="D7831">
        <v>1</v>
      </c>
      <c r="E7831" t="s">
        <v>227</v>
      </c>
      <c r="F7831" t="s">
        <v>2424</v>
      </c>
    </row>
    <row r="7832" spans="1:10" x14ac:dyDescent="0.3">
      <c r="A7832" t="s">
        <v>14554</v>
      </c>
      <c r="B7832" t="s">
        <v>14555</v>
      </c>
      <c r="D7832">
        <v>0.5</v>
      </c>
      <c r="E7832" t="s">
        <v>23</v>
      </c>
      <c r="F7832" t="s">
        <v>5564</v>
      </c>
    </row>
    <row r="7833" spans="1:10" x14ac:dyDescent="0.3">
      <c r="A7833" t="s">
        <v>14556</v>
      </c>
      <c r="B7833" t="s">
        <v>14557</v>
      </c>
      <c r="D7833">
        <v>2</v>
      </c>
      <c r="E7833" t="s">
        <v>23</v>
      </c>
      <c r="F7833" t="s">
        <v>2875</v>
      </c>
    </row>
    <row r="7834" spans="1:10" x14ac:dyDescent="0.3">
      <c r="A7834" t="s">
        <v>6059</v>
      </c>
      <c r="B7834" t="s">
        <v>11219</v>
      </c>
      <c r="D7834">
        <v>0.5</v>
      </c>
      <c r="E7834" t="s">
        <v>23</v>
      </c>
      <c r="F7834" t="s">
        <v>587</v>
      </c>
      <c r="J7834" t="s">
        <v>289</v>
      </c>
    </row>
    <row r="7835" spans="1:10" x14ac:dyDescent="0.3">
      <c r="A7835" t="s">
        <v>14558</v>
      </c>
      <c r="B7835" t="s">
        <v>14559</v>
      </c>
      <c r="D7835">
        <v>0.75</v>
      </c>
      <c r="E7835" t="s">
        <v>23</v>
      </c>
      <c r="F7835" t="s">
        <v>13194</v>
      </c>
      <c r="J7835" t="s">
        <v>289</v>
      </c>
    </row>
    <row r="7836" spans="1:10" x14ac:dyDescent="0.3">
      <c r="A7836" t="s">
        <v>10033</v>
      </c>
      <c r="B7836" t="s">
        <v>14560</v>
      </c>
      <c r="D7836">
        <v>0.25</v>
      </c>
      <c r="E7836" t="s">
        <v>11</v>
      </c>
      <c r="F7836" t="s">
        <v>10181</v>
      </c>
    </row>
    <row r="7837" spans="1:10" x14ac:dyDescent="0.3">
      <c r="A7837" t="s">
        <v>8949</v>
      </c>
      <c r="B7837" t="s">
        <v>6614</v>
      </c>
      <c r="F7837" t="s">
        <v>6614</v>
      </c>
    </row>
    <row r="7838" spans="1:10" x14ac:dyDescent="0.3">
      <c r="A7838" t="s">
        <v>14561</v>
      </c>
      <c r="B7838" t="s">
        <v>14562</v>
      </c>
      <c r="D7838">
        <v>20.5</v>
      </c>
      <c r="E7838" t="s">
        <v>91</v>
      </c>
      <c r="F7838" t="s">
        <v>2299</v>
      </c>
    </row>
    <row r="7839" spans="1:10" x14ac:dyDescent="0.3">
      <c r="A7839" t="s">
        <v>4939</v>
      </c>
      <c r="B7839" t="s">
        <v>14563</v>
      </c>
      <c r="D7839">
        <v>1</v>
      </c>
      <c r="E7839" t="s">
        <v>37</v>
      </c>
      <c r="F7839" t="s">
        <v>14564</v>
      </c>
    </row>
    <row r="7840" spans="1:10" x14ac:dyDescent="0.3">
      <c r="A7840" t="s">
        <v>14565</v>
      </c>
      <c r="B7840" t="s">
        <v>10535</v>
      </c>
      <c r="D7840">
        <v>0.5</v>
      </c>
      <c r="E7840" t="s">
        <v>23</v>
      </c>
      <c r="F7840" t="s">
        <v>102</v>
      </c>
    </row>
    <row r="7841" spans="1:10" x14ac:dyDescent="0.3">
      <c r="A7841" t="s">
        <v>14566</v>
      </c>
      <c r="B7841" t="s">
        <v>3600</v>
      </c>
      <c r="D7841">
        <v>1</v>
      </c>
      <c r="E7841" t="s">
        <v>11</v>
      </c>
      <c r="F7841" t="s">
        <v>2211</v>
      </c>
    </row>
    <row r="7842" spans="1:10" x14ac:dyDescent="0.3">
      <c r="A7842" t="s">
        <v>14567</v>
      </c>
      <c r="B7842" t="s">
        <v>14568</v>
      </c>
      <c r="D7842">
        <v>1</v>
      </c>
      <c r="E7842" t="s">
        <v>37</v>
      </c>
      <c r="F7842" t="s">
        <v>14569</v>
      </c>
    </row>
    <row r="7843" spans="1:10" x14ac:dyDescent="0.3">
      <c r="A7843" t="s">
        <v>14570</v>
      </c>
      <c r="B7843" t="s">
        <v>14571</v>
      </c>
      <c r="D7843">
        <v>0.5</v>
      </c>
      <c r="E7843" t="s">
        <v>23</v>
      </c>
      <c r="F7843" t="s">
        <v>14572</v>
      </c>
      <c r="J7843" t="s">
        <v>14573</v>
      </c>
    </row>
    <row r="7844" spans="1:10" x14ac:dyDescent="0.3">
      <c r="A7844" t="s">
        <v>14574</v>
      </c>
      <c r="B7844" t="s">
        <v>14575</v>
      </c>
      <c r="D7844">
        <v>1.5</v>
      </c>
      <c r="E7844" t="s">
        <v>284</v>
      </c>
      <c r="F7844" t="s">
        <v>5161</v>
      </c>
    </row>
    <row r="7845" spans="1:10" x14ac:dyDescent="0.3">
      <c r="A7845" t="s">
        <v>3495</v>
      </c>
      <c r="B7845" t="s">
        <v>14576</v>
      </c>
      <c r="D7845">
        <v>1</v>
      </c>
      <c r="E7845" t="s">
        <v>18</v>
      </c>
      <c r="F7845" t="s">
        <v>112</v>
      </c>
    </row>
    <row r="7846" spans="1:10" x14ac:dyDescent="0.3">
      <c r="A7846" t="s">
        <v>14577</v>
      </c>
      <c r="B7846" t="s">
        <v>2686</v>
      </c>
      <c r="D7846">
        <v>0.5</v>
      </c>
      <c r="E7846" t="s">
        <v>23</v>
      </c>
      <c r="F7846" t="s">
        <v>2243</v>
      </c>
    </row>
    <row r="7847" spans="1:10" x14ac:dyDescent="0.3">
      <c r="A7847" t="s">
        <v>4628</v>
      </c>
      <c r="B7847" t="s">
        <v>152</v>
      </c>
      <c r="F7847" t="s">
        <v>152</v>
      </c>
    </row>
    <row r="7848" spans="1:10" x14ac:dyDescent="0.3">
      <c r="A7848" t="s">
        <v>14578</v>
      </c>
      <c r="B7848" t="s">
        <v>2615</v>
      </c>
      <c r="D7848">
        <v>20</v>
      </c>
      <c r="E7848" t="s">
        <v>29</v>
      </c>
      <c r="F7848" t="s">
        <v>38</v>
      </c>
      <c r="H7848" t="s">
        <v>814</v>
      </c>
    </row>
    <row r="7849" spans="1:10" x14ac:dyDescent="0.3">
      <c r="A7849" t="s">
        <v>14579</v>
      </c>
      <c r="B7849" t="s">
        <v>14580</v>
      </c>
      <c r="D7849">
        <v>2</v>
      </c>
      <c r="E7849" t="s">
        <v>23</v>
      </c>
      <c r="F7849" t="s">
        <v>8094</v>
      </c>
    </row>
    <row r="7850" spans="1:10" x14ac:dyDescent="0.3">
      <c r="A7850" t="s">
        <v>11382</v>
      </c>
      <c r="B7850" t="s">
        <v>1977</v>
      </c>
      <c r="F7850" t="s">
        <v>1977</v>
      </c>
    </row>
    <row r="7851" spans="1:10" x14ac:dyDescent="0.3">
      <c r="A7851" t="s">
        <v>14581</v>
      </c>
      <c r="B7851" t="s">
        <v>14582</v>
      </c>
      <c r="D7851">
        <v>2</v>
      </c>
      <c r="E7851" t="s">
        <v>91</v>
      </c>
      <c r="F7851" t="s">
        <v>14583</v>
      </c>
    </row>
    <row r="7852" spans="1:10" x14ac:dyDescent="0.3">
      <c r="A7852" t="s">
        <v>2491</v>
      </c>
      <c r="B7852" t="s">
        <v>14584</v>
      </c>
      <c r="D7852">
        <v>10.25</v>
      </c>
      <c r="E7852" t="s">
        <v>91</v>
      </c>
      <c r="F7852" t="s">
        <v>14585</v>
      </c>
      <c r="J7852" t="s">
        <v>654</v>
      </c>
    </row>
    <row r="7853" spans="1:10" x14ac:dyDescent="0.3">
      <c r="A7853" t="s">
        <v>3733</v>
      </c>
      <c r="B7853" t="s">
        <v>14586</v>
      </c>
      <c r="D7853">
        <v>1.5</v>
      </c>
      <c r="E7853" t="s">
        <v>23</v>
      </c>
      <c r="F7853" t="s">
        <v>1328</v>
      </c>
    </row>
    <row r="7854" spans="1:10" x14ac:dyDescent="0.3">
      <c r="A7854" t="s">
        <v>9848</v>
      </c>
      <c r="B7854" t="s">
        <v>14587</v>
      </c>
      <c r="D7854">
        <v>3</v>
      </c>
      <c r="E7854" t="s">
        <v>91</v>
      </c>
      <c r="F7854" t="s">
        <v>11815</v>
      </c>
    </row>
    <row r="7855" spans="1:10" x14ac:dyDescent="0.3">
      <c r="A7855" t="s">
        <v>5519</v>
      </c>
      <c r="B7855" t="s">
        <v>14588</v>
      </c>
      <c r="D7855">
        <v>2</v>
      </c>
      <c r="E7855" t="s">
        <v>1338</v>
      </c>
      <c r="F7855" t="s">
        <v>61</v>
      </c>
    </row>
    <row r="7856" spans="1:10" x14ac:dyDescent="0.3">
      <c r="A7856" t="s">
        <v>14589</v>
      </c>
      <c r="B7856" t="s">
        <v>14590</v>
      </c>
      <c r="D7856">
        <v>75</v>
      </c>
      <c r="E7856" t="s">
        <v>29</v>
      </c>
      <c r="F7856" t="s">
        <v>765</v>
      </c>
    </row>
    <row r="7857" spans="1:10" x14ac:dyDescent="0.3">
      <c r="A7857" t="s">
        <v>12037</v>
      </c>
      <c r="B7857" t="s">
        <v>14591</v>
      </c>
      <c r="D7857">
        <v>0.5</v>
      </c>
      <c r="E7857" t="s">
        <v>284</v>
      </c>
      <c r="F7857" t="s">
        <v>2078</v>
      </c>
    </row>
    <row r="7858" spans="1:10" x14ac:dyDescent="0.3">
      <c r="A7858" t="s">
        <v>14592</v>
      </c>
      <c r="B7858" t="s">
        <v>14593</v>
      </c>
      <c r="D7858">
        <v>25</v>
      </c>
      <c r="E7858" t="s">
        <v>29</v>
      </c>
      <c r="F7858" t="s">
        <v>423</v>
      </c>
    </row>
    <row r="7859" spans="1:10" x14ac:dyDescent="0.3">
      <c r="A7859" t="s">
        <v>14594</v>
      </c>
      <c r="B7859" t="s">
        <v>14595</v>
      </c>
      <c r="D7859">
        <v>70</v>
      </c>
      <c r="E7859" t="s">
        <v>29</v>
      </c>
      <c r="F7859" t="s">
        <v>1063</v>
      </c>
    </row>
    <row r="7860" spans="1:10" x14ac:dyDescent="0.3">
      <c r="A7860" t="s">
        <v>14596</v>
      </c>
      <c r="B7860" t="s">
        <v>110</v>
      </c>
      <c r="D7860">
        <v>1</v>
      </c>
      <c r="E7860" t="s">
        <v>111</v>
      </c>
      <c r="F7860" t="s">
        <v>112</v>
      </c>
    </row>
    <row r="7861" spans="1:10" x14ac:dyDescent="0.3">
      <c r="A7861" t="s">
        <v>14597</v>
      </c>
      <c r="B7861" t="s">
        <v>5056</v>
      </c>
      <c r="D7861">
        <v>30</v>
      </c>
      <c r="E7861" t="s">
        <v>29</v>
      </c>
      <c r="F7861" t="s">
        <v>30</v>
      </c>
    </row>
    <row r="7862" spans="1:10" x14ac:dyDescent="0.3">
      <c r="A7862" t="s">
        <v>8906</v>
      </c>
      <c r="B7862" t="s">
        <v>14598</v>
      </c>
      <c r="D7862">
        <v>1</v>
      </c>
      <c r="E7862" t="s">
        <v>11</v>
      </c>
      <c r="F7862" t="s">
        <v>738</v>
      </c>
    </row>
    <row r="7863" spans="1:10" x14ac:dyDescent="0.3">
      <c r="A7863" t="s">
        <v>14599</v>
      </c>
      <c r="B7863" t="s">
        <v>14600</v>
      </c>
      <c r="D7863">
        <v>4</v>
      </c>
      <c r="E7863" t="s">
        <v>23</v>
      </c>
      <c r="F7863" t="s">
        <v>14601</v>
      </c>
      <c r="H7863" t="s">
        <v>13406</v>
      </c>
    </row>
    <row r="7864" spans="1:10" x14ac:dyDescent="0.3">
      <c r="A7864" t="s">
        <v>14602</v>
      </c>
      <c r="B7864" t="s">
        <v>6019</v>
      </c>
      <c r="F7864" t="s">
        <v>413</v>
      </c>
      <c r="G7864" t="s">
        <v>1571</v>
      </c>
    </row>
    <row r="7865" spans="1:10" x14ac:dyDescent="0.3">
      <c r="A7865" t="s">
        <v>14203</v>
      </c>
      <c r="B7865" t="s">
        <v>6760</v>
      </c>
      <c r="D7865">
        <v>1.5</v>
      </c>
      <c r="E7865" t="s">
        <v>23</v>
      </c>
      <c r="F7865" t="s">
        <v>1506</v>
      </c>
    </row>
    <row r="7866" spans="1:10" x14ac:dyDescent="0.3">
      <c r="A7866" t="s">
        <v>13009</v>
      </c>
      <c r="B7866" t="s">
        <v>14603</v>
      </c>
      <c r="D7866">
        <v>1</v>
      </c>
      <c r="E7866" t="s">
        <v>469</v>
      </c>
      <c r="F7866" t="s">
        <v>14604</v>
      </c>
      <c r="J7866" t="s">
        <v>14605</v>
      </c>
    </row>
    <row r="7867" spans="1:10" x14ac:dyDescent="0.3">
      <c r="A7867" t="s">
        <v>7386</v>
      </c>
      <c r="B7867" t="s">
        <v>14606</v>
      </c>
      <c r="D7867">
        <v>151</v>
      </c>
      <c r="E7867" t="s">
        <v>23</v>
      </c>
      <c r="F7867" t="s">
        <v>14607</v>
      </c>
    </row>
    <row r="7868" spans="1:10" x14ac:dyDescent="0.3">
      <c r="A7868" t="s">
        <v>14608</v>
      </c>
      <c r="B7868" t="s">
        <v>1148</v>
      </c>
      <c r="D7868">
        <v>50</v>
      </c>
      <c r="E7868" t="s">
        <v>29</v>
      </c>
      <c r="F7868" t="s">
        <v>233</v>
      </c>
    </row>
    <row r="7869" spans="1:10" x14ac:dyDescent="0.3">
      <c r="A7869" t="s">
        <v>6260</v>
      </c>
      <c r="B7869" t="s">
        <v>14609</v>
      </c>
      <c r="D7869">
        <v>0.5</v>
      </c>
      <c r="E7869" t="s">
        <v>11</v>
      </c>
      <c r="F7869" t="s">
        <v>14610</v>
      </c>
    </row>
    <row r="7870" spans="1:10" x14ac:dyDescent="0.3">
      <c r="A7870" t="s">
        <v>14611</v>
      </c>
      <c r="B7870" t="s">
        <v>14612</v>
      </c>
      <c r="D7870">
        <v>10</v>
      </c>
      <c r="E7870" t="s">
        <v>29</v>
      </c>
      <c r="F7870" t="s">
        <v>3755</v>
      </c>
    </row>
    <row r="7871" spans="1:10" x14ac:dyDescent="0.3">
      <c r="A7871" t="s">
        <v>11543</v>
      </c>
      <c r="B7871" t="s">
        <v>9004</v>
      </c>
      <c r="D7871">
        <v>2</v>
      </c>
      <c r="E7871" t="s">
        <v>189</v>
      </c>
      <c r="F7871" t="s">
        <v>5487</v>
      </c>
    </row>
    <row r="7872" spans="1:10" x14ac:dyDescent="0.3">
      <c r="A7872" t="s">
        <v>14613</v>
      </c>
      <c r="B7872" t="s">
        <v>14614</v>
      </c>
      <c r="D7872">
        <v>0.25</v>
      </c>
      <c r="E7872" t="s">
        <v>37</v>
      </c>
      <c r="F7872" t="s">
        <v>14615</v>
      </c>
    </row>
    <row r="7873" spans="1:8" x14ac:dyDescent="0.3">
      <c r="A7873" t="s">
        <v>14616</v>
      </c>
      <c r="B7873" t="s">
        <v>14617</v>
      </c>
      <c r="D7873">
        <v>0.5</v>
      </c>
      <c r="E7873" t="s">
        <v>23</v>
      </c>
      <c r="F7873" t="s">
        <v>183</v>
      </c>
      <c r="G7873" t="s">
        <v>167</v>
      </c>
      <c r="H7873" t="s">
        <v>168</v>
      </c>
    </row>
    <row r="7874" spans="1:8" x14ac:dyDescent="0.3">
      <c r="A7874" t="s">
        <v>7432</v>
      </c>
      <c r="B7874" t="s">
        <v>14618</v>
      </c>
      <c r="D7874">
        <v>3</v>
      </c>
      <c r="F7874" t="s">
        <v>14619</v>
      </c>
    </row>
    <row r="7875" spans="1:8" x14ac:dyDescent="0.3">
      <c r="A7875" t="s">
        <v>14620</v>
      </c>
      <c r="B7875" t="s">
        <v>1056</v>
      </c>
      <c r="F7875" t="s">
        <v>1056</v>
      </c>
    </row>
    <row r="7876" spans="1:8" x14ac:dyDescent="0.3">
      <c r="A7876" t="s">
        <v>5921</v>
      </c>
      <c r="B7876" t="s">
        <v>14621</v>
      </c>
      <c r="D7876">
        <v>0.25</v>
      </c>
      <c r="E7876" t="s">
        <v>37</v>
      </c>
      <c r="F7876" t="s">
        <v>14622</v>
      </c>
    </row>
    <row r="7877" spans="1:8" x14ac:dyDescent="0.3">
      <c r="A7877" t="s">
        <v>10060</v>
      </c>
      <c r="B7877" t="s">
        <v>7078</v>
      </c>
      <c r="D7877">
        <v>2</v>
      </c>
      <c r="E7877" t="s">
        <v>91</v>
      </c>
      <c r="F7877" t="s">
        <v>98</v>
      </c>
    </row>
    <row r="7878" spans="1:8" x14ac:dyDescent="0.3">
      <c r="A7878" t="s">
        <v>14623</v>
      </c>
      <c r="B7878" t="s">
        <v>14624</v>
      </c>
      <c r="D7878">
        <v>1</v>
      </c>
      <c r="E7878" t="s">
        <v>23</v>
      </c>
      <c r="F7878" t="s">
        <v>7624</v>
      </c>
    </row>
    <row r="7879" spans="1:8" x14ac:dyDescent="0.3">
      <c r="A7879" t="s">
        <v>10463</v>
      </c>
      <c r="B7879" t="s">
        <v>14625</v>
      </c>
      <c r="D7879">
        <v>1</v>
      </c>
      <c r="E7879" t="s">
        <v>37</v>
      </c>
      <c r="F7879" t="s">
        <v>529</v>
      </c>
    </row>
    <row r="7880" spans="1:8" x14ac:dyDescent="0.3">
      <c r="A7880" t="s">
        <v>14626</v>
      </c>
      <c r="B7880" t="s">
        <v>14627</v>
      </c>
      <c r="D7880">
        <v>1</v>
      </c>
      <c r="E7880" t="s">
        <v>460</v>
      </c>
      <c r="F7880" t="s">
        <v>14628</v>
      </c>
    </row>
    <row r="7881" spans="1:8" x14ac:dyDescent="0.3">
      <c r="A7881" t="s">
        <v>14629</v>
      </c>
      <c r="B7881" t="s">
        <v>591</v>
      </c>
      <c r="F7881" t="s">
        <v>591</v>
      </c>
    </row>
    <row r="7882" spans="1:8" x14ac:dyDescent="0.3">
      <c r="A7882" t="s">
        <v>14258</v>
      </c>
      <c r="B7882" t="s">
        <v>14630</v>
      </c>
      <c r="D7882">
        <v>3</v>
      </c>
      <c r="E7882" t="s">
        <v>23</v>
      </c>
      <c r="F7882" t="s">
        <v>14631</v>
      </c>
    </row>
    <row r="7883" spans="1:8" x14ac:dyDescent="0.3">
      <c r="A7883" t="s">
        <v>14632</v>
      </c>
      <c r="B7883" t="s">
        <v>14633</v>
      </c>
      <c r="D7883">
        <v>1</v>
      </c>
      <c r="E7883" t="s">
        <v>18</v>
      </c>
      <c r="F7883" t="s">
        <v>154</v>
      </c>
    </row>
    <row r="7884" spans="1:8" x14ac:dyDescent="0.3">
      <c r="A7884" t="s">
        <v>7098</v>
      </c>
      <c r="B7884" t="s">
        <v>14634</v>
      </c>
      <c r="D7884">
        <v>1</v>
      </c>
      <c r="E7884" t="s">
        <v>8344</v>
      </c>
      <c r="F7884" t="s">
        <v>14628</v>
      </c>
    </row>
    <row r="7885" spans="1:8" x14ac:dyDescent="0.3">
      <c r="A7885" t="s">
        <v>2714</v>
      </c>
      <c r="B7885" t="s">
        <v>14635</v>
      </c>
      <c r="D7885">
        <v>37.5</v>
      </c>
      <c r="E7885" t="s">
        <v>29</v>
      </c>
      <c r="F7885" t="s">
        <v>14636</v>
      </c>
    </row>
    <row r="7886" spans="1:8" x14ac:dyDescent="0.3">
      <c r="A7886" t="s">
        <v>14637</v>
      </c>
      <c r="B7886" t="s">
        <v>13786</v>
      </c>
      <c r="F7886" t="s">
        <v>13786</v>
      </c>
    </row>
    <row r="7887" spans="1:8" x14ac:dyDescent="0.3">
      <c r="A7887" t="s">
        <v>14299</v>
      </c>
      <c r="B7887" t="s">
        <v>14638</v>
      </c>
      <c r="D7887">
        <v>45</v>
      </c>
      <c r="E7887" t="s">
        <v>29</v>
      </c>
      <c r="F7887" t="s">
        <v>7684</v>
      </c>
    </row>
    <row r="7888" spans="1:8" x14ac:dyDescent="0.3">
      <c r="A7888" t="s">
        <v>11605</v>
      </c>
      <c r="B7888" t="s">
        <v>14639</v>
      </c>
      <c r="D7888">
        <v>10</v>
      </c>
      <c r="E7888" t="s">
        <v>2549</v>
      </c>
      <c r="F7888" t="s">
        <v>10978</v>
      </c>
    </row>
    <row r="7889" spans="1:10" x14ac:dyDescent="0.3">
      <c r="A7889" t="s">
        <v>13615</v>
      </c>
      <c r="B7889" t="s">
        <v>10697</v>
      </c>
      <c r="D7889">
        <v>2</v>
      </c>
      <c r="E7889" t="s">
        <v>91</v>
      </c>
      <c r="F7889" t="s">
        <v>233</v>
      </c>
    </row>
    <row r="7890" spans="1:10" x14ac:dyDescent="0.3">
      <c r="A7890" t="s">
        <v>14640</v>
      </c>
      <c r="B7890" t="s">
        <v>775</v>
      </c>
      <c r="D7890">
        <v>1</v>
      </c>
      <c r="F7890" t="s">
        <v>776</v>
      </c>
    </row>
    <row r="7891" spans="1:10" x14ac:dyDescent="0.3">
      <c r="A7891" t="s">
        <v>14641</v>
      </c>
      <c r="B7891" t="s">
        <v>14642</v>
      </c>
      <c r="D7891">
        <v>6</v>
      </c>
      <c r="F7891" t="s">
        <v>14643</v>
      </c>
    </row>
    <row r="7892" spans="1:10" x14ac:dyDescent="0.3">
      <c r="A7892" t="s">
        <v>14644</v>
      </c>
      <c r="B7892" t="s">
        <v>333</v>
      </c>
      <c r="F7892" t="s">
        <v>333</v>
      </c>
    </row>
    <row r="7893" spans="1:10" x14ac:dyDescent="0.3">
      <c r="A7893" t="s">
        <v>14645</v>
      </c>
      <c r="B7893" t="s">
        <v>8658</v>
      </c>
      <c r="D7893">
        <v>2</v>
      </c>
      <c r="E7893" t="s">
        <v>345</v>
      </c>
      <c r="F7893" t="s">
        <v>38</v>
      </c>
    </row>
    <row r="7894" spans="1:10" x14ac:dyDescent="0.3">
      <c r="A7894" t="s">
        <v>6141</v>
      </c>
      <c r="B7894" t="s">
        <v>14646</v>
      </c>
      <c r="D7894">
        <v>1</v>
      </c>
      <c r="E7894" t="s">
        <v>23</v>
      </c>
      <c r="F7894" t="s">
        <v>81</v>
      </c>
      <c r="J7894" t="s">
        <v>289</v>
      </c>
    </row>
    <row r="7895" spans="1:10" x14ac:dyDescent="0.3">
      <c r="A7895" t="s">
        <v>14647</v>
      </c>
      <c r="B7895" t="s">
        <v>14287</v>
      </c>
      <c r="D7895">
        <v>1</v>
      </c>
      <c r="E7895" t="s">
        <v>23</v>
      </c>
      <c r="F7895" t="s">
        <v>6948</v>
      </c>
    </row>
    <row r="7896" spans="1:10" x14ac:dyDescent="0.3">
      <c r="A7896" t="s">
        <v>14648</v>
      </c>
      <c r="B7896" t="s">
        <v>14649</v>
      </c>
      <c r="D7896">
        <v>0.75</v>
      </c>
      <c r="E7896" t="s">
        <v>23</v>
      </c>
      <c r="F7896" t="s">
        <v>355</v>
      </c>
    </row>
    <row r="7897" spans="1:10" x14ac:dyDescent="0.3">
      <c r="A7897" t="s">
        <v>2619</v>
      </c>
      <c r="B7897" t="s">
        <v>1392</v>
      </c>
      <c r="D7897">
        <v>1</v>
      </c>
      <c r="E7897" t="s">
        <v>151</v>
      </c>
      <c r="F7897" t="s">
        <v>152</v>
      </c>
    </row>
    <row r="7898" spans="1:10" x14ac:dyDescent="0.3">
      <c r="A7898" t="s">
        <v>14650</v>
      </c>
      <c r="B7898" t="s">
        <v>1959</v>
      </c>
      <c r="D7898">
        <v>1</v>
      </c>
      <c r="E7898" t="s">
        <v>18</v>
      </c>
      <c r="F7898" t="s">
        <v>1223</v>
      </c>
    </row>
    <row r="7899" spans="1:10" x14ac:dyDescent="0.3">
      <c r="A7899" t="s">
        <v>2993</v>
      </c>
      <c r="B7899" t="s">
        <v>14651</v>
      </c>
      <c r="D7899">
        <v>1</v>
      </c>
      <c r="E7899" t="s">
        <v>11</v>
      </c>
      <c r="F7899" t="s">
        <v>4142</v>
      </c>
    </row>
    <row r="7900" spans="1:10" x14ac:dyDescent="0.3">
      <c r="A7900" t="s">
        <v>14652</v>
      </c>
      <c r="B7900" t="s">
        <v>2045</v>
      </c>
      <c r="D7900">
        <v>2</v>
      </c>
      <c r="E7900" t="s">
        <v>1338</v>
      </c>
      <c r="F7900" t="s">
        <v>1043</v>
      </c>
      <c r="J7900" t="s">
        <v>289</v>
      </c>
    </row>
    <row r="7901" spans="1:10" x14ac:dyDescent="0.3">
      <c r="A7901" t="s">
        <v>3288</v>
      </c>
      <c r="B7901" t="s">
        <v>5054</v>
      </c>
      <c r="D7901">
        <v>0.5</v>
      </c>
      <c r="E7901" t="s">
        <v>23</v>
      </c>
      <c r="F7901" t="s">
        <v>638</v>
      </c>
    </row>
    <row r="7902" spans="1:10" x14ac:dyDescent="0.3">
      <c r="A7902" t="s">
        <v>14653</v>
      </c>
      <c r="B7902" t="s">
        <v>152</v>
      </c>
      <c r="F7902" t="s">
        <v>152</v>
      </c>
    </row>
    <row r="7903" spans="1:10" x14ac:dyDescent="0.3">
      <c r="A7903" t="s">
        <v>14654</v>
      </c>
      <c r="B7903" t="s">
        <v>14655</v>
      </c>
      <c r="D7903">
        <v>5</v>
      </c>
      <c r="E7903" t="s">
        <v>29</v>
      </c>
      <c r="F7903" t="s">
        <v>4142</v>
      </c>
    </row>
    <row r="7904" spans="1:10" x14ac:dyDescent="0.3">
      <c r="A7904" t="s">
        <v>14656</v>
      </c>
      <c r="B7904" t="s">
        <v>14657</v>
      </c>
      <c r="D7904">
        <v>3</v>
      </c>
      <c r="E7904" t="s">
        <v>23</v>
      </c>
      <c r="F7904" t="s">
        <v>8869</v>
      </c>
    </row>
    <row r="7905" spans="1:10" x14ac:dyDescent="0.3">
      <c r="A7905" t="s">
        <v>8280</v>
      </c>
      <c r="B7905" t="s">
        <v>2747</v>
      </c>
      <c r="D7905">
        <v>1</v>
      </c>
      <c r="E7905" t="s">
        <v>23</v>
      </c>
      <c r="F7905" t="s">
        <v>423</v>
      </c>
    </row>
    <row r="7906" spans="1:10" x14ac:dyDescent="0.3">
      <c r="A7906" t="s">
        <v>13402</v>
      </c>
      <c r="B7906" t="s">
        <v>2011</v>
      </c>
      <c r="D7906">
        <v>2</v>
      </c>
      <c r="E7906" t="s">
        <v>189</v>
      </c>
      <c r="F7906" t="s">
        <v>61</v>
      </c>
    </row>
    <row r="7907" spans="1:10" x14ac:dyDescent="0.3">
      <c r="A7907" t="s">
        <v>7698</v>
      </c>
      <c r="B7907" t="s">
        <v>7037</v>
      </c>
      <c r="D7907">
        <v>10</v>
      </c>
      <c r="E7907" t="s">
        <v>29</v>
      </c>
      <c r="F7907" t="s">
        <v>115</v>
      </c>
    </row>
    <row r="7908" spans="1:10" x14ac:dyDescent="0.3">
      <c r="A7908" t="s">
        <v>1896</v>
      </c>
      <c r="B7908" t="s">
        <v>14658</v>
      </c>
      <c r="D7908">
        <v>1</v>
      </c>
      <c r="E7908" t="s">
        <v>37</v>
      </c>
      <c r="F7908" t="s">
        <v>14659</v>
      </c>
    </row>
    <row r="7909" spans="1:10" x14ac:dyDescent="0.3">
      <c r="A7909" t="s">
        <v>14660</v>
      </c>
      <c r="B7909" t="s">
        <v>3697</v>
      </c>
      <c r="D7909">
        <v>1</v>
      </c>
      <c r="E7909" t="s">
        <v>11</v>
      </c>
      <c r="F7909" t="s">
        <v>605</v>
      </c>
      <c r="J7909" t="s">
        <v>20</v>
      </c>
    </row>
    <row r="7910" spans="1:10" x14ac:dyDescent="0.3">
      <c r="A7910" t="s">
        <v>14661</v>
      </c>
      <c r="B7910" t="s">
        <v>10941</v>
      </c>
      <c r="D7910">
        <v>1</v>
      </c>
      <c r="E7910" t="s">
        <v>23</v>
      </c>
      <c r="F7910" t="s">
        <v>2034</v>
      </c>
    </row>
    <row r="7911" spans="1:10" x14ac:dyDescent="0.3">
      <c r="A7911" t="s">
        <v>6771</v>
      </c>
      <c r="B7911" t="s">
        <v>14662</v>
      </c>
      <c r="D7911">
        <v>0.5</v>
      </c>
      <c r="E7911" t="s">
        <v>23</v>
      </c>
      <c r="F7911" t="s">
        <v>3718</v>
      </c>
    </row>
    <row r="7912" spans="1:10" x14ac:dyDescent="0.3">
      <c r="A7912" t="s">
        <v>6463</v>
      </c>
      <c r="B7912" t="s">
        <v>14663</v>
      </c>
      <c r="D7912">
        <v>1</v>
      </c>
      <c r="E7912" t="s">
        <v>612</v>
      </c>
      <c r="F7912" t="s">
        <v>14664</v>
      </c>
      <c r="G7912" t="s">
        <v>1813</v>
      </c>
    </row>
    <row r="7913" spans="1:10" x14ac:dyDescent="0.3">
      <c r="A7913" t="s">
        <v>4976</v>
      </c>
      <c r="B7913" t="s">
        <v>1011</v>
      </c>
      <c r="F7913" t="s">
        <v>1011</v>
      </c>
    </row>
    <row r="7914" spans="1:10" x14ac:dyDescent="0.3">
      <c r="A7914" t="s">
        <v>14665</v>
      </c>
      <c r="B7914" t="s">
        <v>14046</v>
      </c>
      <c r="D7914">
        <v>0.5</v>
      </c>
      <c r="E7914" t="s">
        <v>23</v>
      </c>
      <c r="F7914" t="s">
        <v>807</v>
      </c>
    </row>
    <row r="7915" spans="1:10" x14ac:dyDescent="0.3">
      <c r="A7915" t="s">
        <v>10793</v>
      </c>
      <c r="B7915" t="s">
        <v>11020</v>
      </c>
      <c r="D7915">
        <v>0.25</v>
      </c>
      <c r="E7915" t="s">
        <v>23</v>
      </c>
      <c r="F7915" t="s">
        <v>14666</v>
      </c>
      <c r="H7915" t="s">
        <v>13406</v>
      </c>
    </row>
    <row r="7916" spans="1:10" x14ac:dyDescent="0.3">
      <c r="A7916" t="s">
        <v>14667</v>
      </c>
      <c r="B7916" t="s">
        <v>1596</v>
      </c>
      <c r="D7916">
        <v>1</v>
      </c>
      <c r="E7916" t="s">
        <v>18</v>
      </c>
      <c r="F7916" t="s">
        <v>190</v>
      </c>
    </row>
    <row r="7917" spans="1:10" x14ac:dyDescent="0.3">
      <c r="A7917" t="s">
        <v>14668</v>
      </c>
      <c r="B7917" t="s">
        <v>14669</v>
      </c>
      <c r="D7917">
        <v>0.5</v>
      </c>
      <c r="E7917" t="s">
        <v>23</v>
      </c>
      <c r="F7917" t="s">
        <v>374</v>
      </c>
    </row>
    <row r="7918" spans="1:10" x14ac:dyDescent="0.3">
      <c r="A7918" t="s">
        <v>11680</v>
      </c>
      <c r="B7918" t="s">
        <v>333</v>
      </c>
      <c r="F7918" t="s">
        <v>333</v>
      </c>
    </row>
    <row r="7919" spans="1:10" x14ac:dyDescent="0.3">
      <c r="A7919" t="s">
        <v>8223</v>
      </c>
      <c r="B7919" t="s">
        <v>1959</v>
      </c>
      <c r="D7919">
        <v>1</v>
      </c>
      <c r="E7919" t="s">
        <v>18</v>
      </c>
      <c r="F7919" t="s">
        <v>1223</v>
      </c>
    </row>
    <row r="7920" spans="1:10" x14ac:dyDescent="0.3">
      <c r="A7920" t="s">
        <v>14670</v>
      </c>
      <c r="B7920" t="s">
        <v>14026</v>
      </c>
      <c r="D7920">
        <v>1</v>
      </c>
      <c r="E7920" t="s">
        <v>37</v>
      </c>
      <c r="F7920" t="s">
        <v>38</v>
      </c>
      <c r="G7920" t="s">
        <v>167</v>
      </c>
      <c r="H7920" t="s">
        <v>168</v>
      </c>
      <c r="J7920" t="s">
        <v>325</v>
      </c>
    </row>
    <row r="7921" spans="1:10" x14ac:dyDescent="0.3">
      <c r="A7921" t="s">
        <v>14671</v>
      </c>
      <c r="B7921" t="s">
        <v>14672</v>
      </c>
      <c r="E7921" t="s">
        <v>14673</v>
      </c>
      <c r="F7921" t="s">
        <v>237</v>
      </c>
      <c r="J7921" t="s">
        <v>1124</v>
      </c>
    </row>
    <row r="7922" spans="1:10" x14ac:dyDescent="0.3">
      <c r="A7922" t="s">
        <v>9416</v>
      </c>
      <c r="B7922" t="s">
        <v>14674</v>
      </c>
      <c r="D7922">
        <v>0.75</v>
      </c>
      <c r="E7922" t="s">
        <v>23</v>
      </c>
      <c r="F7922" t="s">
        <v>98</v>
      </c>
    </row>
    <row r="7923" spans="1:10" x14ac:dyDescent="0.3">
      <c r="A7923" t="s">
        <v>8453</v>
      </c>
      <c r="B7923" t="s">
        <v>10638</v>
      </c>
      <c r="D7923">
        <v>4</v>
      </c>
      <c r="E7923" t="s">
        <v>227</v>
      </c>
      <c r="F7923" t="s">
        <v>581</v>
      </c>
    </row>
    <row r="7924" spans="1:10" x14ac:dyDescent="0.3">
      <c r="A7924" t="s">
        <v>14675</v>
      </c>
      <c r="B7924" t="s">
        <v>879</v>
      </c>
      <c r="D7924">
        <v>1</v>
      </c>
      <c r="E7924" t="s">
        <v>23</v>
      </c>
      <c r="F7924" t="s">
        <v>880</v>
      </c>
    </row>
    <row r="7925" spans="1:10" x14ac:dyDescent="0.3">
      <c r="A7925" t="s">
        <v>6527</v>
      </c>
      <c r="B7925" t="s">
        <v>14676</v>
      </c>
      <c r="F7925" t="s">
        <v>14677</v>
      </c>
      <c r="G7925" t="s">
        <v>1014</v>
      </c>
      <c r="J7925" t="s">
        <v>14678</v>
      </c>
    </row>
    <row r="7926" spans="1:10" x14ac:dyDescent="0.3">
      <c r="A7926" t="s">
        <v>14679</v>
      </c>
      <c r="B7926" t="s">
        <v>10</v>
      </c>
      <c r="D7926">
        <v>0.5</v>
      </c>
      <c r="E7926" t="s">
        <v>11</v>
      </c>
      <c r="F7926" t="s">
        <v>12</v>
      </c>
    </row>
    <row r="7927" spans="1:10" x14ac:dyDescent="0.3">
      <c r="A7927" t="s">
        <v>14680</v>
      </c>
      <c r="B7927" t="s">
        <v>14681</v>
      </c>
      <c r="D7927">
        <v>120</v>
      </c>
      <c r="E7927" t="s">
        <v>29</v>
      </c>
      <c r="F7927" t="s">
        <v>14682</v>
      </c>
    </row>
    <row r="7928" spans="1:10" x14ac:dyDescent="0.3">
      <c r="A7928" t="s">
        <v>12181</v>
      </c>
      <c r="B7928" t="s">
        <v>1274</v>
      </c>
      <c r="D7928">
        <v>0.75</v>
      </c>
      <c r="E7928" t="s">
        <v>11</v>
      </c>
      <c r="F7928" t="s">
        <v>88</v>
      </c>
    </row>
    <row r="7929" spans="1:10" x14ac:dyDescent="0.3">
      <c r="A7929" t="s">
        <v>14683</v>
      </c>
      <c r="B7929" t="s">
        <v>14684</v>
      </c>
      <c r="D7929">
        <v>1</v>
      </c>
      <c r="E7929" t="s">
        <v>23</v>
      </c>
      <c r="F7929" t="s">
        <v>10617</v>
      </c>
    </row>
    <row r="7930" spans="1:10" x14ac:dyDescent="0.3">
      <c r="A7930" t="s">
        <v>14685</v>
      </c>
      <c r="B7930" t="s">
        <v>3403</v>
      </c>
      <c r="F7930" t="s">
        <v>3403</v>
      </c>
    </row>
    <row r="7931" spans="1:10" x14ac:dyDescent="0.3">
      <c r="A7931" t="s">
        <v>14686</v>
      </c>
      <c r="B7931" t="s">
        <v>14687</v>
      </c>
      <c r="D7931">
        <v>60</v>
      </c>
      <c r="E7931" t="s">
        <v>29</v>
      </c>
      <c r="F7931" t="s">
        <v>14688</v>
      </c>
    </row>
    <row r="7932" spans="1:10" x14ac:dyDescent="0.3">
      <c r="A7932" t="s">
        <v>12507</v>
      </c>
      <c r="B7932" t="s">
        <v>8779</v>
      </c>
      <c r="D7932">
        <v>50</v>
      </c>
      <c r="E7932" t="s">
        <v>29</v>
      </c>
      <c r="F7932" t="s">
        <v>8780</v>
      </c>
    </row>
    <row r="7933" spans="1:10" x14ac:dyDescent="0.3">
      <c r="A7933" t="s">
        <v>135</v>
      </c>
      <c r="B7933" t="s">
        <v>667</v>
      </c>
      <c r="D7933">
        <v>15</v>
      </c>
      <c r="E7933" t="s">
        <v>29</v>
      </c>
      <c r="F7933" t="s">
        <v>30</v>
      </c>
    </row>
    <row r="7934" spans="1:10" x14ac:dyDescent="0.3">
      <c r="A7934" t="s">
        <v>14689</v>
      </c>
      <c r="B7934" t="s">
        <v>14690</v>
      </c>
      <c r="D7934">
        <v>0.5</v>
      </c>
      <c r="E7934" t="s">
        <v>23</v>
      </c>
      <c r="F7934" t="s">
        <v>2614</v>
      </c>
    </row>
    <row r="7935" spans="1:10" x14ac:dyDescent="0.3">
      <c r="A7935" t="s">
        <v>14691</v>
      </c>
      <c r="B7935" t="s">
        <v>14692</v>
      </c>
      <c r="D7935">
        <v>0.5</v>
      </c>
      <c r="E7935" t="s">
        <v>23</v>
      </c>
      <c r="F7935" t="s">
        <v>1047</v>
      </c>
    </row>
    <row r="7936" spans="1:10" x14ac:dyDescent="0.3">
      <c r="A7936" t="s">
        <v>14693</v>
      </c>
      <c r="B7936" t="s">
        <v>14694</v>
      </c>
      <c r="D7936">
        <v>1</v>
      </c>
      <c r="E7936" t="s">
        <v>50</v>
      </c>
      <c r="F7936" t="s">
        <v>333</v>
      </c>
      <c r="G7936" t="s">
        <v>1247</v>
      </c>
    </row>
    <row r="7937" spans="1:10" x14ac:dyDescent="0.3">
      <c r="A7937" t="s">
        <v>82</v>
      </c>
      <c r="B7937" t="s">
        <v>14695</v>
      </c>
      <c r="D7937">
        <v>1</v>
      </c>
      <c r="E7937" t="s">
        <v>189</v>
      </c>
      <c r="F7937" t="s">
        <v>38</v>
      </c>
    </row>
    <row r="7938" spans="1:10" x14ac:dyDescent="0.3">
      <c r="A7938" t="s">
        <v>14696</v>
      </c>
      <c r="B7938" t="s">
        <v>14697</v>
      </c>
      <c r="D7938">
        <v>1</v>
      </c>
      <c r="E7938" t="s">
        <v>23</v>
      </c>
      <c r="F7938" t="s">
        <v>14698</v>
      </c>
    </row>
    <row r="7939" spans="1:10" x14ac:dyDescent="0.3">
      <c r="A7939" t="s">
        <v>7985</v>
      </c>
      <c r="B7939" t="s">
        <v>14699</v>
      </c>
      <c r="D7939">
        <v>25</v>
      </c>
      <c r="E7939" t="s">
        <v>29</v>
      </c>
      <c r="F7939" t="s">
        <v>7330</v>
      </c>
    </row>
    <row r="7940" spans="1:10" x14ac:dyDescent="0.3">
      <c r="A7940" t="s">
        <v>14700</v>
      </c>
      <c r="B7940" t="s">
        <v>14701</v>
      </c>
      <c r="D7940">
        <v>1</v>
      </c>
      <c r="E7940" t="s">
        <v>270</v>
      </c>
      <c r="F7940" t="s">
        <v>193</v>
      </c>
      <c r="J7940" t="s">
        <v>14702</v>
      </c>
    </row>
    <row r="7941" spans="1:10" x14ac:dyDescent="0.3">
      <c r="A7941" t="s">
        <v>14703</v>
      </c>
      <c r="B7941" t="s">
        <v>261</v>
      </c>
      <c r="D7941">
        <v>1</v>
      </c>
      <c r="E7941" t="s">
        <v>111</v>
      </c>
      <c r="F7941" t="s">
        <v>262</v>
      </c>
    </row>
    <row r="7942" spans="1:10" x14ac:dyDescent="0.3">
      <c r="A7942" t="s">
        <v>14704</v>
      </c>
      <c r="B7942" t="s">
        <v>682</v>
      </c>
      <c r="D7942">
        <v>0.5</v>
      </c>
      <c r="E7942" t="s">
        <v>11</v>
      </c>
      <c r="F7942" t="s">
        <v>683</v>
      </c>
    </row>
    <row r="7943" spans="1:10" x14ac:dyDescent="0.3">
      <c r="A7943" t="s">
        <v>7583</v>
      </c>
      <c r="B7943" t="s">
        <v>7158</v>
      </c>
      <c r="D7943">
        <v>0.5</v>
      </c>
      <c r="E7943" t="s">
        <v>11</v>
      </c>
      <c r="F7943" t="s">
        <v>7159</v>
      </c>
    </row>
    <row r="7944" spans="1:10" x14ac:dyDescent="0.3">
      <c r="A7944" t="s">
        <v>8126</v>
      </c>
      <c r="B7944" t="s">
        <v>14705</v>
      </c>
      <c r="D7944">
        <v>4</v>
      </c>
      <c r="E7944" t="s">
        <v>23</v>
      </c>
      <c r="F7944" t="s">
        <v>2138</v>
      </c>
    </row>
    <row r="7945" spans="1:10" x14ac:dyDescent="0.3">
      <c r="A7945" t="s">
        <v>14706</v>
      </c>
      <c r="B7945" t="s">
        <v>14707</v>
      </c>
      <c r="D7945" t="s">
        <v>665</v>
      </c>
      <c r="E7945" t="s">
        <v>1338</v>
      </c>
      <c r="F7945" t="s">
        <v>30</v>
      </c>
    </row>
    <row r="7946" spans="1:10" x14ac:dyDescent="0.3">
      <c r="A7946" t="s">
        <v>14708</v>
      </c>
      <c r="B7946" t="s">
        <v>14709</v>
      </c>
      <c r="D7946">
        <v>125</v>
      </c>
      <c r="E7946" t="s">
        <v>29</v>
      </c>
      <c r="F7946" t="s">
        <v>3132</v>
      </c>
    </row>
    <row r="7947" spans="1:10" x14ac:dyDescent="0.3">
      <c r="A7947" t="s">
        <v>14220</v>
      </c>
      <c r="B7947" t="s">
        <v>8656</v>
      </c>
      <c r="D7947">
        <v>1</v>
      </c>
      <c r="E7947" t="s">
        <v>37</v>
      </c>
      <c r="F7947" t="s">
        <v>81</v>
      </c>
    </row>
    <row r="7948" spans="1:10" x14ac:dyDescent="0.3">
      <c r="A7948" t="s">
        <v>14710</v>
      </c>
      <c r="B7948" t="s">
        <v>4876</v>
      </c>
      <c r="D7948">
        <v>1</v>
      </c>
      <c r="E7948" t="s">
        <v>151</v>
      </c>
      <c r="F7948" t="s">
        <v>163</v>
      </c>
      <c r="J7948" t="s">
        <v>248</v>
      </c>
    </row>
    <row r="7949" spans="1:10" x14ac:dyDescent="0.3">
      <c r="A7949" t="s">
        <v>14711</v>
      </c>
      <c r="B7949" t="s">
        <v>14712</v>
      </c>
      <c r="F7949" t="s">
        <v>14713</v>
      </c>
      <c r="J7949" t="s">
        <v>14714</v>
      </c>
    </row>
    <row r="7950" spans="1:10" x14ac:dyDescent="0.3">
      <c r="A7950" t="s">
        <v>14715</v>
      </c>
      <c r="B7950" t="s">
        <v>14716</v>
      </c>
      <c r="D7950">
        <v>1</v>
      </c>
      <c r="E7950" t="s">
        <v>460</v>
      </c>
      <c r="F7950" t="s">
        <v>61</v>
      </c>
    </row>
    <row r="7951" spans="1:10" x14ac:dyDescent="0.3">
      <c r="A7951" t="s">
        <v>14717</v>
      </c>
      <c r="B7951" t="s">
        <v>14718</v>
      </c>
      <c r="D7951">
        <v>2</v>
      </c>
      <c r="E7951" t="s">
        <v>23</v>
      </c>
      <c r="F7951" t="s">
        <v>14719</v>
      </c>
      <c r="J7951" t="s">
        <v>289</v>
      </c>
    </row>
    <row r="7952" spans="1:10" x14ac:dyDescent="0.3">
      <c r="A7952" t="s">
        <v>10137</v>
      </c>
      <c r="B7952" t="s">
        <v>792</v>
      </c>
      <c r="D7952">
        <v>0.5</v>
      </c>
      <c r="E7952" t="s">
        <v>11</v>
      </c>
      <c r="F7952" t="s">
        <v>793</v>
      </c>
    </row>
    <row r="7953" spans="1:10" x14ac:dyDescent="0.3">
      <c r="A7953" t="s">
        <v>14720</v>
      </c>
      <c r="B7953" t="s">
        <v>14721</v>
      </c>
      <c r="D7953">
        <v>1</v>
      </c>
      <c r="E7953" t="s">
        <v>2646</v>
      </c>
      <c r="F7953" t="s">
        <v>14722</v>
      </c>
      <c r="J7953" t="s">
        <v>14723</v>
      </c>
    </row>
    <row r="7954" spans="1:10" x14ac:dyDescent="0.3">
      <c r="A7954" t="s">
        <v>14724</v>
      </c>
      <c r="B7954" t="s">
        <v>14725</v>
      </c>
      <c r="D7954">
        <v>8</v>
      </c>
      <c r="E7954" t="s">
        <v>23</v>
      </c>
      <c r="F7954" t="s">
        <v>1003</v>
      </c>
    </row>
    <row r="7955" spans="1:10" x14ac:dyDescent="0.3">
      <c r="A7955" t="s">
        <v>1196</v>
      </c>
      <c r="B7955" t="s">
        <v>14726</v>
      </c>
      <c r="D7955">
        <v>0.33</v>
      </c>
      <c r="E7955" t="s">
        <v>23</v>
      </c>
      <c r="F7955" t="s">
        <v>3710</v>
      </c>
    </row>
    <row r="7956" spans="1:10" x14ac:dyDescent="0.3">
      <c r="A7956" t="s">
        <v>14727</v>
      </c>
      <c r="B7956" t="s">
        <v>7201</v>
      </c>
      <c r="D7956">
        <v>50</v>
      </c>
      <c r="E7956" t="s">
        <v>29</v>
      </c>
      <c r="F7956" t="s">
        <v>14728</v>
      </c>
    </row>
    <row r="7957" spans="1:10" x14ac:dyDescent="0.3">
      <c r="A7957" t="s">
        <v>6924</v>
      </c>
      <c r="B7957" t="s">
        <v>14729</v>
      </c>
      <c r="F7957" t="s">
        <v>716</v>
      </c>
      <c r="J7957" t="s">
        <v>65</v>
      </c>
    </row>
    <row r="7958" spans="1:10" x14ac:dyDescent="0.3">
      <c r="A7958" t="s">
        <v>8468</v>
      </c>
      <c r="B7958" t="s">
        <v>14730</v>
      </c>
      <c r="D7958">
        <v>35</v>
      </c>
      <c r="E7958" t="s">
        <v>29</v>
      </c>
      <c r="F7958" t="s">
        <v>6155</v>
      </c>
    </row>
    <row r="7959" spans="1:10" x14ac:dyDescent="0.3">
      <c r="A7959" t="s">
        <v>14731</v>
      </c>
      <c r="B7959" t="s">
        <v>5077</v>
      </c>
      <c r="D7959">
        <v>1</v>
      </c>
      <c r="E7959" t="s">
        <v>23</v>
      </c>
      <c r="F7959" t="s">
        <v>3163</v>
      </c>
    </row>
    <row r="7960" spans="1:10" x14ac:dyDescent="0.3">
      <c r="A7960" t="s">
        <v>8751</v>
      </c>
      <c r="B7960" t="s">
        <v>14732</v>
      </c>
      <c r="E7960" t="s">
        <v>111</v>
      </c>
      <c r="F7960" t="s">
        <v>547</v>
      </c>
      <c r="J7960" t="s">
        <v>289</v>
      </c>
    </row>
    <row r="7961" spans="1:10" x14ac:dyDescent="0.3">
      <c r="A7961" t="s">
        <v>12453</v>
      </c>
      <c r="B7961" t="s">
        <v>13397</v>
      </c>
      <c r="D7961">
        <v>0.33</v>
      </c>
      <c r="E7961" t="s">
        <v>23</v>
      </c>
      <c r="F7961" t="s">
        <v>38</v>
      </c>
      <c r="H7961" t="s">
        <v>814</v>
      </c>
    </row>
    <row r="7962" spans="1:10" x14ac:dyDescent="0.3">
      <c r="A7962" t="s">
        <v>14733</v>
      </c>
      <c r="B7962" t="s">
        <v>14734</v>
      </c>
      <c r="D7962">
        <v>1</v>
      </c>
      <c r="E7962" t="s">
        <v>3648</v>
      </c>
      <c r="F7962" t="s">
        <v>1971</v>
      </c>
    </row>
    <row r="7963" spans="1:10" x14ac:dyDescent="0.3">
      <c r="A7963" t="s">
        <v>14735</v>
      </c>
      <c r="B7963" t="s">
        <v>9981</v>
      </c>
      <c r="D7963">
        <v>1</v>
      </c>
      <c r="E7963" t="s">
        <v>460</v>
      </c>
      <c r="F7963" t="s">
        <v>423</v>
      </c>
    </row>
    <row r="7964" spans="1:10" x14ac:dyDescent="0.3">
      <c r="A7964" t="s">
        <v>3212</v>
      </c>
      <c r="B7964" t="s">
        <v>14736</v>
      </c>
      <c r="D7964">
        <v>1</v>
      </c>
      <c r="E7964" t="s">
        <v>612</v>
      </c>
      <c r="F7964" t="s">
        <v>11330</v>
      </c>
      <c r="G7964" t="s">
        <v>1813</v>
      </c>
    </row>
    <row r="7965" spans="1:10" x14ac:dyDescent="0.3">
      <c r="A7965" t="s">
        <v>14737</v>
      </c>
      <c r="B7965" t="s">
        <v>14738</v>
      </c>
      <c r="D7965">
        <v>1</v>
      </c>
      <c r="E7965" t="s">
        <v>60</v>
      </c>
      <c r="F7965" t="s">
        <v>115</v>
      </c>
    </row>
    <row r="7966" spans="1:10" x14ac:dyDescent="0.3">
      <c r="A7966" t="s">
        <v>495</v>
      </c>
      <c r="B7966" t="s">
        <v>14739</v>
      </c>
      <c r="D7966">
        <v>1.5</v>
      </c>
      <c r="E7966" t="s">
        <v>91</v>
      </c>
      <c r="F7966" t="s">
        <v>6051</v>
      </c>
    </row>
    <row r="7967" spans="1:10" x14ac:dyDescent="0.3">
      <c r="A7967" t="s">
        <v>1620</v>
      </c>
      <c r="B7967" t="s">
        <v>6019</v>
      </c>
      <c r="F7967" t="s">
        <v>413</v>
      </c>
      <c r="G7967" t="s">
        <v>1571</v>
      </c>
    </row>
    <row r="7968" spans="1:10" x14ac:dyDescent="0.3">
      <c r="A7968" t="s">
        <v>14740</v>
      </c>
      <c r="B7968" t="s">
        <v>14741</v>
      </c>
      <c r="D7968" t="s">
        <v>5342</v>
      </c>
      <c r="E7968" t="s">
        <v>23</v>
      </c>
      <c r="F7968" t="s">
        <v>262</v>
      </c>
    </row>
    <row r="7969" spans="1:10" x14ac:dyDescent="0.3">
      <c r="A7969" t="s">
        <v>8540</v>
      </c>
      <c r="B7969" t="s">
        <v>518</v>
      </c>
      <c r="F7969" t="s">
        <v>518</v>
      </c>
    </row>
    <row r="7970" spans="1:10" x14ac:dyDescent="0.3">
      <c r="A7970" t="s">
        <v>10096</v>
      </c>
      <c r="B7970" t="s">
        <v>5811</v>
      </c>
      <c r="E7970" t="s">
        <v>2397</v>
      </c>
      <c r="F7970" t="s">
        <v>1984</v>
      </c>
      <c r="J7970" t="s">
        <v>1124</v>
      </c>
    </row>
    <row r="7971" spans="1:10" x14ac:dyDescent="0.3">
      <c r="A7971" t="s">
        <v>13803</v>
      </c>
      <c r="B7971" t="s">
        <v>28</v>
      </c>
      <c r="D7971">
        <v>25</v>
      </c>
      <c r="E7971" t="s">
        <v>29</v>
      </c>
      <c r="F7971" t="s">
        <v>30</v>
      </c>
    </row>
    <row r="7972" spans="1:10" x14ac:dyDescent="0.3">
      <c r="A7972" t="s">
        <v>14742</v>
      </c>
      <c r="B7972" t="s">
        <v>14743</v>
      </c>
      <c r="D7972">
        <v>3</v>
      </c>
      <c r="E7972" t="s">
        <v>1212</v>
      </c>
      <c r="F7972" t="s">
        <v>14744</v>
      </c>
      <c r="J7972" t="s">
        <v>1214</v>
      </c>
    </row>
    <row r="7973" spans="1:10" x14ac:dyDescent="0.3">
      <c r="A7973" t="s">
        <v>14745</v>
      </c>
      <c r="B7973" t="s">
        <v>824</v>
      </c>
      <c r="D7973">
        <v>1</v>
      </c>
      <c r="F7973" t="s">
        <v>825</v>
      </c>
      <c r="J7973" t="s">
        <v>248</v>
      </c>
    </row>
    <row r="7974" spans="1:10" x14ac:dyDescent="0.3">
      <c r="A7974" t="s">
        <v>14746</v>
      </c>
      <c r="B7974" t="s">
        <v>9584</v>
      </c>
      <c r="D7974">
        <v>1</v>
      </c>
      <c r="E7974" t="s">
        <v>23</v>
      </c>
      <c r="F7974" t="s">
        <v>7925</v>
      </c>
    </row>
    <row r="7975" spans="1:10" x14ac:dyDescent="0.3">
      <c r="A7975" t="s">
        <v>14747</v>
      </c>
      <c r="B7975" t="s">
        <v>14748</v>
      </c>
      <c r="D7975">
        <v>0.25</v>
      </c>
      <c r="E7975" t="s">
        <v>23</v>
      </c>
      <c r="F7975" t="s">
        <v>1248</v>
      </c>
    </row>
    <row r="7976" spans="1:10" x14ac:dyDescent="0.3">
      <c r="A7976" t="s">
        <v>11779</v>
      </c>
      <c r="B7976" t="s">
        <v>7565</v>
      </c>
      <c r="D7976">
        <v>2</v>
      </c>
      <c r="E7976" t="s">
        <v>91</v>
      </c>
      <c r="F7976" t="s">
        <v>3403</v>
      </c>
    </row>
    <row r="7977" spans="1:10" x14ac:dyDescent="0.3">
      <c r="A7977" t="s">
        <v>14749</v>
      </c>
      <c r="B7977" t="s">
        <v>9993</v>
      </c>
      <c r="D7977">
        <v>1</v>
      </c>
      <c r="E7977" t="s">
        <v>23</v>
      </c>
      <c r="F7977" t="s">
        <v>1332</v>
      </c>
      <c r="J7977" t="s">
        <v>289</v>
      </c>
    </row>
    <row r="7978" spans="1:10" x14ac:dyDescent="0.3">
      <c r="A7978" t="s">
        <v>14750</v>
      </c>
      <c r="B7978" t="s">
        <v>1611</v>
      </c>
      <c r="D7978">
        <v>0.75</v>
      </c>
      <c r="E7978" t="s">
        <v>37</v>
      </c>
      <c r="F7978" t="s">
        <v>160</v>
      </c>
    </row>
    <row r="7979" spans="1:10" x14ac:dyDescent="0.3">
      <c r="A7979" t="s">
        <v>14751</v>
      </c>
      <c r="B7979" t="s">
        <v>1190</v>
      </c>
      <c r="D7979">
        <v>0.5</v>
      </c>
      <c r="E7979" t="s">
        <v>23</v>
      </c>
      <c r="F7979" t="s">
        <v>199</v>
      </c>
    </row>
    <row r="7980" spans="1:10" x14ac:dyDescent="0.3">
      <c r="A7980" t="s">
        <v>14752</v>
      </c>
      <c r="B7980" t="s">
        <v>5445</v>
      </c>
      <c r="D7980">
        <v>0.5</v>
      </c>
      <c r="E7980" t="s">
        <v>23</v>
      </c>
      <c r="F7980" t="s">
        <v>1332</v>
      </c>
      <c r="J7980" t="s">
        <v>289</v>
      </c>
    </row>
    <row r="7981" spans="1:10" x14ac:dyDescent="0.3">
      <c r="A7981" t="s">
        <v>14753</v>
      </c>
      <c r="B7981" t="s">
        <v>3019</v>
      </c>
      <c r="D7981">
        <v>1.5</v>
      </c>
      <c r="E7981" t="s">
        <v>23</v>
      </c>
      <c r="F7981" t="s">
        <v>1209</v>
      </c>
    </row>
    <row r="7982" spans="1:10" x14ac:dyDescent="0.3">
      <c r="A7982" t="s">
        <v>5409</v>
      </c>
      <c r="B7982" t="s">
        <v>14754</v>
      </c>
      <c r="D7982">
        <v>2</v>
      </c>
      <c r="E7982" t="s">
        <v>23</v>
      </c>
      <c r="F7982" t="s">
        <v>14755</v>
      </c>
    </row>
    <row r="7983" spans="1:10" x14ac:dyDescent="0.3">
      <c r="A7983" t="s">
        <v>161</v>
      </c>
      <c r="B7983" t="s">
        <v>14756</v>
      </c>
      <c r="D7983">
        <v>2</v>
      </c>
      <c r="E7983" t="s">
        <v>176</v>
      </c>
      <c r="F7983" t="s">
        <v>7652</v>
      </c>
    </row>
    <row r="7984" spans="1:10" x14ac:dyDescent="0.3">
      <c r="A7984" t="s">
        <v>9923</v>
      </c>
      <c r="B7984" t="s">
        <v>14757</v>
      </c>
      <c r="D7984">
        <v>0.5</v>
      </c>
      <c r="E7984" t="s">
        <v>23</v>
      </c>
      <c r="F7984" t="s">
        <v>14758</v>
      </c>
      <c r="J7984" t="s">
        <v>289</v>
      </c>
    </row>
    <row r="7985" spans="1:10" x14ac:dyDescent="0.3">
      <c r="A7985" t="s">
        <v>14759</v>
      </c>
      <c r="B7985" t="s">
        <v>14760</v>
      </c>
      <c r="D7985">
        <v>2</v>
      </c>
      <c r="E7985" t="s">
        <v>23</v>
      </c>
      <c r="F7985" t="s">
        <v>1816</v>
      </c>
      <c r="I7985" t="s">
        <v>3058</v>
      </c>
    </row>
    <row r="7986" spans="1:10" x14ac:dyDescent="0.3">
      <c r="A7986" t="s">
        <v>14761</v>
      </c>
      <c r="B7986" t="s">
        <v>10784</v>
      </c>
      <c r="D7986">
        <v>2</v>
      </c>
      <c r="E7986" t="s">
        <v>473</v>
      </c>
      <c r="F7986" t="s">
        <v>2178</v>
      </c>
      <c r="J7986" t="s">
        <v>4067</v>
      </c>
    </row>
    <row r="7987" spans="1:10" x14ac:dyDescent="0.3">
      <c r="A7987" t="s">
        <v>5482</v>
      </c>
      <c r="B7987" t="s">
        <v>14762</v>
      </c>
      <c r="D7987">
        <v>4</v>
      </c>
      <c r="E7987" t="s">
        <v>23</v>
      </c>
      <c r="F7987" t="s">
        <v>9235</v>
      </c>
      <c r="H7987" t="s">
        <v>68</v>
      </c>
    </row>
    <row r="7988" spans="1:10" x14ac:dyDescent="0.3">
      <c r="A7988" t="s">
        <v>9319</v>
      </c>
      <c r="B7988" t="s">
        <v>3947</v>
      </c>
      <c r="D7988">
        <v>1</v>
      </c>
      <c r="E7988" t="s">
        <v>23</v>
      </c>
      <c r="F7988" t="s">
        <v>877</v>
      </c>
    </row>
    <row r="7989" spans="1:10" x14ac:dyDescent="0.3">
      <c r="A7989" t="s">
        <v>4628</v>
      </c>
      <c r="B7989" t="s">
        <v>2482</v>
      </c>
      <c r="D7989">
        <v>25</v>
      </c>
      <c r="E7989" t="s">
        <v>29</v>
      </c>
      <c r="F7989" t="s">
        <v>1209</v>
      </c>
    </row>
    <row r="7990" spans="1:10" x14ac:dyDescent="0.3">
      <c r="A7990" t="s">
        <v>14763</v>
      </c>
      <c r="B7990" t="s">
        <v>7099</v>
      </c>
      <c r="E7990" t="s">
        <v>1671</v>
      </c>
      <c r="F7990" t="s">
        <v>163</v>
      </c>
      <c r="J7990" t="s">
        <v>1124</v>
      </c>
    </row>
    <row r="7991" spans="1:10" x14ac:dyDescent="0.3">
      <c r="A7991" t="s">
        <v>14764</v>
      </c>
      <c r="B7991" t="s">
        <v>14765</v>
      </c>
      <c r="D7991">
        <v>1</v>
      </c>
      <c r="E7991" t="s">
        <v>11</v>
      </c>
      <c r="F7991" t="s">
        <v>14766</v>
      </c>
    </row>
    <row r="7992" spans="1:10" x14ac:dyDescent="0.3">
      <c r="A7992" t="s">
        <v>14767</v>
      </c>
      <c r="B7992" t="s">
        <v>14768</v>
      </c>
      <c r="D7992">
        <v>0.75</v>
      </c>
      <c r="E7992" t="s">
        <v>23</v>
      </c>
      <c r="F7992" t="s">
        <v>901</v>
      </c>
    </row>
    <row r="7993" spans="1:10" x14ac:dyDescent="0.3">
      <c r="A7993" t="s">
        <v>14769</v>
      </c>
      <c r="B7993" t="s">
        <v>14770</v>
      </c>
      <c r="D7993">
        <v>1</v>
      </c>
      <c r="E7993" t="s">
        <v>14771</v>
      </c>
      <c r="F7993" t="s">
        <v>14772</v>
      </c>
    </row>
    <row r="7994" spans="1:10" x14ac:dyDescent="0.3">
      <c r="A7994" t="s">
        <v>14773</v>
      </c>
      <c r="B7994" t="s">
        <v>4492</v>
      </c>
      <c r="D7994">
        <v>1</v>
      </c>
      <c r="E7994" t="s">
        <v>23</v>
      </c>
      <c r="F7994" t="s">
        <v>3447</v>
      </c>
    </row>
    <row r="7995" spans="1:10" x14ac:dyDescent="0.3">
      <c r="A7995" t="s">
        <v>14774</v>
      </c>
      <c r="B7995" t="s">
        <v>14775</v>
      </c>
      <c r="D7995">
        <v>2</v>
      </c>
      <c r="E7995" t="s">
        <v>23</v>
      </c>
      <c r="F7995" t="s">
        <v>8869</v>
      </c>
    </row>
    <row r="7996" spans="1:10" x14ac:dyDescent="0.3">
      <c r="A7996" t="s">
        <v>14776</v>
      </c>
      <c r="B7996" t="s">
        <v>188</v>
      </c>
      <c r="D7996">
        <v>2</v>
      </c>
      <c r="E7996" t="s">
        <v>189</v>
      </c>
      <c r="F7996" t="s">
        <v>190</v>
      </c>
    </row>
    <row r="7997" spans="1:10" x14ac:dyDescent="0.3">
      <c r="A7997" t="s">
        <v>14777</v>
      </c>
      <c r="B7997" t="s">
        <v>2220</v>
      </c>
      <c r="D7997">
        <v>1</v>
      </c>
      <c r="F7997" t="s">
        <v>14778</v>
      </c>
    </row>
    <row r="7998" spans="1:10" x14ac:dyDescent="0.3">
      <c r="A7998" t="s">
        <v>10596</v>
      </c>
      <c r="B7998" t="s">
        <v>14779</v>
      </c>
      <c r="D7998">
        <v>1</v>
      </c>
      <c r="E7998" t="s">
        <v>11</v>
      </c>
      <c r="F7998" t="s">
        <v>2096</v>
      </c>
    </row>
    <row r="7999" spans="1:10" x14ac:dyDescent="0.3">
      <c r="A7999" t="s">
        <v>7919</v>
      </c>
      <c r="B7999" t="s">
        <v>4579</v>
      </c>
      <c r="D7999">
        <v>1</v>
      </c>
      <c r="F7999" t="s">
        <v>4580</v>
      </c>
    </row>
    <row r="8000" spans="1:10" x14ac:dyDescent="0.3">
      <c r="A8000" t="s">
        <v>5393</v>
      </c>
      <c r="B8000" t="s">
        <v>6272</v>
      </c>
      <c r="D8000">
        <v>90</v>
      </c>
      <c r="E8000" t="s">
        <v>29</v>
      </c>
      <c r="F8000" t="s">
        <v>6273</v>
      </c>
    </row>
    <row r="8001" spans="1:10" x14ac:dyDescent="0.3">
      <c r="A8001" t="s">
        <v>14780</v>
      </c>
      <c r="B8001" t="s">
        <v>14781</v>
      </c>
      <c r="D8001">
        <v>4</v>
      </c>
      <c r="F8001" t="s">
        <v>413</v>
      </c>
      <c r="G8001" t="s">
        <v>1571</v>
      </c>
    </row>
    <row r="8002" spans="1:10" x14ac:dyDescent="0.3">
      <c r="A8002" t="s">
        <v>5321</v>
      </c>
      <c r="B8002" t="s">
        <v>64</v>
      </c>
      <c r="F8002" t="s">
        <v>64</v>
      </c>
    </row>
    <row r="8003" spans="1:10" x14ac:dyDescent="0.3">
      <c r="A8003" t="s">
        <v>14782</v>
      </c>
      <c r="B8003" t="s">
        <v>14055</v>
      </c>
      <c r="D8003">
        <v>12</v>
      </c>
      <c r="F8003" t="s">
        <v>813</v>
      </c>
    </row>
    <row r="8004" spans="1:10" x14ac:dyDescent="0.3">
      <c r="A8004" t="s">
        <v>3902</v>
      </c>
      <c r="B8004" t="s">
        <v>14531</v>
      </c>
      <c r="D8004">
        <v>75</v>
      </c>
      <c r="E8004" t="s">
        <v>29</v>
      </c>
      <c r="F8004" t="s">
        <v>14532</v>
      </c>
      <c r="J8004" t="s">
        <v>20</v>
      </c>
    </row>
    <row r="8005" spans="1:10" x14ac:dyDescent="0.3">
      <c r="A8005" t="s">
        <v>14783</v>
      </c>
      <c r="B8005" t="s">
        <v>4653</v>
      </c>
      <c r="D8005">
        <v>1</v>
      </c>
      <c r="E8005" t="s">
        <v>460</v>
      </c>
      <c r="F8005" t="s">
        <v>4654</v>
      </c>
    </row>
    <row r="8006" spans="1:10" x14ac:dyDescent="0.3">
      <c r="A8006" t="s">
        <v>14784</v>
      </c>
      <c r="B8006" t="s">
        <v>14785</v>
      </c>
      <c r="D8006">
        <v>2</v>
      </c>
      <c r="E8006" t="s">
        <v>23</v>
      </c>
      <c r="F8006" t="s">
        <v>41</v>
      </c>
    </row>
    <row r="8007" spans="1:10" x14ac:dyDescent="0.3">
      <c r="A8007" t="s">
        <v>14786</v>
      </c>
      <c r="B8007" t="s">
        <v>14787</v>
      </c>
      <c r="D8007">
        <v>4.5</v>
      </c>
      <c r="E8007" t="s">
        <v>23</v>
      </c>
      <c r="F8007" t="s">
        <v>3366</v>
      </c>
    </row>
    <row r="8008" spans="1:10" x14ac:dyDescent="0.3">
      <c r="A8008" t="s">
        <v>522</v>
      </c>
      <c r="B8008" t="s">
        <v>14788</v>
      </c>
      <c r="D8008">
        <v>1</v>
      </c>
      <c r="E8008" t="s">
        <v>23</v>
      </c>
      <c r="F8008" t="s">
        <v>57</v>
      </c>
    </row>
    <row r="8009" spans="1:10" x14ac:dyDescent="0.3">
      <c r="A8009" t="s">
        <v>14789</v>
      </c>
      <c r="B8009" t="s">
        <v>14790</v>
      </c>
      <c r="D8009">
        <v>0.5</v>
      </c>
      <c r="E8009" t="s">
        <v>23</v>
      </c>
      <c r="F8009" t="s">
        <v>14698</v>
      </c>
    </row>
    <row r="8010" spans="1:10" x14ac:dyDescent="0.3">
      <c r="A8010" t="s">
        <v>3663</v>
      </c>
      <c r="B8010" t="s">
        <v>14791</v>
      </c>
      <c r="D8010">
        <v>1</v>
      </c>
      <c r="E8010" t="s">
        <v>206</v>
      </c>
      <c r="F8010" t="s">
        <v>41</v>
      </c>
    </row>
    <row r="8011" spans="1:10" x14ac:dyDescent="0.3">
      <c r="A8011" t="s">
        <v>14792</v>
      </c>
      <c r="B8011" t="s">
        <v>3481</v>
      </c>
      <c r="F8011" t="s">
        <v>2413</v>
      </c>
      <c r="J8011" t="s">
        <v>1124</v>
      </c>
    </row>
    <row r="8012" spans="1:10" x14ac:dyDescent="0.3">
      <c r="A8012" t="s">
        <v>14793</v>
      </c>
      <c r="B8012" t="s">
        <v>14794</v>
      </c>
      <c r="D8012">
        <v>20</v>
      </c>
      <c r="E8012" t="s">
        <v>29</v>
      </c>
      <c r="F8012" t="s">
        <v>299</v>
      </c>
    </row>
    <row r="8013" spans="1:10" x14ac:dyDescent="0.3">
      <c r="A8013" t="s">
        <v>14795</v>
      </c>
      <c r="B8013" t="s">
        <v>3019</v>
      </c>
      <c r="D8013">
        <v>1.5</v>
      </c>
      <c r="E8013" t="s">
        <v>23</v>
      </c>
      <c r="F8013" t="s">
        <v>1209</v>
      </c>
    </row>
    <row r="8014" spans="1:10" x14ac:dyDescent="0.3">
      <c r="A8014" t="s">
        <v>14796</v>
      </c>
      <c r="B8014" t="s">
        <v>14797</v>
      </c>
      <c r="D8014">
        <v>12</v>
      </c>
      <c r="F8014" t="s">
        <v>12303</v>
      </c>
    </row>
    <row r="8015" spans="1:10" x14ac:dyDescent="0.3">
      <c r="A8015" t="s">
        <v>14798</v>
      </c>
      <c r="B8015" t="s">
        <v>14799</v>
      </c>
      <c r="D8015" t="s">
        <v>2588</v>
      </c>
      <c r="E8015" t="s">
        <v>345</v>
      </c>
      <c r="F8015" t="s">
        <v>1116</v>
      </c>
    </row>
    <row r="8016" spans="1:10" x14ac:dyDescent="0.3">
      <c r="A8016" t="s">
        <v>73</v>
      </c>
      <c r="B8016" t="s">
        <v>3488</v>
      </c>
      <c r="F8016" t="s">
        <v>3488</v>
      </c>
    </row>
    <row r="8017" spans="1:10" x14ac:dyDescent="0.3">
      <c r="A8017" t="s">
        <v>14800</v>
      </c>
      <c r="B8017" t="s">
        <v>14801</v>
      </c>
      <c r="D8017">
        <v>1</v>
      </c>
      <c r="E8017" t="s">
        <v>71</v>
      </c>
      <c r="F8017" t="s">
        <v>14802</v>
      </c>
    </row>
    <row r="8018" spans="1:10" x14ac:dyDescent="0.3">
      <c r="A8018" t="s">
        <v>3097</v>
      </c>
      <c r="B8018" t="s">
        <v>14803</v>
      </c>
      <c r="D8018">
        <v>0.5</v>
      </c>
      <c r="E8018" t="s">
        <v>37</v>
      </c>
      <c r="F8018" t="s">
        <v>14804</v>
      </c>
      <c r="J8018" t="s">
        <v>20</v>
      </c>
    </row>
    <row r="8019" spans="1:10" x14ac:dyDescent="0.3">
      <c r="A8019" t="s">
        <v>14805</v>
      </c>
      <c r="B8019" t="s">
        <v>14806</v>
      </c>
      <c r="D8019">
        <v>1</v>
      </c>
      <c r="E8019" t="s">
        <v>1785</v>
      </c>
      <c r="F8019" t="s">
        <v>262</v>
      </c>
    </row>
    <row r="8020" spans="1:10" x14ac:dyDescent="0.3">
      <c r="A8020" t="s">
        <v>8972</v>
      </c>
      <c r="B8020" t="s">
        <v>14807</v>
      </c>
      <c r="D8020">
        <v>6</v>
      </c>
      <c r="E8020" t="s">
        <v>23</v>
      </c>
      <c r="F8020" t="s">
        <v>2434</v>
      </c>
    </row>
    <row r="8021" spans="1:10" x14ac:dyDescent="0.3">
      <c r="A8021" t="s">
        <v>14808</v>
      </c>
      <c r="B8021" t="s">
        <v>5386</v>
      </c>
      <c r="D8021">
        <v>1.5</v>
      </c>
      <c r="E8021" t="s">
        <v>23</v>
      </c>
      <c r="F8021" t="s">
        <v>738</v>
      </c>
    </row>
    <row r="8022" spans="1:10" x14ac:dyDescent="0.3">
      <c r="A8022" t="s">
        <v>14809</v>
      </c>
      <c r="B8022" t="s">
        <v>14810</v>
      </c>
      <c r="D8022">
        <v>3</v>
      </c>
      <c r="E8022" t="s">
        <v>345</v>
      </c>
      <c r="F8022" t="s">
        <v>2324</v>
      </c>
      <c r="G8022" t="s">
        <v>14811</v>
      </c>
    </row>
    <row r="8023" spans="1:10" x14ac:dyDescent="0.3">
      <c r="A8023" t="s">
        <v>13654</v>
      </c>
      <c r="B8023" t="s">
        <v>14812</v>
      </c>
      <c r="D8023">
        <v>50</v>
      </c>
      <c r="E8023" t="s">
        <v>29</v>
      </c>
      <c r="F8023" t="s">
        <v>14813</v>
      </c>
    </row>
    <row r="8024" spans="1:10" x14ac:dyDescent="0.3">
      <c r="A8024" t="s">
        <v>2951</v>
      </c>
      <c r="B8024" t="s">
        <v>7161</v>
      </c>
      <c r="D8024">
        <v>1</v>
      </c>
      <c r="E8024" t="s">
        <v>37</v>
      </c>
      <c r="F8024" t="s">
        <v>1751</v>
      </c>
    </row>
    <row r="8025" spans="1:10" x14ac:dyDescent="0.3">
      <c r="A8025" t="s">
        <v>14814</v>
      </c>
      <c r="B8025" t="s">
        <v>14815</v>
      </c>
      <c r="E8025" t="s">
        <v>33</v>
      </c>
      <c r="F8025" t="s">
        <v>163</v>
      </c>
    </row>
    <row r="8026" spans="1:10" x14ac:dyDescent="0.3">
      <c r="A8026" t="s">
        <v>14816</v>
      </c>
      <c r="B8026" t="s">
        <v>1173</v>
      </c>
      <c r="F8026" t="s">
        <v>1173</v>
      </c>
    </row>
    <row r="8027" spans="1:10" x14ac:dyDescent="0.3">
      <c r="A8027" t="s">
        <v>14817</v>
      </c>
      <c r="B8027" t="s">
        <v>14818</v>
      </c>
      <c r="D8027">
        <v>2</v>
      </c>
      <c r="E8027" t="s">
        <v>146</v>
      </c>
      <c r="F8027" t="s">
        <v>233</v>
      </c>
    </row>
    <row r="8028" spans="1:10" x14ac:dyDescent="0.3">
      <c r="A8028" t="s">
        <v>2057</v>
      </c>
      <c r="B8028" t="s">
        <v>2922</v>
      </c>
      <c r="D8028">
        <v>0.5</v>
      </c>
      <c r="E8028" t="s">
        <v>284</v>
      </c>
      <c r="F8028" t="s">
        <v>2178</v>
      </c>
    </row>
    <row r="8029" spans="1:10" x14ac:dyDescent="0.3">
      <c r="A8029" t="s">
        <v>1191</v>
      </c>
      <c r="B8029" t="s">
        <v>12903</v>
      </c>
      <c r="D8029">
        <v>2</v>
      </c>
      <c r="E8029" t="s">
        <v>686</v>
      </c>
      <c r="F8029" t="s">
        <v>2178</v>
      </c>
    </row>
    <row r="8030" spans="1:10" x14ac:dyDescent="0.3">
      <c r="A8030" t="s">
        <v>4481</v>
      </c>
      <c r="B8030" t="s">
        <v>14819</v>
      </c>
      <c r="D8030">
        <v>1</v>
      </c>
      <c r="E8030" t="s">
        <v>11</v>
      </c>
      <c r="F8030" t="s">
        <v>7344</v>
      </c>
      <c r="J8030" t="s">
        <v>289</v>
      </c>
    </row>
    <row r="8031" spans="1:10" x14ac:dyDescent="0.3">
      <c r="A8031" t="s">
        <v>14820</v>
      </c>
      <c r="B8031" t="s">
        <v>14821</v>
      </c>
      <c r="D8031">
        <v>4</v>
      </c>
      <c r="E8031" t="s">
        <v>345</v>
      </c>
      <c r="F8031" t="s">
        <v>741</v>
      </c>
    </row>
    <row r="8032" spans="1:10" x14ac:dyDescent="0.3">
      <c r="A8032" t="s">
        <v>14822</v>
      </c>
      <c r="B8032" t="s">
        <v>1056</v>
      </c>
      <c r="F8032" t="s">
        <v>1056</v>
      </c>
    </row>
    <row r="8033" spans="1:10" x14ac:dyDescent="0.3">
      <c r="A8033" t="s">
        <v>14823</v>
      </c>
      <c r="B8033" t="s">
        <v>14824</v>
      </c>
      <c r="D8033">
        <v>5</v>
      </c>
      <c r="E8033" t="s">
        <v>686</v>
      </c>
      <c r="F8033" t="s">
        <v>81</v>
      </c>
    </row>
    <row r="8034" spans="1:10" x14ac:dyDescent="0.3">
      <c r="A8034" t="s">
        <v>14825</v>
      </c>
      <c r="B8034" t="s">
        <v>11016</v>
      </c>
      <c r="D8034">
        <v>2</v>
      </c>
      <c r="E8034" t="s">
        <v>23</v>
      </c>
      <c r="F8034" t="s">
        <v>1087</v>
      </c>
    </row>
    <row r="8035" spans="1:10" x14ac:dyDescent="0.3">
      <c r="A8035" t="s">
        <v>14826</v>
      </c>
      <c r="B8035" t="s">
        <v>14827</v>
      </c>
      <c r="D8035">
        <v>10.5</v>
      </c>
      <c r="E8035" t="s">
        <v>91</v>
      </c>
      <c r="F8035" t="s">
        <v>1908</v>
      </c>
    </row>
    <row r="8036" spans="1:10" x14ac:dyDescent="0.3">
      <c r="A8036" t="s">
        <v>13131</v>
      </c>
      <c r="B8036" t="s">
        <v>14828</v>
      </c>
      <c r="D8036">
        <v>0.12</v>
      </c>
      <c r="E8036" t="s">
        <v>2191</v>
      </c>
      <c r="F8036" t="s">
        <v>7819</v>
      </c>
      <c r="G8036" t="s">
        <v>8308</v>
      </c>
    </row>
    <row r="8037" spans="1:10" x14ac:dyDescent="0.3">
      <c r="A8037" t="s">
        <v>14829</v>
      </c>
      <c r="B8037" t="s">
        <v>14830</v>
      </c>
      <c r="D8037">
        <v>2</v>
      </c>
      <c r="E8037" t="s">
        <v>23</v>
      </c>
      <c r="F8037" t="s">
        <v>14831</v>
      </c>
    </row>
    <row r="8038" spans="1:10" x14ac:dyDescent="0.3">
      <c r="A8038" t="s">
        <v>14832</v>
      </c>
      <c r="B8038" t="s">
        <v>14833</v>
      </c>
      <c r="D8038">
        <v>3</v>
      </c>
      <c r="E8038" t="s">
        <v>23</v>
      </c>
      <c r="F8038" t="s">
        <v>3981</v>
      </c>
    </row>
    <row r="8039" spans="1:10" x14ac:dyDescent="0.3">
      <c r="A8039" t="s">
        <v>14834</v>
      </c>
      <c r="B8039" t="s">
        <v>14835</v>
      </c>
      <c r="D8039">
        <v>3</v>
      </c>
      <c r="E8039" t="s">
        <v>23</v>
      </c>
      <c r="F8039" t="s">
        <v>2724</v>
      </c>
    </row>
    <row r="8040" spans="1:10" x14ac:dyDescent="0.3">
      <c r="A8040" t="s">
        <v>11045</v>
      </c>
      <c r="B8040" t="s">
        <v>773</v>
      </c>
      <c r="D8040">
        <v>1</v>
      </c>
      <c r="E8040" t="s">
        <v>11</v>
      </c>
      <c r="F8040" t="s">
        <v>88</v>
      </c>
    </row>
    <row r="8041" spans="1:10" x14ac:dyDescent="0.3">
      <c r="A8041" t="s">
        <v>14836</v>
      </c>
      <c r="B8041" t="s">
        <v>14837</v>
      </c>
      <c r="D8041">
        <v>0.75</v>
      </c>
      <c r="E8041" t="s">
        <v>23</v>
      </c>
      <c r="F8041" t="s">
        <v>2039</v>
      </c>
    </row>
    <row r="8042" spans="1:10" x14ac:dyDescent="0.3">
      <c r="A8042" t="s">
        <v>14838</v>
      </c>
      <c r="B8042" t="s">
        <v>12718</v>
      </c>
      <c r="D8042">
        <v>50</v>
      </c>
      <c r="E8042" t="s">
        <v>29</v>
      </c>
      <c r="F8042" t="s">
        <v>11063</v>
      </c>
    </row>
    <row r="8043" spans="1:10" x14ac:dyDescent="0.3">
      <c r="A8043" t="s">
        <v>14839</v>
      </c>
      <c r="B8043" t="s">
        <v>14840</v>
      </c>
      <c r="D8043">
        <v>0.75</v>
      </c>
      <c r="E8043" t="s">
        <v>345</v>
      </c>
      <c r="F8043" t="s">
        <v>3269</v>
      </c>
      <c r="J8043" t="s">
        <v>14841</v>
      </c>
    </row>
    <row r="8044" spans="1:10" x14ac:dyDescent="0.3">
      <c r="A8044" t="s">
        <v>14842</v>
      </c>
      <c r="B8044" t="s">
        <v>14843</v>
      </c>
      <c r="D8044">
        <v>2</v>
      </c>
      <c r="E8044" t="s">
        <v>4520</v>
      </c>
      <c r="F8044" t="s">
        <v>2552</v>
      </c>
    </row>
    <row r="8045" spans="1:10" x14ac:dyDescent="0.3">
      <c r="A8045" t="s">
        <v>14844</v>
      </c>
      <c r="B8045" t="s">
        <v>14845</v>
      </c>
      <c r="D8045">
        <v>0.33</v>
      </c>
      <c r="E8045" t="s">
        <v>11</v>
      </c>
      <c r="F8045" t="s">
        <v>4142</v>
      </c>
    </row>
    <row r="8046" spans="1:10" x14ac:dyDescent="0.3">
      <c r="A8046" t="s">
        <v>14846</v>
      </c>
      <c r="B8046" t="s">
        <v>1193</v>
      </c>
      <c r="F8046" t="s">
        <v>1193</v>
      </c>
    </row>
    <row r="8047" spans="1:10" x14ac:dyDescent="0.3">
      <c r="A8047" t="s">
        <v>11735</v>
      </c>
      <c r="B8047" t="s">
        <v>1539</v>
      </c>
      <c r="D8047">
        <v>1</v>
      </c>
      <c r="E8047" t="s">
        <v>23</v>
      </c>
      <c r="F8047" t="s">
        <v>738</v>
      </c>
    </row>
    <row r="8048" spans="1:10" x14ac:dyDescent="0.3">
      <c r="A8048" t="s">
        <v>7807</v>
      </c>
      <c r="B8048" t="s">
        <v>2413</v>
      </c>
      <c r="F8048" t="s">
        <v>2413</v>
      </c>
    </row>
    <row r="8049" spans="1:10" x14ac:dyDescent="0.3">
      <c r="A8049" t="s">
        <v>14847</v>
      </c>
      <c r="B8049" t="s">
        <v>8491</v>
      </c>
      <c r="D8049">
        <v>25</v>
      </c>
      <c r="E8049" t="s">
        <v>29</v>
      </c>
      <c r="F8049" t="s">
        <v>8492</v>
      </c>
    </row>
    <row r="8050" spans="1:10" x14ac:dyDescent="0.3">
      <c r="A8050" t="s">
        <v>14848</v>
      </c>
      <c r="B8050" t="s">
        <v>1278</v>
      </c>
      <c r="D8050">
        <v>3</v>
      </c>
      <c r="E8050" t="s">
        <v>23</v>
      </c>
      <c r="F8050" t="s">
        <v>738</v>
      </c>
    </row>
    <row r="8051" spans="1:10" x14ac:dyDescent="0.3">
      <c r="A8051" t="s">
        <v>10455</v>
      </c>
      <c r="B8051" t="s">
        <v>2988</v>
      </c>
      <c r="D8051">
        <v>0.75</v>
      </c>
      <c r="E8051" t="s">
        <v>37</v>
      </c>
      <c r="F8051" t="s">
        <v>81</v>
      </c>
    </row>
    <row r="8052" spans="1:10" x14ac:dyDescent="0.3">
      <c r="A8052" t="s">
        <v>14849</v>
      </c>
      <c r="B8052" t="s">
        <v>14850</v>
      </c>
      <c r="E8052" t="s">
        <v>1671</v>
      </c>
      <c r="F8052" t="s">
        <v>14851</v>
      </c>
      <c r="J8052" t="s">
        <v>1124</v>
      </c>
    </row>
    <row r="8053" spans="1:10" x14ac:dyDescent="0.3">
      <c r="A8053" t="s">
        <v>13171</v>
      </c>
      <c r="B8053" t="s">
        <v>7777</v>
      </c>
      <c r="D8053">
        <v>15</v>
      </c>
      <c r="E8053" t="s">
        <v>29</v>
      </c>
      <c r="F8053" t="s">
        <v>4142</v>
      </c>
    </row>
    <row r="8054" spans="1:10" x14ac:dyDescent="0.3">
      <c r="A8054" t="s">
        <v>14852</v>
      </c>
      <c r="B8054" t="s">
        <v>14853</v>
      </c>
      <c r="D8054">
        <v>1.5</v>
      </c>
      <c r="E8054" t="s">
        <v>345</v>
      </c>
      <c r="F8054" t="s">
        <v>1915</v>
      </c>
    </row>
    <row r="8055" spans="1:10" x14ac:dyDescent="0.3">
      <c r="A8055" t="s">
        <v>14854</v>
      </c>
      <c r="B8055" t="s">
        <v>14855</v>
      </c>
      <c r="D8055">
        <v>1.5</v>
      </c>
      <c r="E8055" t="s">
        <v>345</v>
      </c>
      <c r="F8055" t="s">
        <v>2552</v>
      </c>
      <c r="J8055" t="s">
        <v>14856</v>
      </c>
    </row>
    <row r="8056" spans="1:10" x14ac:dyDescent="0.3">
      <c r="A8056" t="s">
        <v>11172</v>
      </c>
      <c r="B8056" t="s">
        <v>2417</v>
      </c>
      <c r="D8056">
        <v>1</v>
      </c>
      <c r="E8056" t="s">
        <v>426</v>
      </c>
      <c r="F8056" t="s">
        <v>857</v>
      </c>
    </row>
    <row r="8057" spans="1:10" x14ac:dyDescent="0.3">
      <c r="A8057" t="s">
        <v>14857</v>
      </c>
      <c r="B8057" t="s">
        <v>14858</v>
      </c>
      <c r="D8057">
        <v>0.5</v>
      </c>
      <c r="E8057" t="s">
        <v>23</v>
      </c>
      <c r="F8057" t="s">
        <v>2034</v>
      </c>
    </row>
    <row r="8058" spans="1:10" x14ac:dyDescent="0.3">
      <c r="A8058" t="s">
        <v>11772</v>
      </c>
      <c r="B8058" t="s">
        <v>907</v>
      </c>
      <c r="F8058" t="s">
        <v>907</v>
      </c>
    </row>
    <row r="8059" spans="1:10" x14ac:dyDescent="0.3">
      <c r="A8059" t="s">
        <v>14859</v>
      </c>
      <c r="B8059" t="s">
        <v>12185</v>
      </c>
      <c r="D8059">
        <v>2</v>
      </c>
      <c r="E8059" t="s">
        <v>91</v>
      </c>
      <c r="F8059" t="s">
        <v>12186</v>
      </c>
    </row>
    <row r="8060" spans="1:10" x14ac:dyDescent="0.3">
      <c r="A8060" t="s">
        <v>3765</v>
      </c>
      <c r="B8060" t="s">
        <v>14860</v>
      </c>
      <c r="D8060">
        <v>1</v>
      </c>
      <c r="E8060" t="s">
        <v>146</v>
      </c>
      <c r="F8060" t="s">
        <v>14861</v>
      </c>
      <c r="J8060" t="s">
        <v>6929</v>
      </c>
    </row>
    <row r="8061" spans="1:10" x14ac:dyDescent="0.3">
      <c r="A8061" t="s">
        <v>6483</v>
      </c>
      <c r="B8061" t="s">
        <v>9145</v>
      </c>
      <c r="D8061">
        <v>2</v>
      </c>
      <c r="E8061" t="s">
        <v>345</v>
      </c>
      <c r="F8061" t="s">
        <v>547</v>
      </c>
    </row>
    <row r="8062" spans="1:10" x14ac:dyDescent="0.3">
      <c r="A8062" t="s">
        <v>14862</v>
      </c>
      <c r="B8062" t="s">
        <v>14863</v>
      </c>
      <c r="D8062">
        <v>200</v>
      </c>
      <c r="E8062" t="s">
        <v>29</v>
      </c>
      <c r="F8062" t="s">
        <v>14864</v>
      </c>
    </row>
    <row r="8063" spans="1:10" x14ac:dyDescent="0.3">
      <c r="A8063" t="s">
        <v>7571</v>
      </c>
      <c r="B8063" t="s">
        <v>8905</v>
      </c>
      <c r="D8063">
        <v>1</v>
      </c>
      <c r="E8063" t="s">
        <v>23</v>
      </c>
      <c r="F8063" t="s">
        <v>1003</v>
      </c>
    </row>
    <row r="8064" spans="1:10" x14ac:dyDescent="0.3">
      <c r="A8064" t="s">
        <v>14865</v>
      </c>
      <c r="B8064" t="s">
        <v>14866</v>
      </c>
      <c r="F8064" t="s">
        <v>14866</v>
      </c>
    </row>
    <row r="8065" spans="1:10" x14ac:dyDescent="0.3">
      <c r="A8065" t="s">
        <v>232</v>
      </c>
      <c r="B8065" t="s">
        <v>14867</v>
      </c>
      <c r="D8065">
        <v>1</v>
      </c>
      <c r="E8065" t="s">
        <v>23</v>
      </c>
      <c r="F8065" t="s">
        <v>14868</v>
      </c>
    </row>
    <row r="8066" spans="1:10" x14ac:dyDescent="0.3">
      <c r="A8066" t="s">
        <v>14869</v>
      </c>
      <c r="B8066" t="s">
        <v>14870</v>
      </c>
      <c r="D8066">
        <v>0.25</v>
      </c>
      <c r="E8066" t="s">
        <v>23</v>
      </c>
      <c r="F8066" t="s">
        <v>3140</v>
      </c>
    </row>
    <row r="8067" spans="1:10" x14ac:dyDescent="0.3">
      <c r="A8067" t="s">
        <v>6700</v>
      </c>
      <c r="B8067" t="s">
        <v>607</v>
      </c>
      <c r="D8067">
        <v>0.5</v>
      </c>
      <c r="E8067" t="s">
        <v>23</v>
      </c>
      <c r="F8067" t="s">
        <v>292</v>
      </c>
    </row>
    <row r="8068" spans="1:10" x14ac:dyDescent="0.3">
      <c r="A8068" t="s">
        <v>14871</v>
      </c>
      <c r="B8068" t="s">
        <v>104</v>
      </c>
      <c r="D8068">
        <v>1</v>
      </c>
      <c r="F8068" t="s">
        <v>105</v>
      </c>
    </row>
    <row r="8069" spans="1:10" x14ac:dyDescent="0.3">
      <c r="A8069" t="s">
        <v>4047</v>
      </c>
      <c r="B8069" t="s">
        <v>14872</v>
      </c>
      <c r="D8069">
        <v>37.5</v>
      </c>
      <c r="E8069" t="s">
        <v>29</v>
      </c>
      <c r="F8069" t="s">
        <v>14873</v>
      </c>
    </row>
    <row r="8070" spans="1:10" x14ac:dyDescent="0.3">
      <c r="A8070" t="s">
        <v>7970</v>
      </c>
      <c r="B8070" t="s">
        <v>14874</v>
      </c>
      <c r="E8070" t="s">
        <v>5006</v>
      </c>
      <c r="F8070" t="s">
        <v>14875</v>
      </c>
      <c r="H8070" t="s">
        <v>68</v>
      </c>
      <c r="J8070" t="s">
        <v>14876</v>
      </c>
    </row>
    <row r="8071" spans="1:10" x14ac:dyDescent="0.3">
      <c r="A8071" t="s">
        <v>14877</v>
      </c>
      <c r="B8071" t="s">
        <v>3754</v>
      </c>
      <c r="D8071">
        <v>15</v>
      </c>
      <c r="E8071" t="s">
        <v>29</v>
      </c>
      <c r="F8071" t="s">
        <v>3755</v>
      </c>
    </row>
    <row r="8072" spans="1:10" x14ac:dyDescent="0.3">
      <c r="A8072" t="s">
        <v>14878</v>
      </c>
      <c r="B8072" t="s">
        <v>14879</v>
      </c>
      <c r="F8072" t="s">
        <v>14879</v>
      </c>
    </row>
    <row r="8073" spans="1:10" x14ac:dyDescent="0.3">
      <c r="A8073" t="s">
        <v>14880</v>
      </c>
      <c r="B8073" t="s">
        <v>7274</v>
      </c>
      <c r="D8073">
        <v>1</v>
      </c>
      <c r="E8073" t="s">
        <v>111</v>
      </c>
      <c r="F8073" t="s">
        <v>2138</v>
      </c>
    </row>
    <row r="8074" spans="1:10" x14ac:dyDescent="0.3">
      <c r="A8074" t="s">
        <v>4135</v>
      </c>
      <c r="B8074" t="s">
        <v>13408</v>
      </c>
      <c r="D8074">
        <v>2</v>
      </c>
      <c r="E8074" t="s">
        <v>23</v>
      </c>
      <c r="F8074" t="s">
        <v>24</v>
      </c>
    </row>
    <row r="8075" spans="1:10" x14ac:dyDescent="0.3">
      <c r="A8075" t="s">
        <v>12749</v>
      </c>
      <c r="B8075" t="s">
        <v>14881</v>
      </c>
      <c r="D8075" t="s">
        <v>14882</v>
      </c>
      <c r="F8075" t="s">
        <v>1056</v>
      </c>
      <c r="G8075" t="s">
        <v>14883</v>
      </c>
      <c r="J8075" t="s">
        <v>14884</v>
      </c>
    </row>
    <row r="8076" spans="1:10" x14ac:dyDescent="0.3">
      <c r="A8076" t="s">
        <v>11152</v>
      </c>
      <c r="B8076" t="s">
        <v>14885</v>
      </c>
      <c r="D8076">
        <v>0.25</v>
      </c>
      <c r="E8076" t="s">
        <v>23</v>
      </c>
      <c r="F8076" t="s">
        <v>14886</v>
      </c>
    </row>
    <row r="8077" spans="1:10" x14ac:dyDescent="0.3">
      <c r="A8077" t="s">
        <v>14887</v>
      </c>
      <c r="B8077" t="s">
        <v>1037</v>
      </c>
      <c r="D8077">
        <v>1</v>
      </c>
      <c r="E8077" t="s">
        <v>460</v>
      </c>
      <c r="F8077" t="s">
        <v>30</v>
      </c>
    </row>
    <row r="8078" spans="1:10" x14ac:dyDescent="0.3">
      <c r="A8078" t="s">
        <v>14888</v>
      </c>
      <c r="B8078" t="s">
        <v>14889</v>
      </c>
      <c r="D8078">
        <v>1</v>
      </c>
      <c r="E8078" t="s">
        <v>2689</v>
      </c>
      <c r="F8078" t="s">
        <v>591</v>
      </c>
    </row>
    <row r="8079" spans="1:10" x14ac:dyDescent="0.3">
      <c r="A8079" t="s">
        <v>14890</v>
      </c>
      <c r="B8079" t="s">
        <v>4555</v>
      </c>
      <c r="D8079">
        <v>0.25</v>
      </c>
      <c r="E8079" t="s">
        <v>11</v>
      </c>
      <c r="F8079" t="s">
        <v>88</v>
      </c>
    </row>
    <row r="8080" spans="1:10" x14ac:dyDescent="0.3">
      <c r="A8080" t="s">
        <v>14891</v>
      </c>
      <c r="B8080" t="s">
        <v>14892</v>
      </c>
      <c r="D8080">
        <v>1</v>
      </c>
      <c r="E8080" t="s">
        <v>37</v>
      </c>
      <c r="F8080" t="s">
        <v>3269</v>
      </c>
      <c r="J8080" t="s">
        <v>2073</v>
      </c>
    </row>
    <row r="8081" spans="1:10" x14ac:dyDescent="0.3">
      <c r="A8081" t="s">
        <v>14893</v>
      </c>
      <c r="B8081" t="s">
        <v>14894</v>
      </c>
      <c r="F8081" t="s">
        <v>14894</v>
      </c>
    </row>
    <row r="8082" spans="1:10" x14ac:dyDescent="0.3">
      <c r="A8082" t="s">
        <v>3928</v>
      </c>
      <c r="B8082" t="s">
        <v>6520</v>
      </c>
      <c r="D8082">
        <v>50</v>
      </c>
      <c r="E8082" t="s">
        <v>29</v>
      </c>
      <c r="F8082" t="s">
        <v>30</v>
      </c>
    </row>
    <row r="8083" spans="1:10" x14ac:dyDescent="0.3">
      <c r="A8083" t="s">
        <v>14895</v>
      </c>
      <c r="B8083" t="s">
        <v>13542</v>
      </c>
      <c r="D8083">
        <v>2</v>
      </c>
      <c r="E8083" t="s">
        <v>1785</v>
      </c>
      <c r="F8083" t="s">
        <v>233</v>
      </c>
    </row>
    <row r="8084" spans="1:10" x14ac:dyDescent="0.3">
      <c r="A8084" t="s">
        <v>14896</v>
      </c>
      <c r="B8084" t="s">
        <v>2069</v>
      </c>
      <c r="D8084">
        <v>2</v>
      </c>
      <c r="E8084" t="s">
        <v>23</v>
      </c>
      <c r="F8084" t="s">
        <v>64</v>
      </c>
    </row>
    <row r="8085" spans="1:10" x14ac:dyDescent="0.3">
      <c r="A8085" t="s">
        <v>14897</v>
      </c>
      <c r="B8085" t="s">
        <v>14898</v>
      </c>
      <c r="D8085">
        <v>0.5</v>
      </c>
      <c r="E8085" t="s">
        <v>11</v>
      </c>
      <c r="F8085" t="s">
        <v>281</v>
      </c>
    </row>
    <row r="8086" spans="1:10" x14ac:dyDescent="0.3">
      <c r="A8086" t="s">
        <v>3994</v>
      </c>
      <c r="B8086" t="s">
        <v>14899</v>
      </c>
      <c r="D8086">
        <v>20</v>
      </c>
      <c r="E8086" t="s">
        <v>29</v>
      </c>
      <c r="F8086" t="s">
        <v>14900</v>
      </c>
    </row>
    <row r="8087" spans="1:10" x14ac:dyDescent="0.3">
      <c r="A8087" t="s">
        <v>14901</v>
      </c>
      <c r="B8087" t="s">
        <v>14902</v>
      </c>
      <c r="D8087">
        <v>1</v>
      </c>
      <c r="E8087" t="s">
        <v>23</v>
      </c>
      <c r="F8087" t="s">
        <v>14903</v>
      </c>
    </row>
    <row r="8088" spans="1:10" x14ac:dyDescent="0.3">
      <c r="A8088" t="s">
        <v>14904</v>
      </c>
      <c r="B8088" t="s">
        <v>14905</v>
      </c>
      <c r="D8088">
        <v>1</v>
      </c>
      <c r="E8088" t="s">
        <v>23</v>
      </c>
      <c r="F8088" t="s">
        <v>14906</v>
      </c>
    </row>
    <row r="8089" spans="1:10" x14ac:dyDescent="0.3">
      <c r="A8089" t="s">
        <v>14907</v>
      </c>
      <c r="B8089" t="s">
        <v>4057</v>
      </c>
      <c r="D8089">
        <v>4</v>
      </c>
      <c r="E8089" t="s">
        <v>23</v>
      </c>
      <c r="F8089" t="s">
        <v>738</v>
      </c>
      <c r="J8089" t="s">
        <v>289</v>
      </c>
    </row>
    <row r="8090" spans="1:10" x14ac:dyDescent="0.3">
      <c r="A8090" t="s">
        <v>9427</v>
      </c>
      <c r="B8090" t="s">
        <v>4296</v>
      </c>
      <c r="D8090">
        <v>0.5</v>
      </c>
      <c r="E8090" t="s">
        <v>37</v>
      </c>
      <c r="F8090" t="s">
        <v>160</v>
      </c>
    </row>
    <row r="8091" spans="1:10" x14ac:dyDescent="0.3">
      <c r="A8091" t="s">
        <v>14908</v>
      </c>
      <c r="B8091" t="s">
        <v>14909</v>
      </c>
      <c r="D8091">
        <v>25</v>
      </c>
      <c r="E8091" t="s">
        <v>29</v>
      </c>
      <c r="F8091" t="s">
        <v>14910</v>
      </c>
    </row>
    <row r="8092" spans="1:10" x14ac:dyDescent="0.3">
      <c r="A8092" t="s">
        <v>14554</v>
      </c>
      <c r="B8092" t="s">
        <v>10305</v>
      </c>
      <c r="D8092">
        <v>2</v>
      </c>
      <c r="E8092" t="s">
        <v>23</v>
      </c>
      <c r="F8092" t="s">
        <v>2211</v>
      </c>
    </row>
    <row r="8093" spans="1:10" x14ac:dyDescent="0.3">
      <c r="A8093" t="s">
        <v>14911</v>
      </c>
      <c r="B8093" t="s">
        <v>14912</v>
      </c>
      <c r="D8093">
        <v>45</v>
      </c>
      <c r="E8093" t="s">
        <v>29</v>
      </c>
      <c r="F8093" t="s">
        <v>14913</v>
      </c>
    </row>
    <row r="8094" spans="1:10" x14ac:dyDescent="0.3">
      <c r="A8094" t="s">
        <v>14914</v>
      </c>
      <c r="B8094" t="s">
        <v>14915</v>
      </c>
      <c r="D8094">
        <v>1</v>
      </c>
      <c r="E8094" t="s">
        <v>11</v>
      </c>
      <c r="F8094" t="s">
        <v>2599</v>
      </c>
      <c r="J8094" t="s">
        <v>289</v>
      </c>
    </row>
    <row r="8095" spans="1:10" x14ac:dyDescent="0.3">
      <c r="A8095" t="s">
        <v>14916</v>
      </c>
      <c r="B8095" t="s">
        <v>14917</v>
      </c>
      <c r="D8095">
        <v>1</v>
      </c>
      <c r="E8095" t="s">
        <v>11</v>
      </c>
      <c r="F8095" t="s">
        <v>14918</v>
      </c>
    </row>
    <row r="8096" spans="1:10" x14ac:dyDescent="0.3">
      <c r="A8096" t="s">
        <v>6219</v>
      </c>
      <c r="B8096" t="s">
        <v>14919</v>
      </c>
      <c r="D8096">
        <v>0.5</v>
      </c>
      <c r="E8096" t="s">
        <v>361</v>
      </c>
      <c r="F8096" t="s">
        <v>14920</v>
      </c>
      <c r="H8096" t="s">
        <v>2655</v>
      </c>
    </row>
    <row r="8097" spans="1:10" x14ac:dyDescent="0.3">
      <c r="A8097" t="s">
        <v>14921</v>
      </c>
      <c r="B8097" t="s">
        <v>14922</v>
      </c>
      <c r="D8097">
        <v>25</v>
      </c>
      <c r="E8097" t="s">
        <v>29</v>
      </c>
      <c r="F8097" t="s">
        <v>2207</v>
      </c>
      <c r="H8097" t="s">
        <v>814</v>
      </c>
    </row>
    <row r="8098" spans="1:10" x14ac:dyDescent="0.3">
      <c r="A8098" t="s">
        <v>14923</v>
      </c>
      <c r="B8098" t="s">
        <v>14924</v>
      </c>
      <c r="D8098">
        <v>10</v>
      </c>
      <c r="E8098" t="s">
        <v>29</v>
      </c>
      <c r="F8098" t="s">
        <v>817</v>
      </c>
    </row>
    <row r="8099" spans="1:10" x14ac:dyDescent="0.3">
      <c r="A8099" t="s">
        <v>14925</v>
      </c>
      <c r="B8099" t="s">
        <v>14926</v>
      </c>
      <c r="D8099">
        <v>1</v>
      </c>
      <c r="E8099" t="s">
        <v>37</v>
      </c>
      <c r="F8099" t="s">
        <v>14927</v>
      </c>
      <c r="J8099" t="s">
        <v>14928</v>
      </c>
    </row>
    <row r="8100" spans="1:10" x14ac:dyDescent="0.3">
      <c r="A8100" t="s">
        <v>14929</v>
      </c>
      <c r="B8100" t="s">
        <v>14930</v>
      </c>
      <c r="D8100">
        <v>1</v>
      </c>
      <c r="E8100" t="s">
        <v>37</v>
      </c>
      <c r="F8100" t="s">
        <v>1009</v>
      </c>
      <c r="J8100" t="s">
        <v>2073</v>
      </c>
    </row>
    <row r="8101" spans="1:10" x14ac:dyDescent="0.3">
      <c r="A8101" t="s">
        <v>12397</v>
      </c>
      <c r="B8101" t="s">
        <v>14931</v>
      </c>
      <c r="D8101">
        <v>0.33</v>
      </c>
      <c r="E8101" t="s">
        <v>23</v>
      </c>
      <c r="F8101" t="s">
        <v>30</v>
      </c>
    </row>
    <row r="8102" spans="1:10" x14ac:dyDescent="0.3">
      <c r="A8102" t="s">
        <v>14932</v>
      </c>
      <c r="B8102" t="s">
        <v>14933</v>
      </c>
      <c r="D8102">
        <v>2</v>
      </c>
      <c r="E8102" t="s">
        <v>23</v>
      </c>
      <c r="F8102" t="s">
        <v>3177</v>
      </c>
    </row>
    <row r="8103" spans="1:10" x14ac:dyDescent="0.3">
      <c r="A8103" t="s">
        <v>14427</v>
      </c>
      <c r="B8103" t="s">
        <v>14934</v>
      </c>
      <c r="D8103">
        <v>3</v>
      </c>
      <c r="F8103" t="s">
        <v>413</v>
      </c>
      <c r="G8103" t="s">
        <v>1571</v>
      </c>
    </row>
    <row r="8104" spans="1:10" x14ac:dyDescent="0.3">
      <c r="A8104" t="s">
        <v>7186</v>
      </c>
      <c r="B8104" t="s">
        <v>14935</v>
      </c>
      <c r="D8104">
        <v>2</v>
      </c>
      <c r="E8104" t="s">
        <v>91</v>
      </c>
      <c r="F8104" t="s">
        <v>6422</v>
      </c>
    </row>
    <row r="8105" spans="1:10" x14ac:dyDescent="0.3">
      <c r="A8105" t="s">
        <v>14936</v>
      </c>
      <c r="B8105" t="s">
        <v>14937</v>
      </c>
      <c r="D8105">
        <v>1</v>
      </c>
      <c r="E8105" t="s">
        <v>11</v>
      </c>
      <c r="F8105" t="s">
        <v>857</v>
      </c>
    </row>
    <row r="8106" spans="1:10" x14ac:dyDescent="0.3">
      <c r="A8106" t="s">
        <v>5146</v>
      </c>
      <c r="B8106" t="s">
        <v>14938</v>
      </c>
      <c r="D8106">
        <v>2</v>
      </c>
      <c r="E8106" t="s">
        <v>473</v>
      </c>
      <c r="F8106" t="s">
        <v>581</v>
      </c>
      <c r="I8106" t="s">
        <v>3945</v>
      </c>
    </row>
    <row r="8107" spans="1:10" x14ac:dyDescent="0.3">
      <c r="A8107" t="s">
        <v>14939</v>
      </c>
      <c r="B8107" t="s">
        <v>14940</v>
      </c>
      <c r="D8107">
        <v>30</v>
      </c>
      <c r="E8107" t="s">
        <v>29</v>
      </c>
      <c r="F8107" t="s">
        <v>1328</v>
      </c>
    </row>
    <row r="8108" spans="1:10" x14ac:dyDescent="0.3">
      <c r="A8108" t="s">
        <v>14941</v>
      </c>
      <c r="B8108" t="s">
        <v>14942</v>
      </c>
      <c r="D8108">
        <v>4</v>
      </c>
      <c r="E8108" t="s">
        <v>835</v>
      </c>
      <c r="F8108" t="s">
        <v>14943</v>
      </c>
    </row>
    <row r="8109" spans="1:10" x14ac:dyDescent="0.3">
      <c r="A8109" t="s">
        <v>14944</v>
      </c>
      <c r="B8109" t="s">
        <v>14945</v>
      </c>
      <c r="D8109">
        <v>1</v>
      </c>
      <c r="F8109" t="s">
        <v>281</v>
      </c>
    </row>
    <row r="8110" spans="1:10" x14ac:dyDescent="0.3">
      <c r="A8110" t="s">
        <v>14946</v>
      </c>
      <c r="B8110" t="s">
        <v>14894</v>
      </c>
      <c r="F8110" t="s">
        <v>14894</v>
      </c>
    </row>
    <row r="8111" spans="1:10" x14ac:dyDescent="0.3">
      <c r="A8111" t="s">
        <v>14947</v>
      </c>
      <c r="B8111" t="s">
        <v>14948</v>
      </c>
      <c r="D8111">
        <v>151</v>
      </c>
      <c r="E8111" t="s">
        <v>426</v>
      </c>
      <c r="F8111" t="s">
        <v>14607</v>
      </c>
    </row>
    <row r="8112" spans="1:10" x14ac:dyDescent="0.3">
      <c r="A8112" t="s">
        <v>14949</v>
      </c>
      <c r="B8112" t="s">
        <v>14950</v>
      </c>
      <c r="D8112">
        <v>1</v>
      </c>
      <c r="E8112" t="s">
        <v>11</v>
      </c>
      <c r="F8112" t="s">
        <v>427</v>
      </c>
    </row>
    <row r="8113" spans="1:10" x14ac:dyDescent="0.3">
      <c r="A8113" t="s">
        <v>14951</v>
      </c>
      <c r="B8113" t="s">
        <v>14952</v>
      </c>
      <c r="D8113">
        <v>1</v>
      </c>
      <c r="F8113" t="s">
        <v>14953</v>
      </c>
    </row>
    <row r="8114" spans="1:10" x14ac:dyDescent="0.3">
      <c r="A8114" t="s">
        <v>14954</v>
      </c>
      <c r="B8114" t="s">
        <v>2445</v>
      </c>
      <c r="D8114">
        <v>10.5</v>
      </c>
      <c r="E8114" t="s">
        <v>91</v>
      </c>
      <c r="F8114" t="s">
        <v>2446</v>
      </c>
    </row>
    <row r="8115" spans="1:10" x14ac:dyDescent="0.3">
      <c r="A8115" t="s">
        <v>14955</v>
      </c>
      <c r="B8115" t="s">
        <v>14956</v>
      </c>
      <c r="D8115">
        <v>0.5</v>
      </c>
      <c r="E8115" t="s">
        <v>37</v>
      </c>
      <c r="F8115" t="s">
        <v>4904</v>
      </c>
      <c r="J8115" t="s">
        <v>14957</v>
      </c>
    </row>
    <row r="8116" spans="1:10" x14ac:dyDescent="0.3">
      <c r="A8116" t="s">
        <v>14958</v>
      </c>
      <c r="B8116" t="s">
        <v>14959</v>
      </c>
      <c r="D8116">
        <v>4</v>
      </c>
      <c r="E8116" t="s">
        <v>23</v>
      </c>
      <c r="F8116" t="s">
        <v>2785</v>
      </c>
    </row>
    <row r="8117" spans="1:10" x14ac:dyDescent="0.3">
      <c r="A8117" t="s">
        <v>14960</v>
      </c>
      <c r="B8117" t="s">
        <v>14606</v>
      </c>
      <c r="D8117">
        <v>151</v>
      </c>
      <c r="E8117" t="s">
        <v>23</v>
      </c>
      <c r="F8117" t="s">
        <v>14607</v>
      </c>
    </row>
    <row r="8118" spans="1:10" x14ac:dyDescent="0.3">
      <c r="A8118" t="s">
        <v>14961</v>
      </c>
      <c r="B8118" t="s">
        <v>14962</v>
      </c>
      <c r="D8118">
        <v>0.25</v>
      </c>
      <c r="E8118" t="s">
        <v>460</v>
      </c>
      <c r="F8118" t="s">
        <v>2166</v>
      </c>
      <c r="G8118" t="s">
        <v>14963</v>
      </c>
      <c r="H8118" t="s">
        <v>68</v>
      </c>
    </row>
    <row r="8119" spans="1:10" x14ac:dyDescent="0.3">
      <c r="A8119" t="s">
        <v>14964</v>
      </c>
      <c r="B8119" t="s">
        <v>14965</v>
      </c>
      <c r="D8119">
        <v>1</v>
      </c>
      <c r="E8119" t="s">
        <v>4357</v>
      </c>
      <c r="F8119" t="s">
        <v>262</v>
      </c>
    </row>
    <row r="8120" spans="1:10" x14ac:dyDescent="0.3">
      <c r="A8120" t="s">
        <v>14966</v>
      </c>
      <c r="B8120" t="s">
        <v>5627</v>
      </c>
      <c r="D8120">
        <v>0.5</v>
      </c>
      <c r="E8120" t="s">
        <v>23</v>
      </c>
      <c r="F8120" t="s">
        <v>738</v>
      </c>
    </row>
    <row r="8121" spans="1:10" x14ac:dyDescent="0.3">
      <c r="A8121" t="s">
        <v>14967</v>
      </c>
      <c r="B8121" t="s">
        <v>12080</v>
      </c>
      <c r="D8121">
        <v>1.5</v>
      </c>
      <c r="E8121" t="s">
        <v>23</v>
      </c>
      <c r="F8121" t="s">
        <v>6988</v>
      </c>
    </row>
    <row r="8122" spans="1:10" x14ac:dyDescent="0.3">
      <c r="A8122" t="s">
        <v>7634</v>
      </c>
      <c r="B8122" t="s">
        <v>14968</v>
      </c>
      <c r="D8122">
        <v>0.5</v>
      </c>
      <c r="E8122" t="s">
        <v>850</v>
      </c>
      <c r="F8122" t="s">
        <v>14969</v>
      </c>
    </row>
    <row r="8123" spans="1:10" x14ac:dyDescent="0.3">
      <c r="A8123" t="s">
        <v>14970</v>
      </c>
      <c r="B8123" t="s">
        <v>14971</v>
      </c>
      <c r="D8123">
        <v>2.5</v>
      </c>
      <c r="E8123" t="s">
        <v>345</v>
      </c>
      <c r="F8123" t="s">
        <v>220</v>
      </c>
      <c r="J8123" t="s">
        <v>14972</v>
      </c>
    </row>
    <row r="8124" spans="1:10" x14ac:dyDescent="0.3">
      <c r="A8124" t="s">
        <v>76</v>
      </c>
      <c r="B8124" t="s">
        <v>14973</v>
      </c>
      <c r="D8124">
        <v>6</v>
      </c>
      <c r="F8124" t="s">
        <v>554</v>
      </c>
    </row>
    <row r="8125" spans="1:10" x14ac:dyDescent="0.3">
      <c r="A8125" t="s">
        <v>14974</v>
      </c>
      <c r="B8125" t="s">
        <v>14975</v>
      </c>
      <c r="D8125">
        <v>0.25</v>
      </c>
      <c r="E8125" t="s">
        <v>23</v>
      </c>
      <c r="F8125" t="s">
        <v>6712</v>
      </c>
    </row>
    <row r="8126" spans="1:10" x14ac:dyDescent="0.3">
      <c r="A8126" t="s">
        <v>12252</v>
      </c>
      <c r="B8126" t="s">
        <v>5563</v>
      </c>
      <c r="D8126">
        <v>1</v>
      </c>
      <c r="E8126" t="s">
        <v>23</v>
      </c>
      <c r="F8126" t="s">
        <v>5564</v>
      </c>
    </row>
    <row r="8127" spans="1:10" x14ac:dyDescent="0.3">
      <c r="A8127" t="s">
        <v>3418</v>
      </c>
      <c r="B8127" t="s">
        <v>104</v>
      </c>
      <c r="D8127">
        <v>1</v>
      </c>
      <c r="F8127" t="s">
        <v>105</v>
      </c>
    </row>
    <row r="8128" spans="1:10" x14ac:dyDescent="0.3">
      <c r="A8128" t="s">
        <v>14976</v>
      </c>
      <c r="B8128" t="s">
        <v>14977</v>
      </c>
      <c r="D8128">
        <v>1.5</v>
      </c>
      <c r="E8128" t="s">
        <v>345</v>
      </c>
      <c r="F8128" t="s">
        <v>10765</v>
      </c>
    </row>
    <row r="8129" spans="1:10" x14ac:dyDescent="0.3">
      <c r="A8129" t="s">
        <v>14978</v>
      </c>
      <c r="B8129" t="s">
        <v>4182</v>
      </c>
      <c r="D8129">
        <v>2</v>
      </c>
      <c r="E8129" t="s">
        <v>23</v>
      </c>
      <c r="F8129" t="s">
        <v>3707</v>
      </c>
    </row>
    <row r="8130" spans="1:10" x14ac:dyDescent="0.3">
      <c r="A8130" t="s">
        <v>8664</v>
      </c>
      <c r="B8130" t="s">
        <v>14979</v>
      </c>
      <c r="D8130" t="s">
        <v>2082</v>
      </c>
      <c r="E8130" t="s">
        <v>23</v>
      </c>
      <c r="F8130" t="s">
        <v>2138</v>
      </c>
      <c r="J8130" t="s">
        <v>1177</v>
      </c>
    </row>
    <row r="8131" spans="1:10" x14ac:dyDescent="0.3">
      <c r="A8131" t="s">
        <v>2226</v>
      </c>
      <c r="B8131" t="s">
        <v>671</v>
      </c>
      <c r="D8131">
        <v>2</v>
      </c>
      <c r="E8131" t="s">
        <v>189</v>
      </c>
      <c r="F8131" t="s">
        <v>672</v>
      </c>
    </row>
    <row r="8132" spans="1:10" x14ac:dyDescent="0.3">
      <c r="A8132" t="s">
        <v>10314</v>
      </c>
      <c r="B8132" t="s">
        <v>3809</v>
      </c>
      <c r="D8132">
        <v>1</v>
      </c>
      <c r="E8132" t="s">
        <v>23</v>
      </c>
      <c r="F8132" t="s">
        <v>331</v>
      </c>
    </row>
    <row r="8133" spans="1:10" x14ac:dyDescent="0.3">
      <c r="A8133" t="s">
        <v>14980</v>
      </c>
      <c r="B8133" t="s">
        <v>14981</v>
      </c>
      <c r="D8133">
        <v>0.5</v>
      </c>
      <c r="E8133" t="s">
        <v>37</v>
      </c>
      <c r="F8133" t="s">
        <v>14982</v>
      </c>
    </row>
    <row r="8134" spans="1:10" x14ac:dyDescent="0.3">
      <c r="A8134" t="s">
        <v>9034</v>
      </c>
      <c r="B8134" t="s">
        <v>1957</v>
      </c>
      <c r="D8134">
        <v>2</v>
      </c>
      <c r="E8134" t="s">
        <v>345</v>
      </c>
      <c r="F8134" t="s">
        <v>516</v>
      </c>
    </row>
    <row r="8135" spans="1:10" x14ac:dyDescent="0.3">
      <c r="A8135" t="s">
        <v>14983</v>
      </c>
      <c r="B8135" t="s">
        <v>14984</v>
      </c>
      <c r="D8135">
        <v>3</v>
      </c>
      <c r="F8135" t="s">
        <v>950</v>
      </c>
    </row>
    <row r="8136" spans="1:10" x14ac:dyDescent="0.3">
      <c r="A8136" t="s">
        <v>1845</v>
      </c>
      <c r="B8136" t="s">
        <v>14985</v>
      </c>
      <c r="F8136" t="s">
        <v>333</v>
      </c>
      <c r="J8136" t="s">
        <v>14986</v>
      </c>
    </row>
    <row r="8137" spans="1:10" x14ac:dyDescent="0.3">
      <c r="A8137" t="s">
        <v>14987</v>
      </c>
      <c r="B8137" t="s">
        <v>14988</v>
      </c>
      <c r="D8137">
        <v>1</v>
      </c>
      <c r="E8137" t="s">
        <v>37</v>
      </c>
      <c r="F8137" t="s">
        <v>2365</v>
      </c>
    </row>
    <row r="8138" spans="1:10" x14ac:dyDescent="0.3">
      <c r="A8138" t="s">
        <v>6219</v>
      </c>
      <c r="B8138" t="s">
        <v>14989</v>
      </c>
      <c r="D8138">
        <v>3</v>
      </c>
      <c r="E8138" t="s">
        <v>227</v>
      </c>
      <c r="F8138" t="s">
        <v>14990</v>
      </c>
      <c r="J8138" t="s">
        <v>1214</v>
      </c>
    </row>
    <row r="8139" spans="1:10" x14ac:dyDescent="0.3">
      <c r="A8139" t="s">
        <v>14991</v>
      </c>
      <c r="B8139" t="s">
        <v>8170</v>
      </c>
      <c r="D8139">
        <v>4</v>
      </c>
      <c r="E8139" t="s">
        <v>23</v>
      </c>
      <c r="F8139" t="s">
        <v>738</v>
      </c>
    </row>
    <row r="8140" spans="1:10" x14ac:dyDescent="0.3">
      <c r="A8140" t="s">
        <v>14992</v>
      </c>
      <c r="B8140" t="s">
        <v>14993</v>
      </c>
      <c r="D8140">
        <v>1</v>
      </c>
      <c r="E8140" t="s">
        <v>612</v>
      </c>
      <c r="F8140" t="s">
        <v>14994</v>
      </c>
    </row>
    <row r="8141" spans="1:10" x14ac:dyDescent="0.3">
      <c r="A8141" t="s">
        <v>12719</v>
      </c>
      <c r="B8141" t="s">
        <v>14995</v>
      </c>
      <c r="D8141">
        <v>0.25</v>
      </c>
      <c r="E8141" t="s">
        <v>284</v>
      </c>
      <c r="F8141" t="s">
        <v>1644</v>
      </c>
      <c r="I8141" t="s">
        <v>5392</v>
      </c>
    </row>
    <row r="8142" spans="1:10" x14ac:dyDescent="0.3">
      <c r="A8142" t="s">
        <v>14996</v>
      </c>
      <c r="B8142" t="s">
        <v>4597</v>
      </c>
      <c r="D8142">
        <v>3</v>
      </c>
      <c r="E8142" t="s">
        <v>189</v>
      </c>
      <c r="F8142" t="s">
        <v>190</v>
      </c>
    </row>
    <row r="8143" spans="1:10" x14ac:dyDescent="0.3">
      <c r="A8143" t="s">
        <v>14997</v>
      </c>
      <c r="B8143" t="s">
        <v>14998</v>
      </c>
      <c r="D8143">
        <v>1</v>
      </c>
      <c r="E8143" t="s">
        <v>469</v>
      </c>
      <c r="F8143" t="s">
        <v>3218</v>
      </c>
    </row>
    <row r="8144" spans="1:10" x14ac:dyDescent="0.3">
      <c r="A8144" t="s">
        <v>10007</v>
      </c>
      <c r="B8144" t="s">
        <v>4469</v>
      </c>
      <c r="D8144">
        <v>15</v>
      </c>
      <c r="E8144" t="s">
        <v>29</v>
      </c>
      <c r="F8144" t="s">
        <v>4470</v>
      </c>
    </row>
    <row r="8145" spans="1:10" x14ac:dyDescent="0.3">
      <c r="A8145" t="s">
        <v>14999</v>
      </c>
      <c r="B8145" t="s">
        <v>3050</v>
      </c>
      <c r="D8145">
        <v>25</v>
      </c>
      <c r="E8145" t="s">
        <v>29</v>
      </c>
      <c r="F8145" t="s">
        <v>233</v>
      </c>
    </row>
    <row r="8146" spans="1:10" x14ac:dyDescent="0.3">
      <c r="A8146" t="s">
        <v>15000</v>
      </c>
      <c r="B8146" t="s">
        <v>11551</v>
      </c>
      <c r="D8146">
        <v>4</v>
      </c>
      <c r="E8146" t="s">
        <v>23</v>
      </c>
      <c r="F8146" t="s">
        <v>11552</v>
      </c>
    </row>
    <row r="8147" spans="1:10" x14ac:dyDescent="0.3">
      <c r="A8147" t="s">
        <v>11693</v>
      </c>
      <c r="B8147" t="s">
        <v>3849</v>
      </c>
      <c r="F8147" t="s">
        <v>776</v>
      </c>
      <c r="J8147" t="s">
        <v>164</v>
      </c>
    </row>
    <row r="8148" spans="1:10" x14ac:dyDescent="0.3">
      <c r="A8148" t="s">
        <v>5545</v>
      </c>
      <c r="B8148" t="s">
        <v>15001</v>
      </c>
      <c r="D8148">
        <v>0.75</v>
      </c>
      <c r="E8148" t="s">
        <v>71</v>
      </c>
      <c r="F8148" t="s">
        <v>15002</v>
      </c>
    </row>
    <row r="8149" spans="1:10" x14ac:dyDescent="0.3">
      <c r="A8149" t="s">
        <v>4173</v>
      </c>
      <c r="B8149" t="s">
        <v>15003</v>
      </c>
      <c r="D8149">
        <v>1</v>
      </c>
      <c r="F8149" t="s">
        <v>15004</v>
      </c>
    </row>
    <row r="8150" spans="1:10" x14ac:dyDescent="0.3">
      <c r="A8150" t="s">
        <v>15005</v>
      </c>
      <c r="B8150" t="s">
        <v>15006</v>
      </c>
      <c r="D8150">
        <v>1</v>
      </c>
      <c r="E8150" t="s">
        <v>60</v>
      </c>
      <c r="F8150" t="s">
        <v>1043</v>
      </c>
      <c r="J8150" t="s">
        <v>289</v>
      </c>
    </row>
    <row r="8151" spans="1:10" x14ac:dyDescent="0.3">
      <c r="A8151" t="s">
        <v>15007</v>
      </c>
      <c r="B8151" t="s">
        <v>15008</v>
      </c>
      <c r="F8151" t="s">
        <v>281</v>
      </c>
      <c r="J8151" t="s">
        <v>65</v>
      </c>
    </row>
    <row r="8152" spans="1:10" x14ac:dyDescent="0.3">
      <c r="A8152" t="s">
        <v>15009</v>
      </c>
      <c r="B8152" t="s">
        <v>2573</v>
      </c>
      <c r="F8152" t="s">
        <v>2573</v>
      </c>
    </row>
    <row r="8153" spans="1:10" x14ac:dyDescent="0.3">
      <c r="A8153" t="s">
        <v>1817</v>
      </c>
      <c r="B8153" t="s">
        <v>15010</v>
      </c>
      <c r="D8153">
        <v>3</v>
      </c>
      <c r="E8153" t="s">
        <v>189</v>
      </c>
      <c r="F8153" t="s">
        <v>15011</v>
      </c>
    </row>
    <row r="8154" spans="1:10" x14ac:dyDescent="0.3">
      <c r="A8154" t="s">
        <v>1417</v>
      </c>
      <c r="B8154" t="s">
        <v>518</v>
      </c>
      <c r="F8154" t="s">
        <v>518</v>
      </c>
    </row>
    <row r="8155" spans="1:10" x14ac:dyDescent="0.3">
      <c r="A8155" t="s">
        <v>11895</v>
      </c>
      <c r="B8155" t="s">
        <v>968</v>
      </c>
      <c r="D8155">
        <v>1</v>
      </c>
      <c r="E8155" t="s">
        <v>23</v>
      </c>
      <c r="F8155" t="s">
        <v>199</v>
      </c>
    </row>
    <row r="8156" spans="1:10" x14ac:dyDescent="0.3">
      <c r="A8156" t="s">
        <v>6640</v>
      </c>
      <c r="B8156" t="s">
        <v>5836</v>
      </c>
      <c r="D8156">
        <v>3.5</v>
      </c>
      <c r="E8156" t="s">
        <v>23</v>
      </c>
      <c r="F8156" t="s">
        <v>64</v>
      </c>
    </row>
    <row r="8157" spans="1:10" x14ac:dyDescent="0.3">
      <c r="A8157" t="s">
        <v>1446</v>
      </c>
      <c r="B8157" t="s">
        <v>15012</v>
      </c>
      <c r="D8157">
        <v>0.5</v>
      </c>
      <c r="E8157" t="s">
        <v>37</v>
      </c>
      <c r="F8157" t="s">
        <v>15013</v>
      </c>
      <c r="J8157" t="s">
        <v>15014</v>
      </c>
    </row>
    <row r="8158" spans="1:10" x14ac:dyDescent="0.3">
      <c r="A8158" t="s">
        <v>11752</v>
      </c>
      <c r="B8158" t="s">
        <v>15015</v>
      </c>
      <c r="D8158">
        <v>1</v>
      </c>
      <c r="E8158" t="s">
        <v>473</v>
      </c>
      <c r="F8158" t="s">
        <v>15016</v>
      </c>
    </row>
    <row r="8159" spans="1:10" x14ac:dyDescent="0.3">
      <c r="A8159" t="s">
        <v>15017</v>
      </c>
      <c r="B8159" t="s">
        <v>15018</v>
      </c>
      <c r="D8159">
        <v>0.5</v>
      </c>
      <c r="E8159" t="s">
        <v>37</v>
      </c>
      <c r="F8159" t="s">
        <v>1416</v>
      </c>
      <c r="J8159" t="s">
        <v>15019</v>
      </c>
    </row>
    <row r="8160" spans="1:10" x14ac:dyDescent="0.3">
      <c r="A8160" t="s">
        <v>15020</v>
      </c>
      <c r="B8160" t="s">
        <v>15021</v>
      </c>
      <c r="D8160">
        <v>1</v>
      </c>
      <c r="F8160" t="s">
        <v>15022</v>
      </c>
      <c r="J8160" t="s">
        <v>164</v>
      </c>
    </row>
    <row r="8161" spans="1:10" x14ac:dyDescent="0.3">
      <c r="A8161" t="s">
        <v>15023</v>
      </c>
      <c r="B8161" t="s">
        <v>4756</v>
      </c>
      <c r="D8161">
        <v>1</v>
      </c>
      <c r="E8161" t="s">
        <v>227</v>
      </c>
      <c r="F8161" t="s">
        <v>281</v>
      </c>
    </row>
    <row r="8162" spans="1:10" x14ac:dyDescent="0.3">
      <c r="A8162" t="s">
        <v>13236</v>
      </c>
      <c r="B8162" t="s">
        <v>294</v>
      </c>
      <c r="D8162">
        <v>1</v>
      </c>
      <c r="F8162" t="s">
        <v>295</v>
      </c>
      <c r="J8162" t="s">
        <v>248</v>
      </c>
    </row>
    <row r="8163" spans="1:10" x14ac:dyDescent="0.3">
      <c r="A8163" t="s">
        <v>15024</v>
      </c>
      <c r="B8163" t="s">
        <v>15025</v>
      </c>
      <c r="D8163">
        <v>4</v>
      </c>
      <c r="E8163" t="s">
        <v>227</v>
      </c>
      <c r="F8163" t="s">
        <v>2324</v>
      </c>
    </row>
    <row r="8164" spans="1:10" x14ac:dyDescent="0.3">
      <c r="A8164" t="s">
        <v>15026</v>
      </c>
      <c r="B8164" t="s">
        <v>15027</v>
      </c>
      <c r="D8164">
        <v>0.75</v>
      </c>
      <c r="E8164" t="s">
        <v>11</v>
      </c>
      <c r="F8164" t="s">
        <v>15028</v>
      </c>
    </row>
    <row r="8165" spans="1:10" x14ac:dyDescent="0.3">
      <c r="A8165" t="s">
        <v>15029</v>
      </c>
      <c r="B8165" t="s">
        <v>15030</v>
      </c>
      <c r="D8165">
        <v>2</v>
      </c>
      <c r="F8165" t="s">
        <v>15031</v>
      </c>
      <c r="G8165" t="s">
        <v>3348</v>
      </c>
      <c r="J8165" t="s">
        <v>15032</v>
      </c>
    </row>
    <row r="8166" spans="1:10" x14ac:dyDescent="0.3">
      <c r="A8166" t="s">
        <v>15023</v>
      </c>
      <c r="B8166" t="s">
        <v>15033</v>
      </c>
      <c r="D8166">
        <v>0.33</v>
      </c>
      <c r="E8166" t="s">
        <v>227</v>
      </c>
      <c r="F8166" t="s">
        <v>30</v>
      </c>
    </row>
    <row r="8167" spans="1:10" x14ac:dyDescent="0.3">
      <c r="A8167" t="s">
        <v>8474</v>
      </c>
      <c r="B8167" t="s">
        <v>792</v>
      </c>
      <c r="D8167">
        <v>0.5</v>
      </c>
      <c r="E8167" t="s">
        <v>11</v>
      </c>
      <c r="F8167" t="s">
        <v>793</v>
      </c>
    </row>
    <row r="8168" spans="1:10" x14ac:dyDescent="0.3">
      <c r="A8168" t="s">
        <v>15034</v>
      </c>
      <c r="B8168" t="s">
        <v>159</v>
      </c>
      <c r="D8168">
        <v>0.75</v>
      </c>
      <c r="E8168" t="s">
        <v>23</v>
      </c>
      <c r="F8168" t="s">
        <v>160</v>
      </c>
      <c r="H8168" t="s">
        <v>68</v>
      </c>
    </row>
    <row r="8169" spans="1:10" x14ac:dyDescent="0.3">
      <c r="A8169" t="s">
        <v>11923</v>
      </c>
      <c r="B8169" t="s">
        <v>15035</v>
      </c>
      <c r="D8169">
        <v>1</v>
      </c>
      <c r="E8169" t="s">
        <v>284</v>
      </c>
      <c r="F8169" t="s">
        <v>57</v>
      </c>
    </row>
    <row r="8170" spans="1:10" x14ac:dyDescent="0.3">
      <c r="A8170" t="s">
        <v>13782</v>
      </c>
      <c r="B8170" t="s">
        <v>15036</v>
      </c>
      <c r="D8170">
        <v>2</v>
      </c>
      <c r="E8170" t="s">
        <v>686</v>
      </c>
      <c r="F8170" t="s">
        <v>4403</v>
      </c>
    </row>
    <row r="8171" spans="1:10" x14ac:dyDescent="0.3">
      <c r="A8171" t="s">
        <v>15037</v>
      </c>
      <c r="B8171" t="s">
        <v>12283</v>
      </c>
      <c r="D8171">
        <v>1</v>
      </c>
      <c r="E8171" t="s">
        <v>11</v>
      </c>
      <c r="F8171" t="s">
        <v>3679</v>
      </c>
    </row>
    <row r="8172" spans="1:10" x14ac:dyDescent="0.3">
      <c r="A8172" t="s">
        <v>15038</v>
      </c>
      <c r="B8172" t="s">
        <v>15039</v>
      </c>
      <c r="D8172">
        <v>1</v>
      </c>
      <c r="E8172" t="s">
        <v>23</v>
      </c>
      <c r="F8172" t="s">
        <v>15040</v>
      </c>
    </row>
    <row r="8173" spans="1:10" x14ac:dyDescent="0.3">
      <c r="A8173" t="s">
        <v>15041</v>
      </c>
      <c r="B8173" t="s">
        <v>15042</v>
      </c>
      <c r="D8173">
        <v>2</v>
      </c>
      <c r="E8173" t="s">
        <v>1338</v>
      </c>
      <c r="F8173" t="s">
        <v>9638</v>
      </c>
      <c r="J8173" t="s">
        <v>289</v>
      </c>
    </row>
    <row r="8174" spans="1:10" x14ac:dyDescent="0.3">
      <c r="A8174" t="s">
        <v>15043</v>
      </c>
      <c r="B8174" t="s">
        <v>12443</v>
      </c>
      <c r="D8174">
        <v>1</v>
      </c>
      <c r="E8174" t="s">
        <v>23</v>
      </c>
      <c r="F8174" t="s">
        <v>1867</v>
      </c>
    </row>
    <row r="8175" spans="1:10" x14ac:dyDescent="0.3">
      <c r="A8175" t="s">
        <v>15044</v>
      </c>
      <c r="B8175" t="s">
        <v>15045</v>
      </c>
      <c r="D8175">
        <v>3</v>
      </c>
      <c r="F8175" t="s">
        <v>15046</v>
      </c>
    </row>
    <row r="8176" spans="1:10" x14ac:dyDescent="0.3">
      <c r="A8176" t="s">
        <v>3574</v>
      </c>
      <c r="B8176" t="s">
        <v>15047</v>
      </c>
      <c r="D8176" t="s">
        <v>8478</v>
      </c>
      <c r="E8176" t="s">
        <v>345</v>
      </c>
      <c r="F8176" t="s">
        <v>728</v>
      </c>
      <c r="J8176" t="s">
        <v>548</v>
      </c>
    </row>
    <row r="8177" spans="1:10" x14ac:dyDescent="0.3">
      <c r="A8177" t="s">
        <v>15048</v>
      </c>
      <c r="B8177" t="s">
        <v>5043</v>
      </c>
      <c r="D8177">
        <v>1.5</v>
      </c>
      <c r="E8177" t="s">
        <v>23</v>
      </c>
      <c r="F8177" t="s">
        <v>233</v>
      </c>
      <c r="J8177" t="s">
        <v>289</v>
      </c>
    </row>
    <row r="8178" spans="1:10" x14ac:dyDescent="0.3">
      <c r="A8178" t="s">
        <v>15049</v>
      </c>
      <c r="B8178" t="s">
        <v>15050</v>
      </c>
      <c r="F8178" t="s">
        <v>15050</v>
      </c>
    </row>
    <row r="8179" spans="1:10" x14ac:dyDescent="0.3">
      <c r="A8179" t="s">
        <v>15051</v>
      </c>
      <c r="B8179" t="s">
        <v>15052</v>
      </c>
      <c r="D8179">
        <v>1.5</v>
      </c>
      <c r="E8179" t="s">
        <v>345</v>
      </c>
      <c r="F8179" t="s">
        <v>15053</v>
      </c>
    </row>
    <row r="8180" spans="1:10" x14ac:dyDescent="0.3">
      <c r="A8180" t="s">
        <v>15054</v>
      </c>
      <c r="B8180" t="s">
        <v>3626</v>
      </c>
      <c r="D8180">
        <v>2</v>
      </c>
      <c r="E8180" t="s">
        <v>23</v>
      </c>
      <c r="F8180" t="s">
        <v>1867</v>
      </c>
    </row>
    <row r="8181" spans="1:10" x14ac:dyDescent="0.3">
      <c r="A8181" t="s">
        <v>15055</v>
      </c>
      <c r="B8181" t="s">
        <v>15056</v>
      </c>
      <c r="D8181">
        <v>1</v>
      </c>
      <c r="F8181" t="s">
        <v>1984</v>
      </c>
      <c r="G8181" t="s">
        <v>15057</v>
      </c>
      <c r="J8181" t="s">
        <v>325</v>
      </c>
    </row>
    <row r="8182" spans="1:10" x14ac:dyDescent="0.3">
      <c r="A8182" t="s">
        <v>1845</v>
      </c>
      <c r="B8182" t="s">
        <v>15058</v>
      </c>
      <c r="D8182">
        <v>30</v>
      </c>
      <c r="E8182" t="s">
        <v>29</v>
      </c>
      <c r="F8182" t="s">
        <v>8731</v>
      </c>
    </row>
    <row r="8183" spans="1:10" x14ac:dyDescent="0.3">
      <c r="A8183" t="s">
        <v>15059</v>
      </c>
      <c r="B8183" t="s">
        <v>15060</v>
      </c>
      <c r="D8183">
        <v>6</v>
      </c>
      <c r="E8183" t="s">
        <v>345</v>
      </c>
      <c r="F8183" t="s">
        <v>645</v>
      </c>
      <c r="J8183" t="s">
        <v>15061</v>
      </c>
    </row>
    <row r="8184" spans="1:10" x14ac:dyDescent="0.3">
      <c r="A8184" t="s">
        <v>14273</v>
      </c>
      <c r="B8184" t="s">
        <v>15062</v>
      </c>
      <c r="D8184">
        <v>8</v>
      </c>
      <c r="E8184" t="s">
        <v>23</v>
      </c>
      <c r="F8184" t="s">
        <v>15063</v>
      </c>
    </row>
    <row r="8185" spans="1:10" x14ac:dyDescent="0.3">
      <c r="A8185" t="s">
        <v>15064</v>
      </c>
      <c r="B8185" t="s">
        <v>15065</v>
      </c>
      <c r="D8185">
        <v>1</v>
      </c>
      <c r="E8185" t="s">
        <v>23</v>
      </c>
      <c r="F8185" t="s">
        <v>940</v>
      </c>
    </row>
    <row r="8186" spans="1:10" x14ac:dyDescent="0.3">
      <c r="A8186" t="s">
        <v>15066</v>
      </c>
      <c r="B8186" t="s">
        <v>5634</v>
      </c>
      <c r="D8186">
        <v>2</v>
      </c>
      <c r="E8186" t="s">
        <v>23</v>
      </c>
      <c r="F8186" t="s">
        <v>102</v>
      </c>
    </row>
    <row r="8187" spans="1:10" x14ac:dyDescent="0.3">
      <c r="A8187" t="s">
        <v>15067</v>
      </c>
      <c r="B8187" t="s">
        <v>3407</v>
      </c>
      <c r="D8187">
        <v>1</v>
      </c>
      <c r="E8187" t="s">
        <v>426</v>
      </c>
      <c r="F8187" t="s">
        <v>423</v>
      </c>
    </row>
    <row r="8188" spans="1:10" x14ac:dyDescent="0.3">
      <c r="A8188" t="s">
        <v>15068</v>
      </c>
      <c r="B8188" t="s">
        <v>15069</v>
      </c>
      <c r="D8188">
        <v>1</v>
      </c>
      <c r="E8188" t="s">
        <v>23</v>
      </c>
      <c r="F8188" t="s">
        <v>4924</v>
      </c>
    </row>
    <row r="8189" spans="1:10" x14ac:dyDescent="0.3">
      <c r="A8189" t="s">
        <v>15070</v>
      </c>
      <c r="B8189" t="s">
        <v>3247</v>
      </c>
      <c r="D8189">
        <v>1</v>
      </c>
      <c r="E8189" t="s">
        <v>23</v>
      </c>
      <c r="F8189" t="s">
        <v>1506</v>
      </c>
    </row>
    <row r="8190" spans="1:10" x14ac:dyDescent="0.3">
      <c r="A8190" t="s">
        <v>15071</v>
      </c>
      <c r="B8190" t="s">
        <v>15072</v>
      </c>
      <c r="D8190">
        <v>1</v>
      </c>
      <c r="E8190" t="s">
        <v>11</v>
      </c>
      <c r="F8190" t="s">
        <v>15073</v>
      </c>
    </row>
    <row r="8191" spans="1:10" x14ac:dyDescent="0.3">
      <c r="A8191" t="s">
        <v>15074</v>
      </c>
      <c r="B8191" t="s">
        <v>15075</v>
      </c>
      <c r="D8191">
        <v>2.5</v>
      </c>
      <c r="E8191" t="s">
        <v>23</v>
      </c>
      <c r="F8191" t="s">
        <v>8193</v>
      </c>
    </row>
    <row r="8192" spans="1:10" x14ac:dyDescent="0.3">
      <c r="A8192" t="s">
        <v>15076</v>
      </c>
      <c r="B8192" t="s">
        <v>4380</v>
      </c>
      <c r="D8192">
        <v>3</v>
      </c>
      <c r="E8192" t="s">
        <v>23</v>
      </c>
      <c r="F8192" t="s">
        <v>64</v>
      </c>
    </row>
    <row r="8193" spans="1:10" x14ac:dyDescent="0.3">
      <c r="A8193" t="s">
        <v>15077</v>
      </c>
      <c r="B8193" t="s">
        <v>15078</v>
      </c>
      <c r="D8193">
        <v>2</v>
      </c>
      <c r="E8193" t="s">
        <v>345</v>
      </c>
      <c r="F8193" t="s">
        <v>1445</v>
      </c>
    </row>
    <row r="8194" spans="1:10" x14ac:dyDescent="0.3">
      <c r="A8194" t="s">
        <v>15079</v>
      </c>
      <c r="B8194" t="s">
        <v>15080</v>
      </c>
      <c r="D8194">
        <v>3</v>
      </c>
      <c r="E8194" t="s">
        <v>91</v>
      </c>
      <c r="F8194" t="s">
        <v>2132</v>
      </c>
    </row>
    <row r="8195" spans="1:10" x14ac:dyDescent="0.3">
      <c r="A8195" t="s">
        <v>15081</v>
      </c>
      <c r="B8195" t="s">
        <v>15082</v>
      </c>
      <c r="D8195">
        <v>125</v>
      </c>
      <c r="E8195" t="s">
        <v>29</v>
      </c>
      <c r="F8195" t="s">
        <v>9243</v>
      </c>
    </row>
    <row r="8196" spans="1:10" x14ac:dyDescent="0.3">
      <c r="A8196" t="s">
        <v>359</v>
      </c>
      <c r="B8196" t="s">
        <v>15083</v>
      </c>
      <c r="D8196">
        <v>0.5</v>
      </c>
      <c r="F8196" t="s">
        <v>377</v>
      </c>
    </row>
    <row r="8197" spans="1:10" x14ac:dyDescent="0.3">
      <c r="A8197" t="s">
        <v>15084</v>
      </c>
      <c r="B8197" t="s">
        <v>9418</v>
      </c>
      <c r="D8197">
        <v>0.5</v>
      </c>
      <c r="E8197" t="s">
        <v>23</v>
      </c>
      <c r="F8197" t="s">
        <v>1431</v>
      </c>
    </row>
    <row r="8198" spans="1:10" x14ac:dyDescent="0.3">
      <c r="A8198" t="s">
        <v>4040</v>
      </c>
      <c r="B8198" t="s">
        <v>15085</v>
      </c>
      <c r="D8198">
        <v>1</v>
      </c>
      <c r="E8198" t="s">
        <v>23</v>
      </c>
      <c r="F8198" t="s">
        <v>15086</v>
      </c>
      <c r="J8198" t="s">
        <v>1931</v>
      </c>
    </row>
    <row r="8199" spans="1:10" x14ac:dyDescent="0.3">
      <c r="A8199" t="s">
        <v>15087</v>
      </c>
      <c r="B8199" t="s">
        <v>5639</v>
      </c>
      <c r="D8199">
        <v>1</v>
      </c>
      <c r="E8199" t="s">
        <v>1671</v>
      </c>
      <c r="F8199" t="s">
        <v>1056</v>
      </c>
      <c r="J8199" t="s">
        <v>248</v>
      </c>
    </row>
    <row r="8200" spans="1:10" x14ac:dyDescent="0.3">
      <c r="A8200" t="s">
        <v>174</v>
      </c>
      <c r="B8200" t="s">
        <v>6027</v>
      </c>
      <c r="D8200">
        <v>4</v>
      </c>
      <c r="E8200" t="s">
        <v>23</v>
      </c>
      <c r="F8200" t="s">
        <v>64</v>
      </c>
    </row>
    <row r="8201" spans="1:10" x14ac:dyDescent="0.3">
      <c r="A8201" t="s">
        <v>9716</v>
      </c>
      <c r="B8201" t="s">
        <v>15088</v>
      </c>
      <c r="D8201">
        <v>0.5</v>
      </c>
      <c r="E8201" t="s">
        <v>227</v>
      </c>
      <c r="F8201" t="s">
        <v>14628</v>
      </c>
    </row>
    <row r="8202" spans="1:10" x14ac:dyDescent="0.3">
      <c r="A8202" t="s">
        <v>3698</v>
      </c>
      <c r="B8202" t="s">
        <v>15089</v>
      </c>
      <c r="D8202">
        <v>10.5</v>
      </c>
      <c r="E8202" t="s">
        <v>23</v>
      </c>
      <c r="F8202" t="s">
        <v>3274</v>
      </c>
    </row>
    <row r="8203" spans="1:10" x14ac:dyDescent="0.3">
      <c r="A8203" t="s">
        <v>15090</v>
      </c>
      <c r="B8203" t="s">
        <v>773</v>
      </c>
      <c r="D8203">
        <v>1</v>
      </c>
      <c r="E8203" t="s">
        <v>11</v>
      </c>
      <c r="F8203" t="s">
        <v>88</v>
      </c>
    </row>
    <row r="8204" spans="1:10" x14ac:dyDescent="0.3">
      <c r="A8204" t="s">
        <v>9480</v>
      </c>
      <c r="B8204" t="s">
        <v>15091</v>
      </c>
      <c r="D8204">
        <v>170</v>
      </c>
      <c r="E8204" t="s">
        <v>10800</v>
      </c>
      <c r="F8204" t="s">
        <v>413</v>
      </c>
      <c r="G8204" t="s">
        <v>1014</v>
      </c>
    </row>
    <row r="8205" spans="1:10" x14ac:dyDescent="0.3">
      <c r="A8205" t="s">
        <v>5933</v>
      </c>
      <c r="B8205" t="s">
        <v>804</v>
      </c>
      <c r="D8205">
        <v>1</v>
      </c>
      <c r="E8205" t="s">
        <v>37</v>
      </c>
      <c r="F8205" t="s">
        <v>160</v>
      </c>
    </row>
    <row r="8206" spans="1:10" x14ac:dyDescent="0.3">
      <c r="A8206" t="s">
        <v>15092</v>
      </c>
      <c r="B8206" t="s">
        <v>15093</v>
      </c>
      <c r="F8206" t="s">
        <v>15093</v>
      </c>
    </row>
    <row r="8207" spans="1:10" x14ac:dyDescent="0.3">
      <c r="A8207" t="s">
        <v>15094</v>
      </c>
      <c r="B8207" t="s">
        <v>15095</v>
      </c>
      <c r="D8207">
        <v>1.5</v>
      </c>
      <c r="E8207" t="s">
        <v>23</v>
      </c>
      <c r="F8207" t="s">
        <v>877</v>
      </c>
    </row>
    <row r="8208" spans="1:10" x14ac:dyDescent="0.3">
      <c r="A8208" t="s">
        <v>15096</v>
      </c>
      <c r="B8208" t="s">
        <v>15097</v>
      </c>
      <c r="D8208">
        <v>0.25</v>
      </c>
      <c r="E8208" t="s">
        <v>11</v>
      </c>
      <c r="F8208" t="s">
        <v>15098</v>
      </c>
    </row>
    <row r="8209" spans="1:10" x14ac:dyDescent="0.3">
      <c r="A8209" t="s">
        <v>11062</v>
      </c>
      <c r="B8209" t="s">
        <v>15099</v>
      </c>
      <c r="D8209">
        <v>2</v>
      </c>
      <c r="E8209" t="s">
        <v>189</v>
      </c>
      <c r="F8209" t="s">
        <v>15100</v>
      </c>
      <c r="J8209" t="s">
        <v>20</v>
      </c>
    </row>
    <row r="8210" spans="1:10" x14ac:dyDescent="0.3">
      <c r="A8210" t="s">
        <v>15101</v>
      </c>
      <c r="B8210" t="s">
        <v>15102</v>
      </c>
      <c r="D8210">
        <v>70</v>
      </c>
      <c r="E8210" t="s">
        <v>29</v>
      </c>
      <c r="F8210" t="s">
        <v>416</v>
      </c>
    </row>
    <row r="8211" spans="1:10" x14ac:dyDescent="0.3">
      <c r="A8211" t="s">
        <v>3440</v>
      </c>
      <c r="B8211" t="s">
        <v>743</v>
      </c>
      <c r="F8211" t="s">
        <v>743</v>
      </c>
    </row>
    <row r="8212" spans="1:10" x14ac:dyDescent="0.3">
      <c r="A8212" t="s">
        <v>8619</v>
      </c>
      <c r="B8212" t="s">
        <v>15103</v>
      </c>
      <c r="D8212">
        <v>2</v>
      </c>
      <c r="E8212" t="s">
        <v>23</v>
      </c>
      <c r="F8212" t="s">
        <v>292</v>
      </c>
    </row>
    <row r="8213" spans="1:10" x14ac:dyDescent="0.3">
      <c r="A8213" t="s">
        <v>15104</v>
      </c>
      <c r="B8213" t="s">
        <v>8107</v>
      </c>
      <c r="D8213">
        <v>1</v>
      </c>
      <c r="E8213" t="s">
        <v>11</v>
      </c>
      <c r="F8213" t="s">
        <v>8108</v>
      </c>
    </row>
    <row r="8214" spans="1:10" x14ac:dyDescent="0.3">
      <c r="A8214" t="s">
        <v>15105</v>
      </c>
      <c r="B8214" t="s">
        <v>5012</v>
      </c>
      <c r="D8214">
        <v>0.75</v>
      </c>
      <c r="E8214" t="s">
        <v>37</v>
      </c>
      <c r="F8214" t="s">
        <v>494</v>
      </c>
    </row>
    <row r="8215" spans="1:10" x14ac:dyDescent="0.3">
      <c r="A8215" t="s">
        <v>7372</v>
      </c>
      <c r="B8215" t="s">
        <v>15106</v>
      </c>
      <c r="D8215">
        <v>15</v>
      </c>
      <c r="E8215" t="s">
        <v>29</v>
      </c>
      <c r="F8215" t="s">
        <v>15107</v>
      </c>
    </row>
    <row r="8216" spans="1:10" x14ac:dyDescent="0.3">
      <c r="A8216" t="s">
        <v>15108</v>
      </c>
      <c r="B8216" t="s">
        <v>15109</v>
      </c>
      <c r="D8216">
        <v>0.25</v>
      </c>
      <c r="E8216" t="s">
        <v>37</v>
      </c>
      <c r="F8216" t="s">
        <v>15110</v>
      </c>
      <c r="J8216" t="s">
        <v>15111</v>
      </c>
    </row>
    <row r="8217" spans="1:10" x14ac:dyDescent="0.3">
      <c r="A8217" t="s">
        <v>4722</v>
      </c>
      <c r="B8217" t="s">
        <v>3865</v>
      </c>
      <c r="D8217">
        <v>2</v>
      </c>
      <c r="E8217" t="s">
        <v>227</v>
      </c>
      <c r="F8217" t="s">
        <v>413</v>
      </c>
      <c r="G8217" t="s">
        <v>1571</v>
      </c>
    </row>
    <row r="8218" spans="1:10" x14ac:dyDescent="0.3">
      <c r="A8218" t="s">
        <v>3716</v>
      </c>
      <c r="B8218" t="s">
        <v>15112</v>
      </c>
      <c r="D8218">
        <v>0.33</v>
      </c>
      <c r="E8218" t="s">
        <v>37</v>
      </c>
      <c r="F8218" t="s">
        <v>4317</v>
      </c>
      <c r="J8218" t="s">
        <v>15113</v>
      </c>
    </row>
    <row r="8219" spans="1:10" x14ac:dyDescent="0.3">
      <c r="A8219" t="s">
        <v>15114</v>
      </c>
      <c r="B8219" t="s">
        <v>15115</v>
      </c>
      <c r="D8219">
        <v>1.5</v>
      </c>
      <c r="E8219" t="s">
        <v>176</v>
      </c>
      <c r="F8219" t="s">
        <v>10500</v>
      </c>
    </row>
    <row r="8220" spans="1:10" x14ac:dyDescent="0.3">
      <c r="A8220" t="s">
        <v>4800</v>
      </c>
      <c r="B8220" t="s">
        <v>15116</v>
      </c>
      <c r="D8220">
        <v>1.5</v>
      </c>
      <c r="E8220" t="s">
        <v>345</v>
      </c>
      <c r="F8220" t="s">
        <v>741</v>
      </c>
      <c r="G8220" t="s">
        <v>167</v>
      </c>
      <c r="H8220" t="s">
        <v>168</v>
      </c>
      <c r="J8220" t="s">
        <v>325</v>
      </c>
    </row>
    <row r="8221" spans="1:10" x14ac:dyDescent="0.3">
      <c r="A8221" t="s">
        <v>10557</v>
      </c>
      <c r="B8221" t="s">
        <v>15117</v>
      </c>
      <c r="D8221">
        <v>0.5</v>
      </c>
      <c r="E8221" t="s">
        <v>2210</v>
      </c>
      <c r="F8221" t="s">
        <v>602</v>
      </c>
    </row>
    <row r="8222" spans="1:10" x14ac:dyDescent="0.3">
      <c r="A8222" t="s">
        <v>4991</v>
      </c>
      <c r="B8222" t="s">
        <v>15118</v>
      </c>
      <c r="D8222">
        <v>0.25</v>
      </c>
      <c r="E8222" t="s">
        <v>361</v>
      </c>
      <c r="F8222" t="s">
        <v>2736</v>
      </c>
    </row>
    <row r="8223" spans="1:10" x14ac:dyDescent="0.3">
      <c r="A8223" t="s">
        <v>15119</v>
      </c>
      <c r="B8223" t="s">
        <v>4085</v>
      </c>
      <c r="D8223">
        <v>0.75</v>
      </c>
      <c r="E8223" t="s">
        <v>23</v>
      </c>
      <c r="F8223" t="s">
        <v>1718</v>
      </c>
    </row>
    <row r="8224" spans="1:10" x14ac:dyDescent="0.3">
      <c r="A8224" t="s">
        <v>15120</v>
      </c>
      <c r="B8224" t="s">
        <v>15121</v>
      </c>
      <c r="D8224">
        <v>3</v>
      </c>
      <c r="E8224" t="s">
        <v>7283</v>
      </c>
      <c r="F8224" t="s">
        <v>15122</v>
      </c>
      <c r="I8224" t="s">
        <v>3945</v>
      </c>
    </row>
    <row r="8225" spans="1:10" x14ac:dyDescent="0.3">
      <c r="A8225" t="s">
        <v>14395</v>
      </c>
      <c r="B8225" t="s">
        <v>152</v>
      </c>
      <c r="F8225" t="s">
        <v>152</v>
      </c>
    </row>
    <row r="8226" spans="1:10" x14ac:dyDescent="0.3">
      <c r="A8226" t="s">
        <v>15123</v>
      </c>
      <c r="B8226" t="s">
        <v>6614</v>
      </c>
      <c r="F8226" t="s">
        <v>6614</v>
      </c>
    </row>
    <row r="8227" spans="1:10" x14ac:dyDescent="0.3">
      <c r="A8227" t="s">
        <v>15124</v>
      </c>
      <c r="B8227" t="s">
        <v>7871</v>
      </c>
      <c r="E8227" t="s">
        <v>33</v>
      </c>
      <c r="F8227" t="s">
        <v>1056</v>
      </c>
      <c r="J8227" t="s">
        <v>2932</v>
      </c>
    </row>
    <row r="8228" spans="1:10" x14ac:dyDescent="0.3">
      <c r="A8228" t="s">
        <v>15125</v>
      </c>
      <c r="B8228" t="s">
        <v>9906</v>
      </c>
      <c r="D8228">
        <v>5</v>
      </c>
      <c r="E8228" t="s">
        <v>23</v>
      </c>
      <c r="F8228" t="s">
        <v>3132</v>
      </c>
    </row>
    <row r="8229" spans="1:10" x14ac:dyDescent="0.3">
      <c r="A8229" t="s">
        <v>15126</v>
      </c>
      <c r="B8229" t="s">
        <v>15127</v>
      </c>
      <c r="E8229" t="s">
        <v>361</v>
      </c>
      <c r="F8229" t="s">
        <v>15128</v>
      </c>
      <c r="J8229" t="s">
        <v>15129</v>
      </c>
    </row>
    <row r="8230" spans="1:10" x14ac:dyDescent="0.3">
      <c r="A8230" t="s">
        <v>6092</v>
      </c>
      <c r="B8230" t="s">
        <v>15130</v>
      </c>
      <c r="D8230">
        <v>0.25</v>
      </c>
      <c r="E8230" t="s">
        <v>284</v>
      </c>
      <c r="F8230" t="s">
        <v>1644</v>
      </c>
      <c r="J8230" t="s">
        <v>4067</v>
      </c>
    </row>
    <row r="8231" spans="1:10" x14ac:dyDescent="0.3">
      <c r="A8231" t="s">
        <v>11122</v>
      </c>
      <c r="B8231" t="s">
        <v>15131</v>
      </c>
      <c r="D8231">
        <v>0.5</v>
      </c>
      <c r="E8231" t="s">
        <v>11</v>
      </c>
      <c r="F8231" t="s">
        <v>30</v>
      </c>
      <c r="H8231" t="s">
        <v>68</v>
      </c>
    </row>
    <row r="8232" spans="1:10" x14ac:dyDescent="0.3">
      <c r="A8232" t="s">
        <v>4735</v>
      </c>
      <c r="B8232" t="s">
        <v>15132</v>
      </c>
      <c r="D8232">
        <v>0.25</v>
      </c>
      <c r="E8232" t="s">
        <v>2191</v>
      </c>
      <c r="F8232" t="s">
        <v>15133</v>
      </c>
      <c r="J8232" t="s">
        <v>15134</v>
      </c>
    </row>
    <row r="8233" spans="1:10" x14ac:dyDescent="0.3">
      <c r="A8233" t="s">
        <v>6299</v>
      </c>
      <c r="B8233" t="s">
        <v>773</v>
      </c>
      <c r="D8233">
        <v>1</v>
      </c>
      <c r="E8233" t="s">
        <v>11</v>
      </c>
      <c r="F8233" t="s">
        <v>88</v>
      </c>
    </row>
    <row r="8234" spans="1:10" x14ac:dyDescent="0.3">
      <c r="A8234" t="s">
        <v>13054</v>
      </c>
      <c r="B8234" t="s">
        <v>15135</v>
      </c>
      <c r="D8234">
        <v>2</v>
      </c>
      <c r="E8234" t="s">
        <v>120</v>
      </c>
      <c r="F8234" t="s">
        <v>1715</v>
      </c>
    </row>
    <row r="8235" spans="1:10" x14ac:dyDescent="0.3">
      <c r="A8235" t="s">
        <v>15136</v>
      </c>
      <c r="B8235" t="s">
        <v>15137</v>
      </c>
      <c r="D8235">
        <v>1.5</v>
      </c>
      <c r="E8235" t="s">
        <v>23</v>
      </c>
      <c r="F8235" t="s">
        <v>1780</v>
      </c>
    </row>
    <row r="8236" spans="1:10" x14ac:dyDescent="0.3">
      <c r="A8236" t="s">
        <v>8639</v>
      </c>
      <c r="B8236" t="s">
        <v>15138</v>
      </c>
      <c r="D8236">
        <v>1</v>
      </c>
      <c r="E8236" t="s">
        <v>23</v>
      </c>
      <c r="F8236" t="s">
        <v>15139</v>
      </c>
    </row>
    <row r="8237" spans="1:10" x14ac:dyDescent="0.3">
      <c r="A8237" t="s">
        <v>11745</v>
      </c>
      <c r="B8237" t="s">
        <v>15140</v>
      </c>
      <c r="F8237" t="s">
        <v>15140</v>
      </c>
    </row>
    <row r="8238" spans="1:10" x14ac:dyDescent="0.3">
      <c r="A8238" t="s">
        <v>6130</v>
      </c>
      <c r="B8238" t="s">
        <v>15141</v>
      </c>
      <c r="D8238">
        <v>1</v>
      </c>
      <c r="E8238" t="s">
        <v>2210</v>
      </c>
      <c r="F8238" t="s">
        <v>105</v>
      </c>
    </row>
    <row r="8239" spans="1:10" x14ac:dyDescent="0.3">
      <c r="A8239" t="s">
        <v>15142</v>
      </c>
      <c r="B8239" t="s">
        <v>15143</v>
      </c>
      <c r="D8239">
        <v>0.5</v>
      </c>
      <c r="E8239" t="s">
        <v>11</v>
      </c>
      <c r="F8239" t="s">
        <v>15</v>
      </c>
    </row>
    <row r="8240" spans="1:10" x14ac:dyDescent="0.3">
      <c r="A8240" t="s">
        <v>15144</v>
      </c>
      <c r="B8240" t="s">
        <v>15145</v>
      </c>
      <c r="D8240">
        <v>750</v>
      </c>
      <c r="E8240" t="s">
        <v>1998</v>
      </c>
      <c r="F8240" t="s">
        <v>15146</v>
      </c>
    </row>
    <row r="8241" spans="1:10" x14ac:dyDescent="0.3">
      <c r="A8241" t="s">
        <v>3487</v>
      </c>
      <c r="B8241" t="s">
        <v>4147</v>
      </c>
      <c r="D8241">
        <v>3</v>
      </c>
      <c r="E8241" t="s">
        <v>23</v>
      </c>
      <c r="F8241" t="s">
        <v>57</v>
      </c>
    </row>
    <row r="8242" spans="1:10" x14ac:dyDescent="0.3">
      <c r="A8242" t="s">
        <v>8715</v>
      </c>
      <c r="B8242" t="s">
        <v>923</v>
      </c>
      <c r="D8242">
        <v>1.5</v>
      </c>
      <c r="E8242" t="s">
        <v>23</v>
      </c>
      <c r="F8242" t="s">
        <v>233</v>
      </c>
    </row>
    <row r="8243" spans="1:10" x14ac:dyDescent="0.3">
      <c r="A8243" t="s">
        <v>8509</v>
      </c>
      <c r="B8243" t="s">
        <v>15147</v>
      </c>
      <c r="D8243">
        <v>50</v>
      </c>
      <c r="E8243" t="s">
        <v>29</v>
      </c>
      <c r="F8243" t="s">
        <v>281</v>
      </c>
      <c r="J8243" t="s">
        <v>289</v>
      </c>
    </row>
    <row r="8244" spans="1:10" x14ac:dyDescent="0.3">
      <c r="A8244" t="s">
        <v>8621</v>
      </c>
      <c r="B8244" t="s">
        <v>15148</v>
      </c>
      <c r="D8244">
        <v>50</v>
      </c>
      <c r="E8244" t="s">
        <v>29</v>
      </c>
      <c r="F8244" t="s">
        <v>15149</v>
      </c>
    </row>
    <row r="8245" spans="1:10" x14ac:dyDescent="0.3">
      <c r="A8245" t="s">
        <v>8629</v>
      </c>
      <c r="B8245" t="s">
        <v>15150</v>
      </c>
      <c r="D8245">
        <v>20</v>
      </c>
      <c r="E8245" t="s">
        <v>29</v>
      </c>
      <c r="F8245" t="s">
        <v>1431</v>
      </c>
    </row>
    <row r="8246" spans="1:10" x14ac:dyDescent="0.3">
      <c r="A8246" t="s">
        <v>372</v>
      </c>
      <c r="B8246" t="s">
        <v>15151</v>
      </c>
      <c r="D8246">
        <v>30</v>
      </c>
      <c r="E8246" t="s">
        <v>29</v>
      </c>
      <c r="F8246" t="s">
        <v>328</v>
      </c>
    </row>
    <row r="8247" spans="1:10" x14ac:dyDescent="0.3">
      <c r="A8247" t="s">
        <v>2017</v>
      </c>
      <c r="B8247" t="s">
        <v>15152</v>
      </c>
      <c r="D8247">
        <v>0.12</v>
      </c>
      <c r="E8247" t="s">
        <v>361</v>
      </c>
      <c r="F8247" t="s">
        <v>15153</v>
      </c>
    </row>
    <row r="8248" spans="1:10" x14ac:dyDescent="0.3">
      <c r="A8248" t="s">
        <v>11868</v>
      </c>
      <c r="B8248" t="s">
        <v>15154</v>
      </c>
      <c r="D8248">
        <v>1</v>
      </c>
      <c r="E8248" t="s">
        <v>206</v>
      </c>
      <c r="F8248" t="s">
        <v>728</v>
      </c>
    </row>
    <row r="8249" spans="1:10" x14ac:dyDescent="0.3">
      <c r="A8249" t="s">
        <v>10962</v>
      </c>
      <c r="B8249" t="s">
        <v>15155</v>
      </c>
      <c r="F8249" t="s">
        <v>253</v>
      </c>
      <c r="J8249" t="s">
        <v>15156</v>
      </c>
    </row>
    <row r="8250" spans="1:10" x14ac:dyDescent="0.3">
      <c r="A8250" t="s">
        <v>3356</v>
      </c>
      <c r="B8250" t="s">
        <v>15157</v>
      </c>
      <c r="D8250">
        <v>1.5</v>
      </c>
      <c r="E8250" t="s">
        <v>23</v>
      </c>
      <c r="F8250" t="s">
        <v>5344</v>
      </c>
    </row>
    <row r="8251" spans="1:10" x14ac:dyDescent="0.3">
      <c r="A8251" t="s">
        <v>15158</v>
      </c>
      <c r="B8251" t="s">
        <v>15159</v>
      </c>
      <c r="D8251">
        <v>2</v>
      </c>
      <c r="E8251" t="s">
        <v>91</v>
      </c>
      <c r="F8251" t="s">
        <v>1908</v>
      </c>
    </row>
    <row r="8252" spans="1:10" x14ac:dyDescent="0.3">
      <c r="A8252" t="s">
        <v>15160</v>
      </c>
      <c r="B8252" t="s">
        <v>15161</v>
      </c>
      <c r="D8252">
        <v>3</v>
      </c>
      <c r="E8252" t="s">
        <v>189</v>
      </c>
      <c r="F8252" t="s">
        <v>2214</v>
      </c>
    </row>
    <row r="8253" spans="1:10" x14ac:dyDescent="0.3">
      <c r="A8253" t="s">
        <v>11975</v>
      </c>
      <c r="B8253" t="s">
        <v>12228</v>
      </c>
      <c r="D8253">
        <v>1.5</v>
      </c>
      <c r="E8253" t="s">
        <v>345</v>
      </c>
      <c r="F8253" t="s">
        <v>12229</v>
      </c>
    </row>
    <row r="8254" spans="1:10" x14ac:dyDescent="0.3">
      <c r="A8254" t="s">
        <v>15162</v>
      </c>
      <c r="B8254" t="s">
        <v>895</v>
      </c>
      <c r="D8254">
        <v>1</v>
      </c>
      <c r="E8254" t="s">
        <v>11</v>
      </c>
      <c r="F8254" t="s">
        <v>3410</v>
      </c>
    </row>
    <row r="8255" spans="1:10" x14ac:dyDescent="0.3">
      <c r="A8255" t="s">
        <v>3771</v>
      </c>
      <c r="B8255" t="s">
        <v>15163</v>
      </c>
      <c r="D8255">
        <v>0.5</v>
      </c>
      <c r="E8255" t="s">
        <v>37</v>
      </c>
      <c r="F8255" t="s">
        <v>4904</v>
      </c>
      <c r="J8255" t="s">
        <v>14149</v>
      </c>
    </row>
    <row r="8256" spans="1:10" x14ac:dyDescent="0.3">
      <c r="A8256" t="s">
        <v>7203</v>
      </c>
      <c r="B8256" t="s">
        <v>15164</v>
      </c>
      <c r="D8256">
        <v>0.5</v>
      </c>
      <c r="E8256" t="s">
        <v>23</v>
      </c>
      <c r="F8256" t="s">
        <v>5046</v>
      </c>
    </row>
    <row r="8257" spans="1:10" x14ac:dyDescent="0.3">
      <c r="A8257" t="s">
        <v>11161</v>
      </c>
      <c r="B8257" t="s">
        <v>15165</v>
      </c>
      <c r="D8257" t="s">
        <v>5342</v>
      </c>
      <c r="E8257" t="s">
        <v>23</v>
      </c>
      <c r="F8257" t="s">
        <v>1011</v>
      </c>
      <c r="I8257" t="s">
        <v>3058</v>
      </c>
    </row>
    <row r="8258" spans="1:10" x14ac:dyDescent="0.3">
      <c r="A8258" t="s">
        <v>15166</v>
      </c>
      <c r="B8258" t="s">
        <v>15167</v>
      </c>
      <c r="D8258">
        <v>50</v>
      </c>
      <c r="E8258" t="s">
        <v>29</v>
      </c>
      <c r="F8258" t="s">
        <v>6155</v>
      </c>
      <c r="J8258" t="s">
        <v>15168</v>
      </c>
    </row>
    <row r="8259" spans="1:10" x14ac:dyDescent="0.3">
      <c r="A8259" t="s">
        <v>5869</v>
      </c>
      <c r="B8259" t="s">
        <v>4434</v>
      </c>
      <c r="D8259">
        <v>3</v>
      </c>
      <c r="E8259" t="s">
        <v>345</v>
      </c>
      <c r="F8259" t="s">
        <v>516</v>
      </c>
    </row>
    <row r="8260" spans="1:10" x14ac:dyDescent="0.3">
      <c r="A8260" t="s">
        <v>12652</v>
      </c>
      <c r="B8260" t="s">
        <v>15169</v>
      </c>
      <c r="D8260">
        <v>1</v>
      </c>
      <c r="E8260" t="s">
        <v>18</v>
      </c>
      <c r="F8260" t="s">
        <v>932</v>
      </c>
      <c r="J8260" t="s">
        <v>3025</v>
      </c>
    </row>
    <row r="8261" spans="1:10" x14ac:dyDescent="0.3">
      <c r="A8261" t="s">
        <v>15170</v>
      </c>
      <c r="B8261" t="s">
        <v>15171</v>
      </c>
      <c r="D8261">
        <v>2</v>
      </c>
      <c r="E8261" t="s">
        <v>91</v>
      </c>
      <c r="F8261" t="s">
        <v>15172</v>
      </c>
    </row>
    <row r="8262" spans="1:10" x14ac:dyDescent="0.3">
      <c r="A8262" t="s">
        <v>15173</v>
      </c>
      <c r="B8262" t="s">
        <v>6718</v>
      </c>
      <c r="D8262">
        <v>0.75</v>
      </c>
      <c r="E8262" t="s">
        <v>206</v>
      </c>
      <c r="F8262" t="s">
        <v>81</v>
      </c>
    </row>
    <row r="8263" spans="1:10" x14ac:dyDescent="0.3">
      <c r="A8263" t="s">
        <v>15174</v>
      </c>
      <c r="B8263" t="s">
        <v>15175</v>
      </c>
      <c r="D8263">
        <v>0.75</v>
      </c>
      <c r="E8263" t="s">
        <v>37</v>
      </c>
      <c r="F8263" t="s">
        <v>15176</v>
      </c>
    </row>
    <row r="8264" spans="1:10" x14ac:dyDescent="0.3">
      <c r="A8264" t="s">
        <v>12606</v>
      </c>
      <c r="B8264" t="s">
        <v>15177</v>
      </c>
      <c r="D8264">
        <v>4</v>
      </c>
      <c r="E8264" t="s">
        <v>345</v>
      </c>
      <c r="F8264" t="s">
        <v>15178</v>
      </c>
      <c r="G8264" t="s">
        <v>15179</v>
      </c>
      <c r="H8264" t="s">
        <v>68</v>
      </c>
      <c r="J8264" t="s">
        <v>2963</v>
      </c>
    </row>
    <row r="8265" spans="1:10" x14ac:dyDescent="0.3">
      <c r="A8265" t="s">
        <v>15180</v>
      </c>
      <c r="B8265" t="s">
        <v>15181</v>
      </c>
      <c r="D8265">
        <v>0.5</v>
      </c>
      <c r="E8265" t="s">
        <v>284</v>
      </c>
      <c r="F8265" t="s">
        <v>5775</v>
      </c>
    </row>
    <row r="8266" spans="1:10" x14ac:dyDescent="0.3">
      <c r="A8266" t="s">
        <v>7720</v>
      </c>
      <c r="B8266" t="s">
        <v>10248</v>
      </c>
      <c r="D8266">
        <v>3</v>
      </c>
      <c r="E8266" t="s">
        <v>835</v>
      </c>
      <c r="F8266" t="s">
        <v>10249</v>
      </c>
    </row>
    <row r="8267" spans="1:10" x14ac:dyDescent="0.3">
      <c r="A8267" t="s">
        <v>14895</v>
      </c>
      <c r="B8267" t="s">
        <v>10610</v>
      </c>
      <c r="D8267">
        <v>1</v>
      </c>
      <c r="E8267" t="s">
        <v>1785</v>
      </c>
      <c r="F8267" t="s">
        <v>738</v>
      </c>
    </row>
    <row r="8268" spans="1:10" x14ac:dyDescent="0.3">
      <c r="A8268" t="s">
        <v>11469</v>
      </c>
      <c r="B8268" t="s">
        <v>4220</v>
      </c>
      <c r="D8268">
        <v>2</v>
      </c>
      <c r="E8268" t="s">
        <v>23</v>
      </c>
      <c r="F8268" t="s">
        <v>487</v>
      </c>
    </row>
    <row r="8269" spans="1:10" x14ac:dyDescent="0.3">
      <c r="A8269" t="s">
        <v>15182</v>
      </c>
      <c r="B8269" t="s">
        <v>15183</v>
      </c>
      <c r="F8269" t="s">
        <v>15183</v>
      </c>
    </row>
    <row r="8270" spans="1:10" x14ac:dyDescent="0.3">
      <c r="A8270" t="s">
        <v>4937</v>
      </c>
      <c r="B8270" t="s">
        <v>15184</v>
      </c>
      <c r="D8270">
        <v>0.33</v>
      </c>
      <c r="E8270" t="s">
        <v>23</v>
      </c>
      <c r="F8270" t="s">
        <v>1188</v>
      </c>
    </row>
    <row r="8271" spans="1:10" x14ac:dyDescent="0.3">
      <c r="A8271" t="s">
        <v>9819</v>
      </c>
      <c r="B8271" t="s">
        <v>15185</v>
      </c>
      <c r="D8271">
        <v>0.5</v>
      </c>
      <c r="E8271" t="s">
        <v>91</v>
      </c>
      <c r="F8271" t="s">
        <v>15186</v>
      </c>
    </row>
    <row r="8272" spans="1:10" x14ac:dyDescent="0.3">
      <c r="A8272" t="s">
        <v>15187</v>
      </c>
      <c r="B8272" t="s">
        <v>15188</v>
      </c>
      <c r="D8272">
        <v>0.75</v>
      </c>
      <c r="E8272" t="s">
        <v>37</v>
      </c>
      <c r="F8272" t="s">
        <v>8653</v>
      </c>
      <c r="J8272" t="s">
        <v>8654</v>
      </c>
    </row>
    <row r="8273" spans="1:10" x14ac:dyDescent="0.3">
      <c r="A8273" t="s">
        <v>15189</v>
      </c>
      <c r="B8273" t="s">
        <v>15190</v>
      </c>
      <c r="D8273">
        <v>1</v>
      </c>
      <c r="F8273" t="s">
        <v>1911</v>
      </c>
      <c r="G8273" t="s">
        <v>15191</v>
      </c>
      <c r="J8273" t="s">
        <v>2963</v>
      </c>
    </row>
    <row r="8274" spans="1:10" x14ac:dyDescent="0.3">
      <c r="A8274" t="s">
        <v>4010</v>
      </c>
      <c r="B8274" t="s">
        <v>333</v>
      </c>
      <c r="F8274" t="s">
        <v>333</v>
      </c>
    </row>
    <row r="8275" spans="1:10" x14ac:dyDescent="0.3">
      <c r="A8275" t="s">
        <v>15192</v>
      </c>
      <c r="B8275" t="s">
        <v>15193</v>
      </c>
      <c r="D8275">
        <v>12.5</v>
      </c>
      <c r="E8275" t="s">
        <v>29</v>
      </c>
      <c r="F8275" t="s">
        <v>3993</v>
      </c>
    </row>
    <row r="8276" spans="1:10" x14ac:dyDescent="0.3">
      <c r="A8276" t="s">
        <v>15194</v>
      </c>
      <c r="B8276" t="s">
        <v>968</v>
      </c>
      <c r="D8276">
        <v>1</v>
      </c>
      <c r="E8276" t="s">
        <v>23</v>
      </c>
      <c r="F8276" t="s">
        <v>199</v>
      </c>
    </row>
    <row r="8277" spans="1:10" x14ac:dyDescent="0.3">
      <c r="A8277" t="s">
        <v>15195</v>
      </c>
      <c r="B8277" t="s">
        <v>15196</v>
      </c>
      <c r="D8277">
        <v>3</v>
      </c>
      <c r="E8277" t="s">
        <v>345</v>
      </c>
      <c r="F8277" t="s">
        <v>547</v>
      </c>
    </row>
    <row r="8278" spans="1:10" x14ac:dyDescent="0.3">
      <c r="A8278" t="s">
        <v>15197</v>
      </c>
      <c r="B8278" t="s">
        <v>15198</v>
      </c>
      <c r="D8278">
        <v>0.5</v>
      </c>
      <c r="E8278" t="s">
        <v>2210</v>
      </c>
      <c r="F8278" t="s">
        <v>2955</v>
      </c>
    </row>
    <row r="8279" spans="1:10" x14ac:dyDescent="0.3">
      <c r="A8279" t="s">
        <v>15199</v>
      </c>
      <c r="B8279" t="s">
        <v>3580</v>
      </c>
      <c r="D8279">
        <v>0.5</v>
      </c>
      <c r="E8279" t="s">
        <v>23</v>
      </c>
      <c r="F8279" t="s">
        <v>380</v>
      </c>
    </row>
    <row r="8280" spans="1:10" x14ac:dyDescent="0.3">
      <c r="A8280" t="s">
        <v>15200</v>
      </c>
      <c r="B8280" t="s">
        <v>3525</v>
      </c>
      <c r="F8280" t="s">
        <v>3525</v>
      </c>
    </row>
    <row r="8281" spans="1:10" x14ac:dyDescent="0.3">
      <c r="A8281" t="s">
        <v>15201</v>
      </c>
      <c r="B8281" t="s">
        <v>15202</v>
      </c>
      <c r="D8281">
        <v>1</v>
      </c>
      <c r="E8281" t="s">
        <v>23</v>
      </c>
      <c r="F8281" t="s">
        <v>2785</v>
      </c>
    </row>
    <row r="8282" spans="1:10" x14ac:dyDescent="0.3">
      <c r="A8282" t="s">
        <v>15203</v>
      </c>
      <c r="B8282" t="s">
        <v>13826</v>
      </c>
      <c r="D8282">
        <v>1.5</v>
      </c>
      <c r="E8282" t="s">
        <v>23</v>
      </c>
      <c r="F8282" t="s">
        <v>7925</v>
      </c>
    </row>
    <row r="8283" spans="1:10" x14ac:dyDescent="0.3">
      <c r="A8283" t="s">
        <v>15204</v>
      </c>
      <c r="B8283" t="s">
        <v>15205</v>
      </c>
      <c r="D8283">
        <v>15</v>
      </c>
      <c r="E8283" t="s">
        <v>29</v>
      </c>
      <c r="F8283" t="s">
        <v>105</v>
      </c>
    </row>
    <row r="8284" spans="1:10" x14ac:dyDescent="0.3">
      <c r="A8284" t="s">
        <v>6940</v>
      </c>
      <c r="B8284" t="s">
        <v>15206</v>
      </c>
      <c r="D8284" t="s">
        <v>665</v>
      </c>
      <c r="E8284" t="s">
        <v>345</v>
      </c>
      <c r="F8284" t="s">
        <v>3745</v>
      </c>
      <c r="J8284" t="s">
        <v>2083</v>
      </c>
    </row>
    <row r="8285" spans="1:10" x14ac:dyDescent="0.3">
      <c r="A8285" t="s">
        <v>15207</v>
      </c>
      <c r="B8285" t="s">
        <v>9668</v>
      </c>
      <c r="D8285">
        <v>25</v>
      </c>
      <c r="E8285" t="s">
        <v>29</v>
      </c>
      <c r="F8285" t="s">
        <v>9669</v>
      </c>
    </row>
    <row r="8286" spans="1:10" x14ac:dyDescent="0.3">
      <c r="A8286" t="s">
        <v>15208</v>
      </c>
      <c r="B8286" t="s">
        <v>15209</v>
      </c>
      <c r="D8286">
        <v>3</v>
      </c>
      <c r="E8286" t="s">
        <v>23</v>
      </c>
      <c r="F8286" t="s">
        <v>12617</v>
      </c>
    </row>
    <row r="8287" spans="1:10" x14ac:dyDescent="0.3">
      <c r="A8287" t="s">
        <v>15210</v>
      </c>
      <c r="B8287" t="s">
        <v>15211</v>
      </c>
      <c r="D8287">
        <v>2</v>
      </c>
      <c r="E8287" t="s">
        <v>460</v>
      </c>
      <c r="F8287" t="s">
        <v>8211</v>
      </c>
    </row>
    <row r="8288" spans="1:10" x14ac:dyDescent="0.3">
      <c r="A8288" t="s">
        <v>6937</v>
      </c>
      <c r="B8288" t="s">
        <v>923</v>
      </c>
      <c r="D8288">
        <v>1.5</v>
      </c>
      <c r="E8288" t="s">
        <v>23</v>
      </c>
      <c r="F8288" t="s">
        <v>233</v>
      </c>
    </row>
    <row r="8289" spans="1:10" x14ac:dyDescent="0.3">
      <c r="A8289" t="s">
        <v>15212</v>
      </c>
      <c r="B8289" t="s">
        <v>15213</v>
      </c>
      <c r="D8289">
        <v>0.5</v>
      </c>
      <c r="E8289" t="s">
        <v>120</v>
      </c>
      <c r="F8289" t="s">
        <v>51</v>
      </c>
    </row>
    <row r="8290" spans="1:10" x14ac:dyDescent="0.3">
      <c r="A8290" t="s">
        <v>15214</v>
      </c>
      <c r="B8290" t="s">
        <v>14453</v>
      </c>
      <c r="D8290">
        <v>2</v>
      </c>
      <c r="E8290" t="s">
        <v>189</v>
      </c>
      <c r="F8290" t="s">
        <v>3942</v>
      </c>
    </row>
    <row r="8291" spans="1:10" x14ac:dyDescent="0.3">
      <c r="A8291" t="s">
        <v>15215</v>
      </c>
      <c r="B8291" t="s">
        <v>2382</v>
      </c>
      <c r="D8291">
        <v>1</v>
      </c>
      <c r="E8291" t="s">
        <v>206</v>
      </c>
      <c r="F8291" t="s">
        <v>1257</v>
      </c>
    </row>
    <row r="8292" spans="1:10" x14ac:dyDescent="0.3">
      <c r="A8292" t="s">
        <v>15216</v>
      </c>
      <c r="B8292" t="s">
        <v>15217</v>
      </c>
      <c r="D8292">
        <v>6</v>
      </c>
      <c r="E8292" t="s">
        <v>23</v>
      </c>
      <c r="F8292" t="s">
        <v>1433</v>
      </c>
      <c r="J8292" t="s">
        <v>289</v>
      </c>
    </row>
    <row r="8293" spans="1:10" x14ac:dyDescent="0.3">
      <c r="A8293" t="s">
        <v>15218</v>
      </c>
      <c r="B8293" t="s">
        <v>15219</v>
      </c>
      <c r="D8293">
        <v>2</v>
      </c>
      <c r="E8293" t="s">
        <v>227</v>
      </c>
      <c r="F8293" t="s">
        <v>413</v>
      </c>
      <c r="G8293" t="s">
        <v>1571</v>
      </c>
      <c r="J8293" t="s">
        <v>15220</v>
      </c>
    </row>
    <row r="8294" spans="1:10" x14ac:dyDescent="0.3">
      <c r="A8294" t="s">
        <v>13214</v>
      </c>
      <c r="B8294" t="s">
        <v>15221</v>
      </c>
      <c r="D8294">
        <v>3</v>
      </c>
      <c r="E8294" t="s">
        <v>345</v>
      </c>
      <c r="F8294" t="s">
        <v>1451</v>
      </c>
    </row>
    <row r="8295" spans="1:10" x14ac:dyDescent="0.3">
      <c r="A8295" t="s">
        <v>15222</v>
      </c>
      <c r="B8295" t="s">
        <v>15223</v>
      </c>
      <c r="D8295">
        <v>3</v>
      </c>
      <c r="E8295" t="s">
        <v>1785</v>
      </c>
      <c r="F8295" t="s">
        <v>738</v>
      </c>
    </row>
    <row r="8296" spans="1:10" x14ac:dyDescent="0.3">
      <c r="A8296" t="s">
        <v>15224</v>
      </c>
      <c r="B8296" t="s">
        <v>4134</v>
      </c>
      <c r="D8296">
        <v>1</v>
      </c>
      <c r="E8296" t="s">
        <v>23</v>
      </c>
      <c r="F8296" t="s">
        <v>233</v>
      </c>
      <c r="J8296" t="s">
        <v>289</v>
      </c>
    </row>
    <row r="8297" spans="1:10" x14ac:dyDescent="0.3">
      <c r="A8297" t="s">
        <v>15225</v>
      </c>
      <c r="B8297" t="s">
        <v>15226</v>
      </c>
      <c r="D8297">
        <v>1.25</v>
      </c>
      <c r="E8297" t="s">
        <v>23</v>
      </c>
      <c r="F8297" t="s">
        <v>12418</v>
      </c>
    </row>
    <row r="8298" spans="1:10" x14ac:dyDescent="0.3">
      <c r="A8298" t="s">
        <v>15160</v>
      </c>
      <c r="B8298" t="s">
        <v>2142</v>
      </c>
      <c r="D8298">
        <v>1</v>
      </c>
      <c r="E8298" t="s">
        <v>23</v>
      </c>
      <c r="F8298" t="s">
        <v>160</v>
      </c>
      <c r="H8298" t="s">
        <v>68</v>
      </c>
    </row>
    <row r="8299" spans="1:10" x14ac:dyDescent="0.3">
      <c r="A8299" t="s">
        <v>4800</v>
      </c>
      <c r="B8299" t="s">
        <v>5043</v>
      </c>
      <c r="D8299">
        <v>1.5</v>
      </c>
      <c r="E8299" t="s">
        <v>23</v>
      </c>
      <c r="F8299" t="s">
        <v>233</v>
      </c>
      <c r="J8299" t="s">
        <v>289</v>
      </c>
    </row>
    <row r="8300" spans="1:10" x14ac:dyDescent="0.3">
      <c r="A8300" t="s">
        <v>12667</v>
      </c>
      <c r="B8300" t="s">
        <v>15227</v>
      </c>
      <c r="D8300">
        <v>0.75</v>
      </c>
      <c r="E8300" t="s">
        <v>23</v>
      </c>
      <c r="F8300" t="s">
        <v>15228</v>
      </c>
      <c r="J8300" t="s">
        <v>289</v>
      </c>
    </row>
    <row r="8301" spans="1:10" x14ac:dyDescent="0.3">
      <c r="A8301" t="s">
        <v>15229</v>
      </c>
      <c r="B8301" t="s">
        <v>15163</v>
      </c>
      <c r="D8301">
        <v>0.5</v>
      </c>
      <c r="E8301" t="s">
        <v>37</v>
      </c>
      <c r="F8301" t="s">
        <v>4904</v>
      </c>
      <c r="J8301" t="s">
        <v>14149</v>
      </c>
    </row>
    <row r="8302" spans="1:10" x14ac:dyDescent="0.3">
      <c r="A8302" t="s">
        <v>6628</v>
      </c>
      <c r="B8302" t="s">
        <v>518</v>
      </c>
      <c r="F8302" t="s">
        <v>518</v>
      </c>
    </row>
    <row r="8303" spans="1:10" x14ac:dyDescent="0.3">
      <c r="A8303" t="s">
        <v>3958</v>
      </c>
      <c r="B8303" t="s">
        <v>15230</v>
      </c>
      <c r="D8303">
        <v>1.75</v>
      </c>
      <c r="E8303" t="s">
        <v>23</v>
      </c>
      <c r="F8303" t="s">
        <v>15231</v>
      </c>
    </row>
    <row r="8304" spans="1:10" x14ac:dyDescent="0.3">
      <c r="A8304" t="s">
        <v>15232</v>
      </c>
      <c r="B8304" t="s">
        <v>15233</v>
      </c>
      <c r="D8304">
        <v>1</v>
      </c>
      <c r="E8304" t="s">
        <v>60</v>
      </c>
      <c r="F8304" t="s">
        <v>15234</v>
      </c>
      <c r="J8304" t="s">
        <v>289</v>
      </c>
    </row>
    <row r="8305" spans="1:10" x14ac:dyDescent="0.3">
      <c r="A8305" t="s">
        <v>15235</v>
      </c>
      <c r="B8305" t="s">
        <v>15236</v>
      </c>
      <c r="D8305">
        <v>0.25</v>
      </c>
      <c r="E8305" t="s">
        <v>284</v>
      </c>
      <c r="F8305" t="s">
        <v>1816</v>
      </c>
      <c r="I8305" t="s">
        <v>3945</v>
      </c>
    </row>
    <row r="8306" spans="1:10" x14ac:dyDescent="0.3">
      <c r="A8306" t="s">
        <v>15237</v>
      </c>
      <c r="B8306" t="s">
        <v>15238</v>
      </c>
      <c r="D8306">
        <v>1</v>
      </c>
      <c r="F8306" t="s">
        <v>2413</v>
      </c>
    </row>
    <row r="8307" spans="1:10" x14ac:dyDescent="0.3">
      <c r="A8307" t="s">
        <v>15239</v>
      </c>
      <c r="B8307" t="s">
        <v>15240</v>
      </c>
      <c r="D8307">
        <v>2</v>
      </c>
      <c r="E8307" t="s">
        <v>345</v>
      </c>
      <c r="F8307" t="s">
        <v>15241</v>
      </c>
      <c r="J8307" t="s">
        <v>10017</v>
      </c>
    </row>
    <row r="8308" spans="1:10" x14ac:dyDescent="0.3">
      <c r="A8308" t="s">
        <v>15242</v>
      </c>
      <c r="B8308" t="s">
        <v>15243</v>
      </c>
      <c r="D8308">
        <v>0.75</v>
      </c>
      <c r="E8308" t="s">
        <v>23</v>
      </c>
      <c r="F8308" t="s">
        <v>15244</v>
      </c>
    </row>
    <row r="8309" spans="1:10" x14ac:dyDescent="0.3">
      <c r="A8309" t="s">
        <v>1965</v>
      </c>
      <c r="B8309" t="s">
        <v>15245</v>
      </c>
      <c r="D8309">
        <v>1</v>
      </c>
      <c r="E8309" t="s">
        <v>23</v>
      </c>
      <c r="F8309" t="s">
        <v>966</v>
      </c>
    </row>
    <row r="8310" spans="1:10" x14ac:dyDescent="0.3">
      <c r="A8310" t="s">
        <v>2071</v>
      </c>
      <c r="B8310" t="s">
        <v>15246</v>
      </c>
      <c r="D8310">
        <v>0.5</v>
      </c>
      <c r="E8310" t="s">
        <v>37</v>
      </c>
      <c r="F8310" t="s">
        <v>3729</v>
      </c>
      <c r="J8310" t="s">
        <v>15247</v>
      </c>
    </row>
    <row r="8311" spans="1:10" x14ac:dyDescent="0.3">
      <c r="A8311">
        <v>1691</v>
      </c>
      <c r="B8311" t="s">
        <v>15248</v>
      </c>
      <c r="D8311">
        <v>50</v>
      </c>
      <c r="E8311" t="s">
        <v>29</v>
      </c>
      <c r="F8311" t="s">
        <v>15249</v>
      </c>
    </row>
    <row r="8312" spans="1:10" x14ac:dyDescent="0.3">
      <c r="A8312" t="s">
        <v>15250</v>
      </c>
      <c r="B8312" t="s">
        <v>15251</v>
      </c>
      <c r="D8312">
        <v>1</v>
      </c>
      <c r="E8312" t="s">
        <v>91</v>
      </c>
      <c r="F8312" t="s">
        <v>15252</v>
      </c>
    </row>
    <row r="8313" spans="1:10" x14ac:dyDescent="0.3">
      <c r="A8313" t="s">
        <v>11097</v>
      </c>
      <c r="B8313" t="s">
        <v>15253</v>
      </c>
      <c r="D8313">
        <v>4</v>
      </c>
      <c r="E8313" t="s">
        <v>23</v>
      </c>
      <c r="F8313" t="s">
        <v>183</v>
      </c>
    </row>
    <row r="8314" spans="1:10" x14ac:dyDescent="0.3">
      <c r="A8314" t="s">
        <v>15254</v>
      </c>
      <c r="B8314" t="s">
        <v>4296</v>
      </c>
      <c r="D8314">
        <v>0.5</v>
      </c>
      <c r="E8314" t="s">
        <v>37</v>
      </c>
      <c r="F8314" t="s">
        <v>160</v>
      </c>
    </row>
    <row r="8315" spans="1:10" x14ac:dyDescent="0.3">
      <c r="A8315" t="s">
        <v>15255</v>
      </c>
      <c r="B8315" t="s">
        <v>15256</v>
      </c>
      <c r="D8315">
        <v>1</v>
      </c>
      <c r="E8315" t="s">
        <v>236</v>
      </c>
      <c r="F8315" t="s">
        <v>163</v>
      </c>
    </row>
    <row r="8316" spans="1:10" x14ac:dyDescent="0.3">
      <c r="A8316" t="s">
        <v>15257</v>
      </c>
      <c r="B8316" t="s">
        <v>15258</v>
      </c>
      <c r="D8316">
        <v>10</v>
      </c>
      <c r="E8316" t="s">
        <v>29</v>
      </c>
      <c r="F8316" t="s">
        <v>10684</v>
      </c>
    </row>
    <row r="8317" spans="1:10" x14ac:dyDescent="0.3">
      <c r="A8317" t="s">
        <v>5876</v>
      </c>
      <c r="B8317" t="s">
        <v>2815</v>
      </c>
      <c r="F8317" t="s">
        <v>2815</v>
      </c>
    </row>
    <row r="8318" spans="1:10" x14ac:dyDescent="0.3">
      <c r="A8318" t="s">
        <v>2048</v>
      </c>
      <c r="B8318" t="s">
        <v>3019</v>
      </c>
      <c r="D8318">
        <v>1.5</v>
      </c>
      <c r="E8318" t="s">
        <v>23</v>
      </c>
      <c r="F8318" t="s">
        <v>1209</v>
      </c>
    </row>
    <row r="8319" spans="1:10" x14ac:dyDescent="0.3">
      <c r="A8319" t="s">
        <v>15259</v>
      </c>
      <c r="B8319" t="s">
        <v>6709</v>
      </c>
      <c r="D8319">
        <v>1</v>
      </c>
      <c r="E8319" t="s">
        <v>11</v>
      </c>
      <c r="F8319" t="s">
        <v>2785</v>
      </c>
    </row>
    <row r="8320" spans="1:10" x14ac:dyDescent="0.3">
      <c r="A8320" t="s">
        <v>10933</v>
      </c>
      <c r="B8320" t="s">
        <v>15260</v>
      </c>
      <c r="E8320" t="s">
        <v>60</v>
      </c>
      <c r="F8320" t="s">
        <v>1043</v>
      </c>
      <c r="J8320" t="s">
        <v>289</v>
      </c>
    </row>
    <row r="8321" spans="1:10" x14ac:dyDescent="0.3">
      <c r="A8321" t="s">
        <v>12644</v>
      </c>
      <c r="B8321" t="s">
        <v>3977</v>
      </c>
      <c r="F8321" t="s">
        <v>3977</v>
      </c>
    </row>
    <row r="8322" spans="1:10" x14ac:dyDescent="0.3">
      <c r="A8322" t="s">
        <v>7750</v>
      </c>
      <c r="B8322" t="s">
        <v>15261</v>
      </c>
      <c r="D8322">
        <v>1</v>
      </c>
      <c r="E8322" t="s">
        <v>2646</v>
      </c>
      <c r="F8322" t="s">
        <v>1509</v>
      </c>
    </row>
    <row r="8323" spans="1:10" x14ac:dyDescent="0.3">
      <c r="A8323" t="s">
        <v>15262</v>
      </c>
      <c r="B8323" t="s">
        <v>15263</v>
      </c>
      <c r="D8323">
        <v>10.5</v>
      </c>
      <c r="E8323" t="s">
        <v>91</v>
      </c>
      <c r="F8323" t="s">
        <v>15264</v>
      </c>
    </row>
    <row r="8324" spans="1:10" x14ac:dyDescent="0.3">
      <c r="A8324" t="s">
        <v>6149</v>
      </c>
      <c r="B8324" t="s">
        <v>15265</v>
      </c>
      <c r="D8324">
        <v>2</v>
      </c>
      <c r="E8324" t="s">
        <v>91</v>
      </c>
      <c r="F8324" t="s">
        <v>3297</v>
      </c>
    </row>
    <row r="8325" spans="1:10" x14ac:dyDescent="0.3">
      <c r="A8325" t="s">
        <v>15266</v>
      </c>
      <c r="B8325" t="s">
        <v>8845</v>
      </c>
      <c r="D8325">
        <v>5</v>
      </c>
      <c r="E8325" t="s">
        <v>23</v>
      </c>
      <c r="F8325" t="s">
        <v>57</v>
      </c>
    </row>
    <row r="8326" spans="1:10" x14ac:dyDescent="0.3">
      <c r="A8326" t="s">
        <v>14352</v>
      </c>
      <c r="B8326" t="s">
        <v>15267</v>
      </c>
      <c r="D8326">
        <v>5</v>
      </c>
      <c r="E8326" t="s">
        <v>227</v>
      </c>
      <c r="F8326" t="s">
        <v>2178</v>
      </c>
    </row>
    <row r="8327" spans="1:10" x14ac:dyDescent="0.3">
      <c r="A8327" t="s">
        <v>15268</v>
      </c>
      <c r="B8327" t="s">
        <v>15269</v>
      </c>
      <c r="F8327" t="s">
        <v>15270</v>
      </c>
      <c r="J8327" t="s">
        <v>9578</v>
      </c>
    </row>
    <row r="8328" spans="1:10" x14ac:dyDescent="0.3">
      <c r="A8328" t="s">
        <v>1939</v>
      </c>
      <c r="B8328" t="s">
        <v>10915</v>
      </c>
      <c r="D8328">
        <v>0.5</v>
      </c>
      <c r="E8328" t="s">
        <v>23</v>
      </c>
      <c r="F8328" t="s">
        <v>979</v>
      </c>
    </row>
    <row r="8329" spans="1:10" x14ac:dyDescent="0.3">
      <c r="A8329" t="s">
        <v>15271</v>
      </c>
      <c r="B8329" t="s">
        <v>15272</v>
      </c>
      <c r="D8329">
        <v>25</v>
      </c>
      <c r="E8329" t="s">
        <v>29</v>
      </c>
      <c r="F8329" t="s">
        <v>5840</v>
      </c>
    </row>
    <row r="8330" spans="1:10" x14ac:dyDescent="0.3">
      <c r="A8330" t="s">
        <v>15273</v>
      </c>
      <c r="B8330" t="s">
        <v>15274</v>
      </c>
      <c r="D8330">
        <v>10</v>
      </c>
      <c r="E8330" t="s">
        <v>29</v>
      </c>
      <c r="F8330" t="s">
        <v>7453</v>
      </c>
    </row>
    <row r="8331" spans="1:10" x14ac:dyDescent="0.3">
      <c r="A8331" t="s">
        <v>15275</v>
      </c>
      <c r="B8331" t="s">
        <v>4643</v>
      </c>
      <c r="D8331">
        <v>1</v>
      </c>
      <c r="E8331" t="s">
        <v>11</v>
      </c>
      <c r="F8331" t="s">
        <v>4644</v>
      </c>
    </row>
    <row r="8332" spans="1:10" x14ac:dyDescent="0.3">
      <c r="A8332" t="s">
        <v>15276</v>
      </c>
      <c r="B8332" t="s">
        <v>4236</v>
      </c>
      <c r="D8332">
        <v>1</v>
      </c>
      <c r="E8332" t="s">
        <v>23</v>
      </c>
      <c r="F8332" t="s">
        <v>253</v>
      </c>
    </row>
    <row r="8333" spans="1:10" x14ac:dyDescent="0.3">
      <c r="A8333" t="s">
        <v>15277</v>
      </c>
      <c r="B8333" t="s">
        <v>3600</v>
      </c>
      <c r="D8333">
        <v>1</v>
      </c>
      <c r="E8333" t="s">
        <v>11</v>
      </c>
      <c r="F8333" t="s">
        <v>2211</v>
      </c>
    </row>
    <row r="8334" spans="1:10" x14ac:dyDescent="0.3">
      <c r="A8334" t="s">
        <v>6746</v>
      </c>
      <c r="B8334" t="s">
        <v>4534</v>
      </c>
      <c r="D8334">
        <v>1</v>
      </c>
      <c r="E8334" t="s">
        <v>37</v>
      </c>
      <c r="F8334" t="s">
        <v>160</v>
      </c>
      <c r="H8334" t="s">
        <v>68</v>
      </c>
    </row>
    <row r="8335" spans="1:10" x14ac:dyDescent="0.3">
      <c r="A8335" t="s">
        <v>5242</v>
      </c>
      <c r="B8335" t="s">
        <v>1244</v>
      </c>
      <c r="D8335">
        <v>2</v>
      </c>
      <c r="E8335" t="s">
        <v>23</v>
      </c>
      <c r="F8335" t="s">
        <v>716</v>
      </c>
    </row>
    <row r="8336" spans="1:10" x14ac:dyDescent="0.3">
      <c r="A8336" t="s">
        <v>15278</v>
      </c>
      <c r="B8336" t="s">
        <v>15279</v>
      </c>
      <c r="D8336">
        <v>1</v>
      </c>
      <c r="E8336" t="s">
        <v>460</v>
      </c>
      <c r="F8336" t="s">
        <v>183</v>
      </c>
      <c r="J8336" t="s">
        <v>289</v>
      </c>
    </row>
    <row r="8337" spans="1:10" x14ac:dyDescent="0.3">
      <c r="A8337" t="s">
        <v>2959</v>
      </c>
      <c r="B8337" t="s">
        <v>15280</v>
      </c>
      <c r="D8337">
        <v>4</v>
      </c>
      <c r="F8337" t="s">
        <v>7568</v>
      </c>
      <c r="G8337" t="s">
        <v>908</v>
      </c>
    </row>
    <row r="8338" spans="1:10" x14ac:dyDescent="0.3">
      <c r="A8338" t="s">
        <v>13709</v>
      </c>
      <c r="B8338" t="s">
        <v>6275</v>
      </c>
      <c r="D8338">
        <v>1.5</v>
      </c>
      <c r="E8338" t="s">
        <v>23</v>
      </c>
      <c r="F8338" t="s">
        <v>6276</v>
      </c>
    </row>
    <row r="8339" spans="1:10" x14ac:dyDescent="0.3">
      <c r="A8339" t="s">
        <v>8119</v>
      </c>
      <c r="B8339" t="s">
        <v>3448</v>
      </c>
      <c r="D8339">
        <v>1</v>
      </c>
      <c r="E8339" t="s">
        <v>11</v>
      </c>
      <c r="F8339" t="s">
        <v>3449</v>
      </c>
    </row>
    <row r="8340" spans="1:10" x14ac:dyDescent="0.3">
      <c r="A8340" t="s">
        <v>15281</v>
      </c>
      <c r="B8340" t="s">
        <v>15282</v>
      </c>
      <c r="D8340">
        <v>40</v>
      </c>
      <c r="E8340" t="s">
        <v>29</v>
      </c>
      <c r="F8340" t="s">
        <v>3981</v>
      </c>
    </row>
    <row r="8341" spans="1:10" x14ac:dyDescent="0.3">
      <c r="A8341" t="s">
        <v>15283</v>
      </c>
      <c r="B8341" t="s">
        <v>15284</v>
      </c>
      <c r="D8341">
        <v>25</v>
      </c>
      <c r="F8341" t="s">
        <v>98</v>
      </c>
    </row>
    <row r="8342" spans="1:10" x14ac:dyDescent="0.3">
      <c r="A8342" t="s">
        <v>15285</v>
      </c>
      <c r="B8342" t="s">
        <v>7360</v>
      </c>
      <c r="F8342" t="s">
        <v>7360</v>
      </c>
    </row>
    <row r="8343" spans="1:10" x14ac:dyDescent="0.3">
      <c r="A8343" t="s">
        <v>6809</v>
      </c>
      <c r="B8343" t="s">
        <v>15286</v>
      </c>
      <c r="D8343">
        <v>0.5</v>
      </c>
      <c r="E8343" t="s">
        <v>23</v>
      </c>
      <c r="F8343" t="s">
        <v>1006</v>
      </c>
    </row>
    <row r="8344" spans="1:10" x14ac:dyDescent="0.3">
      <c r="A8344" t="s">
        <v>15287</v>
      </c>
      <c r="B8344" t="s">
        <v>15288</v>
      </c>
      <c r="D8344">
        <v>1.5</v>
      </c>
      <c r="E8344" t="s">
        <v>23</v>
      </c>
      <c r="F8344" t="s">
        <v>2875</v>
      </c>
    </row>
    <row r="8345" spans="1:10" x14ac:dyDescent="0.3">
      <c r="A8345" t="s">
        <v>15289</v>
      </c>
      <c r="B8345" t="s">
        <v>5649</v>
      </c>
      <c r="D8345">
        <v>70</v>
      </c>
      <c r="E8345" t="s">
        <v>29</v>
      </c>
      <c r="F8345" t="s">
        <v>738</v>
      </c>
    </row>
    <row r="8346" spans="1:10" x14ac:dyDescent="0.3">
      <c r="A8346" t="s">
        <v>82</v>
      </c>
      <c r="B8346" t="s">
        <v>15290</v>
      </c>
      <c r="D8346">
        <v>4</v>
      </c>
      <c r="E8346" t="s">
        <v>23</v>
      </c>
      <c r="F8346" t="s">
        <v>2388</v>
      </c>
    </row>
    <row r="8347" spans="1:10" x14ac:dyDescent="0.3">
      <c r="A8347" t="s">
        <v>1227</v>
      </c>
      <c r="B8347" t="s">
        <v>15291</v>
      </c>
      <c r="D8347">
        <v>0.5</v>
      </c>
      <c r="E8347" t="s">
        <v>23</v>
      </c>
      <c r="F8347" t="s">
        <v>10114</v>
      </c>
    </row>
    <row r="8348" spans="1:10" x14ac:dyDescent="0.3">
      <c r="A8348" t="s">
        <v>15292</v>
      </c>
      <c r="B8348" t="s">
        <v>15293</v>
      </c>
      <c r="D8348">
        <v>3</v>
      </c>
      <c r="E8348" t="s">
        <v>345</v>
      </c>
      <c r="F8348" t="s">
        <v>15294</v>
      </c>
      <c r="J8348" t="s">
        <v>15295</v>
      </c>
    </row>
    <row r="8349" spans="1:10" x14ac:dyDescent="0.3">
      <c r="A8349" t="s">
        <v>15296</v>
      </c>
      <c r="B8349" t="s">
        <v>12452</v>
      </c>
      <c r="D8349">
        <v>1.5</v>
      </c>
      <c r="E8349" t="s">
        <v>23</v>
      </c>
      <c r="F8349" t="s">
        <v>349</v>
      </c>
    </row>
    <row r="8350" spans="1:10" x14ac:dyDescent="0.3">
      <c r="A8350" t="s">
        <v>15297</v>
      </c>
      <c r="B8350" t="s">
        <v>8862</v>
      </c>
      <c r="D8350">
        <v>1</v>
      </c>
      <c r="E8350" t="s">
        <v>1785</v>
      </c>
      <c r="F8350" t="s">
        <v>712</v>
      </c>
    </row>
    <row r="8351" spans="1:10" x14ac:dyDescent="0.3">
      <c r="A8351" t="s">
        <v>6952</v>
      </c>
      <c r="B8351" t="s">
        <v>15298</v>
      </c>
      <c r="D8351">
        <v>25</v>
      </c>
      <c r="E8351" t="s">
        <v>29</v>
      </c>
      <c r="F8351" t="s">
        <v>15299</v>
      </c>
    </row>
    <row r="8352" spans="1:10" x14ac:dyDescent="0.3">
      <c r="A8352" t="s">
        <v>14450</v>
      </c>
      <c r="B8352" t="s">
        <v>15300</v>
      </c>
      <c r="D8352" t="s">
        <v>8811</v>
      </c>
      <c r="E8352" t="s">
        <v>23</v>
      </c>
      <c r="F8352" t="s">
        <v>487</v>
      </c>
      <c r="J8352" t="s">
        <v>1177</v>
      </c>
    </row>
    <row r="8353" spans="1:10" x14ac:dyDescent="0.3">
      <c r="A8353" t="s">
        <v>13685</v>
      </c>
      <c r="B8353" t="s">
        <v>15301</v>
      </c>
      <c r="D8353">
        <v>1</v>
      </c>
      <c r="E8353" t="s">
        <v>361</v>
      </c>
      <c r="F8353" t="s">
        <v>15302</v>
      </c>
      <c r="J8353" t="s">
        <v>2028</v>
      </c>
    </row>
    <row r="8354" spans="1:10" x14ac:dyDescent="0.3">
      <c r="A8354" t="s">
        <v>15303</v>
      </c>
      <c r="B8354" t="s">
        <v>15304</v>
      </c>
      <c r="D8354">
        <v>8</v>
      </c>
      <c r="E8354" t="s">
        <v>23</v>
      </c>
      <c r="F8354" t="s">
        <v>64</v>
      </c>
    </row>
    <row r="8355" spans="1:10" x14ac:dyDescent="0.3">
      <c r="A8355" t="s">
        <v>15305</v>
      </c>
      <c r="B8355" t="s">
        <v>14462</v>
      </c>
      <c r="D8355">
        <v>1</v>
      </c>
      <c r="E8355" t="s">
        <v>11</v>
      </c>
      <c r="F8355" t="s">
        <v>2709</v>
      </c>
    </row>
    <row r="8356" spans="1:10" x14ac:dyDescent="0.3">
      <c r="A8356" t="s">
        <v>6513</v>
      </c>
      <c r="B8356" t="s">
        <v>1056</v>
      </c>
      <c r="F8356" t="s">
        <v>1056</v>
      </c>
    </row>
    <row r="8357" spans="1:10" x14ac:dyDescent="0.3">
      <c r="A8357" t="s">
        <v>15306</v>
      </c>
      <c r="B8357" t="s">
        <v>63</v>
      </c>
      <c r="F8357" t="s">
        <v>64</v>
      </c>
      <c r="J8357" t="s">
        <v>65</v>
      </c>
    </row>
    <row r="8358" spans="1:10" x14ac:dyDescent="0.3">
      <c r="A8358" t="s">
        <v>5252</v>
      </c>
      <c r="B8358" t="s">
        <v>388</v>
      </c>
      <c r="D8358">
        <v>0.5</v>
      </c>
      <c r="E8358" t="s">
        <v>23</v>
      </c>
      <c r="F8358" t="s">
        <v>331</v>
      </c>
    </row>
    <row r="8359" spans="1:10" x14ac:dyDescent="0.3">
      <c r="A8359" t="s">
        <v>15307</v>
      </c>
      <c r="B8359" t="s">
        <v>15308</v>
      </c>
      <c r="D8359">
        <v>2</v>
      </c>
      <c r="E8359" t="s">
        <v>23</v>
      </c>
      <c r="F8359" t="s">
        <v>15309</v>
      </c>
    </row>
    <row r="8360" spans="1:10" x14ac:dyDescent="0.3">
      <c r="A8360" t="s">
        <v>7547</v>
      </c>
      <c r="B8360" t="s">
        <v>15310</v>
      </c>
      <c r="D8360">
        <v>1</v>
      </c>
      <c r="E8360" t="s">
        <v>1990</v>
      </c>
      <c r="F8360" t="s">
        <v>163</v>
      </c>
    </row>
    <row r="8361" spans="1:10" x14ac:dyDescent="0.3">
      <c r="A8361" t="s">
        <v>6426</v>
      </c>
      <c r="B8361" t="s">
        <v>5811</v>
      </c>
      <c r="E8361" t="s">
        <v>2397</v>
      </c>
      <c r="F8361" t="s">
        <v>1984</v>
      </c>
      <c r="J8361" t="s">
        <v>1124</v>
      </c>
    </row>
    <row r="8362" spans="1:10" x14ac:dyDescent="0.3">
      <c r="A8362" t="s">
        <v>4274</v>
      </c>
      <c r="B8362" t="s">
        <v>1816</v>
      </c>
      <c r="F8362" t="s">
        <v>1816</v>
      </c>
    </row>
    <row r="8363" spans="1:10" x14ac:dyDescent="0.3">
      <c r="A8363" t="s">
        <v>8471</v>
      </c>
      <c r="B8363" t="s">
        <v>15311</v>
      </c>
      <c r="D8363">
        <v>1</v>
      </c>
      <c r="E8363" t="s">
        <v>23</v>
      </c>
      <c r="F8363" t="s">
        <v>81</v>
      </c>
      <c r="J8363" t="s">
        <v>7059</v>
      </c>
    </row>
    <row r="8364" spans="1:10" x14ac:dyDescent="0.3">
      <c r="A8364" t="s">
        <v>15312</v>
      </c>
      <c r="B8364" t="s">
        <v>15313</v>
      </c>
      <c r="D8364">
        <v>1</v>
      </c>
      <c r="E8364" t="s">
        <v>23</v>
      </c>
      <c r="F8364" t="s">
        <v>2875</v>
      </c>
    </row>
    <row r="8365" spans="1:10" x14ac:dyDescent="0.3">
      <c r="A8365" t="s">
        <v>15314</v>
      </c>
      <c r="B8365" t="s">
        <v>1900</v>
      </c>
      <c r="D8365">
        <v>0.5</v>
      </c>
      <c r="E8365" t="s">
        <v>23</v>
      </c>
      <c r="F8365" t="s">
        <v>183</v>
      </c>
      <c r="J8365" t="s">
        <v>289</v>
      </c>
    </row>
    <row r="8366" spans="1:10" x14ac:dyDescent="0.3">
      <c r="A8366" t="s">
        <v>14522</v>
      </c>
      <c r="B8366" t="s">
        <v>1515</v>
      </c>
      <c r="D8366">
        <v>50</v>
      </c>
      <c r="E8366" t="s">
        <v>29</v>
      </c>
      <c r="F8366" t="s">
        <v>9204</v>
      </c>
    </row>
    <row r="8367" spans="1:10" x14ac:dyDescent="0.3">
      <c r="A8367" t="s">
        <v>15315</v>
      </c>
      <c r="B8367" t="s">
        <v>6256</v>
      </c>
      <c r="F8367" t="s">
        <v>6256</v>
      </c>
    </row>
    <row r="8368" spans="1:10" x14ac:dyDescent="0.3">
      <c r="A8368" t="s">
        <v>13861</v>
      </c>
      <c r="B8368" t="s">
        <v>2929</v>
      </c>
      <c r="D8368">
        <v>1</v>
      </c>
      <c r="E8368" t="s">
        <v>111</v>
      </c>
      <c r="F8368" t="s">
        <v>331</v>
      </c>
    </row>
    <row r="8369" spans="1:10" x14ac:dyDescent="0.3">
      <c r="A8369" t="s">
        <v>13733</v>
      </c>
      <c r="B8369" t="s">
        <v>3560</v>
      </c>
      <c r="D8369">
        <v>0.25</v>
      </c>
      <c r="E8369" t="s">
        <v>23</v>
      </c>
      <c r="F8369" t="s">
        <v>1328</v>
      </c>
    </row>
    <row r="8370" spans="1:10" x14ac:dyDescent="0.3">
      <c r="A8370" t="s">
        <v>15316</v>
      </c>
      <c r="B8370" t="s">
        <v>12224</v>
      </c>
      <c r="D8370">
        <v>1</v>
      </c>
      <c r="E8370" t="s">
        <v>11</v>
      </c>
      <c r="F8370" t="s">
        <v>14065</v>
      </c>
    </row>
    <row r="8371" spans="1:10" x14ac:dyDescent="0.3">
      <c r="A8371" t="s">
        <v>8844</v>
      </c>
      <c r="B8371" t="s">
        <v>2524</v>
      </c>
      <c r="D8371">
        <v>1</v>
      </c>
      <c r="E8371" t="s">
        <v>23</v>
      </c>
      <c r="F8371" t="s">
        <v>265</v>
      </c>
    </row>
    <row r="8372" spans="1:10" x14ac:dyDescent="0.3">
      <c r="A8372" t="s">
        <v>5961</v>
      </c>
      <c r="B8372" t="s">
        <v>15317</v>
      </c>
      <c r="F8372" t="s">
        <v>15318</v>
      </c>
      <c r="J8372" t="s">
        <v>15319</v>
      </c>
    </row>
    <row r="8373" spans="1:10" x14ac:dyDescent="0.3">
      <c r="A8373" t="s">
        <v>15320</v>
      </c>
      <c r="B8373" t="s">
        <v>4740</v>
      </c>
      <c r="D8373">
        <v>2.5</v>
      </c>
      <c r="E8373" t="s">
        <v>345</v>
      </c>
      <c r="F8373" t="s">
        <v>877</v>
      </c>
    </row>
    <row r="8374" spans="1:10" x14ac:dyDescent="0.3">
      <c r="A8374" t="s">
        <v>15321</v>
      </c>
      <c r="B8374" t="s">
        <v>26</v>
      </c>
      <c r="F8374" t="s">
        <v>26</v>
      </c>
    </row>
    <row r="8375" spans="1:10" x14ac:dyDescent="0.3">
      <c r="A8375" t="s">
        <v>15322</v>
      </c>
      <c r="B8375" t="s">
        <v>15323</v>
      </c>
      <c r="D8375" t="s">
        <v>1577</v>
      </c>
      <c r="E8375" t="s">
        <v>111</v>
      </c>
      <c r="F8375" t="s">
        <v>183</v>
      </c>
      <c r="J8375" t="s">
        <v>1177</v>
      </c>
    </row>
    <row r="8376" spans="1:10" x14ac:dyDescent="0.3">
      <c r="A8376" t="s">
        <v>15324</v>
      </c>
      <c r="B8376" t="s">
        <v>15325</v>
      </c>
      <c r="D8376">
        <v>1</v>
      </c>
      <c r="E8376" t="s">
        <v>227</v>
      </c>
      <c r="F8376" t="s">
        <v>8946</v>
      </c>
    </row>
    <row r="8377" spans="1:10" x14ac:dyDescent="0.3">
      <c r="A8377" t="s">
        <v>8075</v>
      </c>
      <c r="B8377" t="s">
        <v>15326</v>
      </c>
      <c r="D8377">
        <v>1.25</v>
      </c>
      <c r="E8377" t="s">
        <v>345</v>
      </c>
      <c r="F8377" t="s">
        <v>41</v>
      </c>
      <c r="J8377" t="s">
        <v>15327</v>
      </c>
    </row>
    <row r="8378" spans="1:10" x14ac:dyDescent="0.3">
      <c r="A8378" t="s">
        <v>3603</v>
      </c>
      <c r="B8378" t="s">
        <v>15328</v>
      </c>
      <c r="D8378">
        <v>4</v>
      </c>
      <c r="F8378" t="s">
        <v>15329</v>
      </c>
      <c r="G8378" t="s">
        <v>15330</v>
      </c>
      <c r="H8378" t="s">
        <v>68</v>
      </c>
    </row>
    <row r="8379" spans="1:10" x14ac:dyDescent="0.3">
      <c r="A8379" t="s">
        <v>9664</v>
      </c>
      <c r="B8379" t="s">
        <v>15331</v>
      </c>
      <c r="D8379">
        <v>0.5</v>
      </c>
      <c r="E8379" t="s">
        <v>23</v>
      </c>
      <c r="F8379" t="s">
        <v>14903</v>
      </c>
    </row>
    <row r="8380" spans="1:10" x14ac:dyDescent="0.3">
      <c r="A8380" t="s">
        <v>15332</v>
      </c>
      <c r="B8380" t="s">
        <v>13007</v>
      </c>
      <c r="D8380">
        <v>3</v>
      </c>
      <c r="E8380" t="s">
        <v>23</v>
      </c>
      <c r="F8380" t="s">
        <v>13008</v>
      </c>
    </row>
    <row r="8381" spans="1:10" x14ac:dyDescent="0.3">
      <c r="A8381" t="s">
        <v>15333</v>
      </c>
      <c r="B8381" t="s">
        <v>738</v>
      </c>
      <c r="F8381" t="s">
        <v>738</v>
      </c>
    </row>
    <row r="8382" spans="1:10" x14ac:dyDescent="0.3">
      <c r="A8382" t="s">
        <v>1255</v>
      </c>
      <c r="B8382" t="s">
        <v>15334</v>
      </c>
      <c r="D8382">
        <v>0.25</v>
      </c>
      <c r="E8382" t="s">
        <v>37</v>
      </c>
      <c r="F8382" t="s">
        <v>15335</v>
      </c>
      <c r="J8382" t="s">
        <v>6578</v>
      </c>
    </row>
    <row r="8383" spans="1:10" x14ac:dyDescent="0.3">
      <c r="A8383" t="s">
        <v>5993</v>
      </c>
      <c r="B8383" t="s">
        <v>15336</v>
      </c>
      <c r="D8383">
        <v>2</v>
      </c>
      <c r="F8383" t="s">
        <v>413</v>
      </c>
      <c r="G8383" t="s">
        <v>1571</v>
      </c>
    </row>
    <row r="8384" spans="1:10" x14ac:dyDescent="0.3">
      <c r="A8384" t="s">
        <v>8712</v>
      </c>
      <c r="B8384" t="s">
        <v>2370</v>
      </c>
      <c r="D8384">
        <v>1</v>
      </c>
      <c r="E8384" t="s">
        <v>284</v>
      </c>
      <c r="F8384" t="s">
        <v>413</v>
      </c>
      <c r="G8384" t="s">
        <v>1571</v>
      </c>
    </row>
    <row r="8385" spans="1:10" x14ac:dyDescent="0.3">
      <c r="A8385" t="s">
        <v>1412</v>
      </c>
      <c r="B8385" t="s">
        <v>5424</v>
      </c>
      <c r="D8385">
        <v>2.5</v>
      </c>
      <c r="E8385" t="s">
        <v>23</v>
      </c>
      <c r="F8385" t="s">
        <v>1607</v>
      </c>
    </row>
    <row r="8386" spans="1:10" x14ac:dyDescent="0.3">
      <c r="A8386" t="s">
        <v>15337</v>
      </c>
      <c r="B8386" t="s">
        <v>1030</v>
      </c>
      <c r="F8386" t="s">
        <v>1030</v>
      </c>
    </row>
    <row r="8387" spans="1:10" x14ac:dyDescent="0.3">
      <c r="A8387" t="s">
        <v>15338</v>
      </c>
      <c r="B8387" t="s">
        <v>15339</v>
      </c>
      <c r="D8387">
        <v>0.25</v>
      </c>
      <c r="E8387" t="s">
        <v>23</v>
      </c>
      <c r="F8387" t="s">
        <v>15340</v>
      </c>
    </row>
    <row r="8388" spans="1:10" x14ac:dyDescent="0.3">
      <c r="A8388" t="s">
        <v>15064</v>
      </c>
      <c r="B8388" t="s">
        <v>15341</v>
      </c>
      <c r="D8388">
        <v>1</v>
      </c>
      <c r="E8388" t="s">
        <v>23</v>
      </c>
      <c r="F8388" t="s">
        <v>3981</v>
      </c>
    </row>
    <row r="8389" spans="1:10" x14ac:dyDescent="0.3">
      <c r="A8389" t="s">
        <v>15342</v>
      </c>
      <c r="B8389" t="s">
        <v>15343</v>
      </c>
      <c r="D8389">
        <v>1</v>
      </c>
      <c r="E8389" t="s">
        <v>3648</v>
      </c>
      <c r="F8389" t="s">
        <v>108</v>
      </c>
    </row>
    <row r="8390" spans="1:10" x14ac:dyDescent="0.3">
      <c r="A8390" t="s">
        <v>15344</v>
      </c>
      <c r="B8390" t="s">
        <v>15345</v>
      </c>
      <c r="D8390">
        <v>1</v>
      </c>
      <c r="E8390" t="s">
        <v>23</v>
      </c>
      <c r="F8390" t="s">
        <v>15346</v>
      </c>
    </row>
    <row r="8391" spans="1:10" x14ac:dyDescent="0.3">
      <c r="A8391" t="s">
        <v>15347</v>
      </c>
      <c r="B8391" t="s">
        <v>14557</v>
      </c>
      <c r="D8391">
        <v>2</v>
      </c>
      <c r="E8391" t="s">
        <v>23</v>
      </c>
      <c r="F8391" t="s">
        <v>2875</v>
      </c>
    </row>
    <row r="8392" spans="1:10" x14ac:dyDescent="0.3">
      <c r="A8392" t="s">
        <v>4205</v>
      </c>
      <c r="B8392" t="s">
        <v>2815</v>
      </c>
      <c r="F8392" t="s">
        <v>2815</v>
      </c>
    </row>
    <row r="8393" spans="1:10" x14ac:dyDescent="0.3">
      <c r="A8393" t="s">
        <v>10037</v>
      </c>
      <c r="B8393" t="s">
        <v>15348</v>
      </c>
      <c r="D8393">
        <v>5</v>
      </c>
      <c r="E8393" t="s">
        <v>29</v>
      </c>
      <c r="F8393" t="s">
        <v>112</v>
      </c>
    </row>
    <row r="8394" spans="1:10" x14ac:dyDescent="0.3">
      <c r="A8394" t="s">
        <v>11440</v>
      </c>
      <c r="B8394" t="s">
        <v>15349</v>
      </c>
      <c r="D8394">
        <v>30</v>
      </c>
      <c r="E8394" t="s">
        <v>29</v>
      </c>
      <c r="F8394" t="s">
        <v>15350</v>
      </c>
    </row>
    <row r="8395" spans="1:10" x14ac:dyDescent="0.3">
      <c r="A8395" t="s">
        <v>15351</v>
      </c>
      <c r="B8395" t="s">
        <v>15352</v>
      </c>
      <c r="D8395">
        <v>10.5</v>
      </c>
      <c r="E8395" t="s">
        <v>23</v>
      </c>
      <c r="F8395" t="s">
        <v>15353</v>
      </c>
    </row>
    <row r="8396" spans="1:10" x14ac:dyDescent="0.3">
      <c r="A8396" t="s">
        <v>13481</v>
      </c>
      <c r="B8396" t="s">
        <v>15354</v>
      </c>
      <c r="D8396">
        <v>1</v>
      </c>
      <c r="F8396" t="s">
        <v>6256</v>
      </c>
    </row>
    <row r="8397" spans="1:10" x14ac:dyDescent="0.3">
      <c r="A8397" t="s">
        <v>15355</v>
      </c>
      <c r="B8397" t="s">
        <v>15356</v>
      </c>
      <c r="D8397">
        <v>0.5</v>
      </c>
      <c r="E8397" t="s">
        <v>37</v>
      </c>
      <c r="F8397" t="s">
        <v>15357</v>
      </c>
    </row>
    <row r="8398" spans="1:10" x14ac:dyDescent="0.3">
      <c r="A8398" t="s">
        <v>14398</v>
      </c>
      <c r="B8398" t="s">
        <v>15358</v>
      </c>
      <c r="F8398" t="s">
        <v>15359</v>
      </c>
      <c r="J8398" t="s">
        <v>164</v>
      </c>
    </row>
    <row r="8399" spans="1:10" x14ac:dyDescent="0.3">
      <c r="A8399" t="s">
        <v>15360</v>
      </c>
      <c r="B8399" t="s">
        <v>15361</v>
      </c>
      <c r="D8399">
        <v>15</v>
      </c>
      <c r="E8399" t="s">
        <v>29</v>
      </c>
      <c r="F8399" t="s">
        <v>328</v>
      </c>
    </row>
    <row r="8400" spans="1:10" x14ac:dyDescent="0.3">
      <c r="A8400" t="s">
        <v>15362</v>
      </c>
      <c r="B8400" t="s">
        <v>15363</v>
      </c>
      <c r="D8400">
        <v>0.5</v>
      </c>
      <c r="E8400" t="s">
        <v>91</v>
      </c>
      <c r="F8400" t="s">
        <v>15364</v>
      </c>
    </row>
    <row r="8401" spans="1:10" x14ac:dyDescent="0.3">
      <c r="A8401" t="s">
        <v>15365</v>
      </c>
      <c r="B8401" t="s">
        <v>935</v>
      </c>
      <c r="D8401">
        <v>1</v>
      </c>
      <c r="E8401" t="s">
        <v>23</v>
      </c>
      <c r="F8401" t="s">
        <v>936</v>
      </c>
    </row>
    <row r="8402" spans="1:10" x14ac:dyDescent="0.3">
      <c r="A8402" t="s">
        <v>15366</v>
      </c>
      <c r="B8402" t="s">
        <v>333</v>
      </c>
      <c r="F8402" t="s">
        <v>333</v>
      </c>
    </row>
    <row r="8403" spans="1:10" x14ac:dyDescent="0.3">
      <c r="A8403" t="s">
        <v>15367</v>
      </c>
      <c r="B8403" t="s">
        <v>15368</v>
      </c>
      <c r="D8403">
        <v>1</v>
      </c>
      <c r="E8403" t="s">
        <v>11</v>
      </c>
      <c r="F8403" t="s">
        <v>15369</v>
      </c>
    </row>
    <row r="8404" spans="1:10" x14ac:dyDescent="0.3">
      <c r="A8404" t="s">
        <v>15370</v>
      </c>
      <c r="B8404" t="s">
        <v>94</v>
      </c>
      <c r="D8404">
        <v>1</v>
      </c>
      <c r="E8404" t="s">
        <v>23</v>
      </c>
      <c r="F8404" t="s">
        <v>95</v>
      </c>
    </row>
    <row r="8405" spans="1:10" x14ac:dyDescent="0.3">
      <c r="A8405" t="s">
        <v>15371</v>
      </c>
      <c r="B8405" t="s">
        <v>15372</v>
      </c>
      <c r="D8405">
        <v>2</v>
      </c>
      <c r="E8405" t="s">
        <v>23</v>
      </c>
      <c r="F8405" t="s">
        <v>6948</v>
      </c>
    </row>
    <row r="8406" spans="1:10" x14ac:dyDescent="0.3">
      <c r="A8406" t="s">
        <v>15373</v>
      </c>
      <c r="B8406" t="s">
        <v>15374</v>
      </c>
      <c r="D8406">
        <v>1</v>
      </c>
      <c r="E8406" t="s">
        <v>23</v>
      </c>
      <c r="F8406" t="s">
        <v>15375</v>
      </c>
    </row>
    <row r="8407" spans="1:10" x14ac:dyDescent="0.3">
      <c r="A8407" t="s">
        <v>1386</v>
      </c>
      <c r="B8407" t="s">
        <v>15376</v>
      </c>
      <c r="D8407">
        <v>1.5</v>
      </c>
      <c r="E8407" t="s">
        <v>345</v>
      </c>
      <c r="F8407" t="s">
        <v>15377</v>
      </c>
    </row>
    <row r="8408" spans="1:10" x14ac:dyDescent="0.3">
      <c r="A8408" t="s">
        <v>3837</v>
      </c>
      <c r="B8408" t="s">
        <v>10699</v>
      </c>
      <c r="D8408">
        <v>2</v>
      </c>
      <c r="E8408" t="s">
        <v>189</v>
      </c>
      <c r="F8408" t="s">
        <v>6765</v>
      </c>
    </row>
    <row r="8409" spans="1:10" x14ac:dyDescent="0.3">
      <c r="A8409" t="s">
        <v>9071</v>
      </c>
      <c r="B8409" t="s">
        <v>15378</v>
      </c>
      <c r="D8409">
        <v>4</v>
      </c>
      <c r="E8409" t="s">
        <v>91</v>
      </c>
      <c r="F8409" t="s">
        <v>6051</v>
      </c>
    </row>
    <row r="8410" spans="1:10" x14ac:dyDescent="0.3">
      <c r="A8410" t="s">
        <v>13373</v>
      </c>
      <c r="B8410" t="s">
        <v>15379</v>
      </c>
      <c r="D8410">
        <v>0.33</v>
      </c>
      <c r="E8410" t="s">
        <v>23</v>
      </c>
      <c r="F8410" t="s">
        <v>115</v>
      </c>
      <c r="J8410" t="s">
        <v>15380</v>
      </c>
    </row>
    <row r="8411" spans="1:10" x14ac:dyDescent="0.3">
      <c r="A8411" t="s">
        <v>7647</v>
      </c>
      <c r="B8411" t="s">
        <v>15381</v>
      </c>
      <c r="D8411">
        <v>4</v>
      </c>
      <c r="E8411" t="s">
        <v>23</v>
      </c>
      <c r="F8411" t="s">
        <v>3366</v>
      </c>
    </row>
    <row r="8412" spans="1:10" x14ac:dyDescent="0.3">
      <c r="A8412" t="s">
        <v>10207</v>
      </c>
      <c r="B8412" t="s">
        <v>3153</v>
      </c>
      <c r="D8412">
        <v>2</v>
      </c>
      <c r="E8412" t="s">
        <v>345</v>
      </c>
      <c r="F8412" t="s">
        <v>220</v>
      </c>
    </row>
    <row r="8413" spans="1:10" x14ac:dyDescent="0.3">
      <c r="A8413" t="s">
        <v>15382</v>
      </c>
      <c r="B8413" t="s">
        <v>15383</v>
      </c>
      <c r="D8413">
        <v>1</v>
      </c>
      <c r="E8413" t="s">
        <v>368</v>
      </c>
      <c r="F8413" t="s">
        <v>1289</v>
      </c>
    </row>
    <row r="8414" spans="1:10" x14ac:dyDescent="0.3">
      <c r="A8414" t="s">
        <v>2116</v>
      </c>
      <c r="B8414" t="s">
        <v>14328</v>
      </c>
      <c r="D8414">
        <v>2</v>
      </c>
      <c r="E8414" t="s">
        <v>686</v>
      </c>
      <c r="F8414" t="s">
        <v>2192</v>
      </c>
    </row>
    <row r="8415" spans="1:10" x14ac:dyDescent="0.3">
      <c r="A8415" t="s">
        <v>15384</v>
      </c>
      <c r="B8415" t="s">
        <v>15385</v>
      </c>
      <c r="D8415">
        <v>1.5</v>
      </c>
      <c r="E8415" t="s">
        <v>23</v>
      </c>
      <c r="F8415" t="s">
        <v>847</v>
      </c>
    </row>
    <row r="8416" spans="1:10" x14ac:dyDescent="0.3">
      <c r="A8416" t="s">
        <v>2808</v>
      </c>
      <c r="B8416" t="s">
        <v>2231</v>
      </c>
      <c r="D8416">
        <v>25</v>
      </c>
      <c r="E8416" t="s">
        <v>29</v>
      </c>
      <c r="F8416" t="s">
        <v>738</v>
      </c>
    </row>
    <row r="8417" spans="1:10" x14ac:dyDescent="0.3">
      <c r="A8417" t="s">
        <v>15386</v>
      </c>
      <c r="B8417" t="s">
        <v>15387</v>
      </c>
      <c r="D8417">
        <v>1</v>
      </c>
      <c r="E8417" t="s">
        <v>15388</v>
      </c>
      <c r="F8417" t="s">
        <v>15389</v>
      </c>
      <c r="J8417" t="s">
        <v>15390</v>
      </c>
    </row>
    <row r="8418" spans="1:10" x14ac:dyDescent="0.3">
      <c r="A8418" t="s">
        <v>11636</v>
      </c>
      <c r="B8418" t="s">
        <v>15391</v>
      </c>
      <c r="D8418">
        <v>0.75</v>
      </c>
      <c r="E8418" t="s">
        <v>11</v>
      </c>
      <c r="F8418" t="s">
        <v>2271</v>
      </c>
      <c r="J8418" t="s">
        <v>20</v>
      </c>
    </row>
    <row r="8419" spans="1:10" x14ac:dyDescent="0.3">
      <c r="A8419" t="s">
        <v>15392</v>
      </c>
      <c r="B8419" t="s">
        <v>15393</v>
      </c>
      <c r="D8419">
        <v>10</v>
      </c>
      <c r="E8419" t="s">
        <v>29</v>
      </c>
      <c r="F8419" t="s">
        <v>15394</v>
      </c>
    </row>
    <row r="8420" spans="1:10" x14ac:dyDescent="0.3">
      <c r="A8420" t="s">
        <v>2084</v>
      </c>
      <c r="B8420" t="s">
        <v>6392</v>
      </c>
      <c r="D8420">
        <v>2</v>
      </c>
      <c r="E8420" t="s">
        <v>189</v>
      </c>
      <c r="F8420" t="s">
        <v>2214</v>
      </c>
    </row>
    <row r="8421" spans="1:10" x14ac:dyDescent="0.3">
      <c r="A8421" t="s">
        <v>6603</v>
      </c>
      <c r="B8421" t="s">
        <v>15395</v>
      </c>
      <c r="D8421">
        <v>45</v>
      </c>
      <c r="E8421" t="s">
        <v>29</v>
      </c>
      <c r="F8421" t="s">
        <v>15396</v>
      </c>
    </row>
    <row r="8422" spans="1:10" x14ac:dyDescent="0.3">
      <c r="A8422" t="s">
        <v>13294</v>
      </c>
      <c r="B8422" t="s">
        <v>15397</v>
      </c>
      <c r="D8422">
        <v>1</v>
      </c>
      <c r="E8422" t="s">
        <v>284</v>
      </c>
      <c r="F8422" t="s">
        <v>5795</v>
      </c>
    </row>
    <row r="8423" spans="1:10" x14ac:dyDescent="0.3">
      <c r="A8423" t="s">
        <v>7043</v>
      </c>
      <c r="B8423" t="s">
        <v>725</v>
      </c>
      <c r="D8423">
        <v>1</v>
      </c>
      <c r="E8423" t="s">
        <v>585</v>
      </c>
      <c r="F8423" t="s">
        <v>163</v>
      </c>
      <c r="J8423" t="s">
        <v>248</v>
      </c>
    </row>
    <row r="8424" spans="1:10" x14ac:dyDescent="0.3">
      <c r="A8424" t="s">
        <v>15398</v>
      </c>
      <c r="B8424" t="s">
        <v>1737</v>
      </c>
      <c r="D8424">
        <v>2</v>
      </c>
      <c r="E8424" t="s">
        <v>23</v>
      </c>
      <c r="F8424" t="s">
        <v>320</v>
      </c>
    </row>
    <row r="8425" spans="1:10" x14ac:dyDescent="0.3">
      <c r="A8425" t="s">
        <v>15399</v>
      </c>
      <c r="B8425" t="s">
        <v>15400</v>
      </c>
      <c r="D8425">
        <v>3</v>
      </c>
      <c r="F8425" t="s">
        <v>7333</v>
      </c>
      <c r="J8425" t="s">
        <v>164</v>
      </c>
    </row>
    <row r="8426" spans="1:10" x14ac:dyDescent="0.3">
      <c r="A8426" t="s">
        <v>15401</v>
      </c>
      <c r="B8426" t="s">
        <v>15402</v>
      </c>
      <c r="D8426">
        <v>1</v>
      </c>
      <c r="E8426" t="s">
        <v>18</v>
      </c>
      <c r="F8426" t="s">
        <v>15403</v>
      </c>
    </row>
    <row r="8427" spans="1:10" x14ac:dyDescent="0.3">
      <c r="A8427" t="s">
        <v>15404</v>
      </c>
      <c r="B8427" t="s">
        <v>388</v>
      </c>
      <c r="D8427">
        <v>0.5</v>
      </c>
      <c r="E8427" t="s">
        <v>23</v>
      </c>
      <c r="F8427" t="s">
        <v>331</v>
      </c>
    </row>
    <row r="8428" spans="1:10" x14ac:dyDescent="0.3">
      <c r="A8428" t="s">
        <v>15405</v>
      </c>
      <c r="B8428" t="s">
        <v>15406</v>
      </c>
      <c r="D8428">
        <v>2.25</v>
      </c>
      <c r="E8428" t="s">
        <v>23</v>
      </c>
      <c r="F8428" t="s">
        <v>281</v>
      </c>
    </row>
    <row r="8429" spans="1:10" x14ac:dyDescent="0.3">
      <c r="A8429" t="s">
        <v>490</v>
      </c>
      <c r="B8429" t="s">
        <v>15407</v>
      </c>
      <c r="D8429">
        <v>0.5</v>
      </c>
      <c r="E8429" t="s">
        <v>23</v>
      </c>
      <c r="F8429" t="s">
        <v>57</v>
      </c>
    </row>
    <row r="8430" spans="1:10" x14ac:dyDescent="0.3">
      <c r="A8430" t="s">
        <v>15408</v>
      </c>
      <c r="B8430" t="s">
        <v>15409</v>
      </c>
      <c r="D8430">
        <v>1.5</v>
      </c>
      <c r="E8430" t="s">
        <v>23</v>
      </c>
      <c r="F8430" t="s">
        <v>716</v>
      </c>
      <c r="J8430" t="s">
        <v>289</v>
      </c>
    </row>
    <row r="8431" spans="1:10" x14ac:dyDescent="0.3">
      <c r="A8431" t="s">
        <v>7961</v>
      </c>
      <c r="B8431" t="s">
        <v>6718</v>
      </c>
      <c r="D8431">
        <v>0.75</v>
      </c>
      <c r="E8431" t="s">
        <v>206</v>
      </c>
      <c r="F8431" t="s">
        <v>81</v>
      </c>
    </row>
    <row r="8432" spans="1:10" x14ac:dyDescent="0.3">
      <c r="A8432" t="s">
        <v>2141</v>
      </c>
      <c r="B8432" t="s">
        <v>2142</v>
      </c>
      <c r="D8432">
        <v>1</v>
      </c>
      <c r="E8432" t="s">
        <v>23</v>
      </c>
      <c r="F8432" t="s">
        <v>160</v>
      </c>
      <c r="H8432" t="s">
        <v>68</v>
      </c>
    </row>
    <row r="8433" spans="1:6" x14ac:dyDescent="0.3">
      <c r="A8433" t="s">
        <v>15410</v>
      </c>
      <c r="B8433" t="s">
        <v>15411</v>
      </c>
      <c r="D8433">
        <v>1</v>
      </c>
      <c r="E8433" t="s">
        <v>37</v>
      </c>
      <c r="F8433" t="s">
        <v>220</v>
      </c>
    </row>
    <row r="8434" spans="1:6" x14ac:dyDescent="0.3">
      <c r="A8434" t="s">
        <v>15412</v>
      </c>
      <c r="B8434" t="s">
        <v>15413</v>
      </c>
      <c r="D8434">
        <v>0.5</v>
      </c>
      <c r="E8434" t="s">
        <v>23</v>
      </c>
      <c r="F8434" t="s">
        <v>1927</v>
      </c>
    </row>
    <row r="8435" spans="1:6" x14ac:dyDescent="0.3">
      <c r="A8435" t="s">
        <v>1956</v>
      </c>
      <c r="B8435" t="s">
        <v>1327</v>
      </c>
      <c r="D8435">
        <v>0.5</v>
      </c>
      <c r="E8435" t="s">
        <v>37</v>
      </c>
      <c r="F8435" t="s">
        <v>1328</v>
      </c>
    </row>
    <row r="8436" spans="1:6" x14ac:dyDescent="0.3">
      <c r="A8436" t="s">
        <v>8534</v>
      </c>
      <c r="B8436" t="s">
        <v>2686</v>
      </c>
      <c r="D8436">
        <v>0.5</v>
      </c>
      <c r="E8436" t="s">
        <v>23</v>
      </c>
      <c r="F8436" t="s">
        <v>2243</v>
      </c>
    </row>
    <row r="8437" spans="1:6" x14ac:dyDescent="0.3">
      <c r="A8437" t="s">
        <v>9601</v>
      </c>
      <c r="B8437" t="s">
        <v>15414</v>
      </c>
      <c r="D8437">
        <v>30</v>
      </c>
      <c r="E8437" t="s">
        <v>29</v>
      </c>
      <c r="F8437" t="s">
        <v>716</v>
      </c>
    </row>
    <row r="8438" spans="1:6" x14ac:dyDescent="0.3">
      <c r="A8438" t="s">
        <v>15136</v>
      </c>
      <c r="B8438" t="s">
        <v>5643</v>
      </c>
      <c r="D8438">
        <v>0.5</v>
      </c>
      <c r="E8438" t="s">
        <v>23</v>
      </c>
      <c r="F8438" t="s">
        <v>4728</v>
      </c>
    </row>
    <row r="8439" spans="1:6" x14ac:dyDescent="0.3">
      <c r="A8439" t="s">
        <v>15415</v>
      </c>
      <c r="B8439" t="s">
        <v>15416</v>
      </c>
      <c r="D8439">
        <v>0.5</v>
      </c>
      <c r="E8439" t="s">
        <v>284</v>
      </c>
      <c r="F8439" t="s">
        <v>193</v>
      </c>
    </row>
    <row r="8440" spans="1:6" x14ac:dyDescent="0.3">
      <c r="A8440" t="s">
        <v>9427</v>
      </c>
      <c r="B8440" t="s">
        <v>15417</v>
      </c>
      <c r="D8440">
        <v>0.5</v>
      </c>
      <c r="E8440" t="s">
        <v>37</v>
      </c>
      <c r="F8440" t="s">
        <v>15418</v>
      </c>
    </row>
    <row r="8441" spans="1:6" x14ac:dyDescent="0.3">
      <c r="A8441" t="s">
        <v>15419</v>
      </c>
      <c r="B8441" t="s">
        <v>15420</v>
      </c>
      <c r="D8441">
        <v>25</v>
      </c>
      <c r="E8441" t="s">
        <v>29</v>
      </c>
      <c r="F8441" t="s">
        <v>15421</v>
      </c>
    </row>
    <row r="8442" spans="1:6" x14ac:dyDescent="0.3">
      <c r="A8442" t="s">
        <v>15422</v>
      </c>
      <c r="B8442" t="s">
        <v>15423</v>
      </c>
      <c r="D8442">
        <v>1</v>
      </c>
      <c r="E8442" t="s">
        <v>37</v>
      </c>
      <c r="F8442" t="s">
        <v>15424</v>
      </c>
    </row>
    <row r="8443" spans="1:6" x14ac:dyDescent="0.3">
      <c r="A8443" t="s">
        <v>15425</v>
      </c>
      <c r="B8443" t="s">
        <v>15426</v>
      </c>
      <c r="D8443">
        <v>0.5</v>
      </c>
      <c r="E8443" t="s">
        <v>460</v>
      </c>
      <c r="F8443" t="s">
        <v>15427</v>
      </c>
    </row>
    <row r="8444" spans="1:6" x14ac:dyDescent="0.3">
      <c r="A8444" t="s">
        <v>15428</v>
      </c>
      <c r="B8444" t="s">
        <v>15429</v>
      </c>
      <c r="D8444">
        <v>5</v>
      </c>
      <c r="E8444" t="s">
        <v>23</v>
      </c>
      <c r="F8444" t="s">
        <v>15430</v>
      </c>
    </row>
    <row r="8445" spans="1:6" x14ac:dyDescent="0.3">
      <c r="A8445" t="s">
        <v>15431</v>
      </c>
      <c r="B8445" t="s">
        <v>15432</v>
      </c>
      <c r="D8445">
        <v>0.25</v>
      </c>
      <c r="E8445" t="s">
        <v>23</v>
      </c>
      <c r="F8445" t="s">
        <v>14666</v>
      </c>
    </row>
    <row r="8446" spans="1:6" x14ac:dyDescent="0.3">
      <c r="A8446" t="s">
        <v>4810</v>
      </c>
      <c r="B8446" t="s">
        <v>15433</v>
      </c>
      <c r="D8446">
        <v>1.5</v>
      </c>
      <c r="E8446" t="s">
        <v>345</v>
      </c>
      <c r="F8446" t="s">
        <v>741</v>
      </c>
    </row>
    <row r="8447" spans="1:6" x14ac:dyDescent="0.3">
      <c r="A8447" t="s">
        <v>15434</v>
      </c>
      <c r="B8447" t="s">
        <v>15435</v>
      </c>
      <c r="D8447">
        <v>1</v>
      </c>
      <c r="E8447" t="s">
        <v>23</v>
      </c>
      <c r="F8447" t="s">
        <v>15436</v>
      </c>
    </row>
    <row r="8448" spans="1:6" x14ac:dyDescent="0.3">
      <c r="A8448" t="s">
        <v>11141</v>
      </c>
      <c r="B8448" t="s">
        <v>5540</v>
      </c>
      <c r="D8448">
        <v>0.75</v>
      </c>
      <c r="E8448" t="s">
        <v>23</v>
      </c>
      <c r="F8448" t="s">
        <v>1209</v>
      </c>
    </row>
    <row r="8449" spans="1:10" x14ac:dyDescent="0.3">
      <c r="A8449" t="s">
        <v>15437</v>
      </c>
      <c r="B8449" t="s">
        <v>15438</v>
      </c>
      <c r="D8449">
        <v>1</v>
      </c>
      <c r="E8449" t="s">
        <v>11</v>
      </c>
      <c r="F8449" t="s">
        <v>15439</v>
      </c>
    </row>
    <row r="8450" spans="1:10" x14ac:dyDescent="0.3">
      <c r="A8450" t="s">
        <v>15440</v>
      </c>
      <c r="B8450" t="s">
        <v>15441</v>
      </c>
      <c r="D8450">
        <v>2</v>
      </c>
      <c r="E8450" t="s">
        <v>91</v>
      </c>
      <c r="F8450" t="s">
        <v>15442</v>
      </c>
    </row>
    <row r="8451" spans="1:10" x14ac:dyDescent="0.3">
      <c r="A8451" t="s">
        <v>15443</v>
      </c>
      <c r="B8451" t="s">
        <v>101</v>
      </c>
      <c r="D8451">
        <v>1.25</v>
      </c>
      <c r="E8451" t="s">
        <v>23</v>
      </c>
      <c r="F8451" t="s">
        <v>102</v>
      </c>
    </row>
    <row r="8452" spans="1:10" x14ac:dyDescent="0.3">
      <c r="A8452" t="s">
        <v>7389</v>
      </c>
      <c r="B8452" t="s">
        <v>416</v>
      </c>
      <c r="F8452" t="s">
        <v>416</v>
      </c>
    </row>
    <row r="8453" spans="1:10" x14ac:dyDescent="0.3">
      <c r="A8453" t="s">
        <v>15444</v>
      </c>
      <c r="B8453" t="s">
        <v>15445</v>
      </c>
      <c r="D8453">
        <v>10</v>
      </c>
      <c r="E8453" t="s">
        <v>29</v>
      </c>
      <c r="F8453" t="s">
        <v>15446</v>
      </c>
    </row>
    <row r="8454" spans="1:10" x14ac:dyDescent="0.3">
      <c r="A8454" t="s">
        <v>15447</v>
      </c>
      <c r="B8454" t="s">
        <v>824</v>
      </c>
      <c r="D8454">
        <v>1</v>
      </c>
      <c r="F8454" t="s">
        <v>825</v>
      </c>
      <c r="J8454" t="s">
        <v>248</v>
      </c>
    </row>
    <row r="8455" spans="1:10" x14ac:dyDescent="0.3">
      <c r="A8455" t="s">
        <v>11190</v>
      </c>
      <c r="B8455" t="s">
        <v>6022</v>
      </c>
      <c r="D8455">
        <v>1</v>
      </c>
      <c r="E8455" t="s">
        <v>23</v>
      </c>
      <c r="F8455" t="s">
        <v>4670</v>
      </c>
    </row>
    <row r="8456" spans="1:10" x14ac:dyDescent="0.3">
      <c r="A8456" t="s">
        <v>9787</v>
      </c>
      <c r="B8456" t="s">
        <v>3930</v>
      </c>
      <c r="D8456">
        <v>0.75</v>
      </c>
      <c r="E8456" t="s">
        <v>23</v>
      </c>
      <c r="F8456" t="s">
        <v>88</v>
      </c>
    </row>
    <row r="8457" spans="1:10" x14ac:dyDescent="0.3">
      <c r="A8457" t="s">
        <v>15448</v>
      </c>
      <c r="B8457" t="s">
        <v>6392</v>
      </c>
      <c r="D8457">
        <v>2</v>
      </c>
      <c r="E8457" t="s">
        <v>189</v>
      </c>
      <c r="F8457" t="s">
        <v>2214</v>
      </c>
    </row>
    <row r="8458" spans="1:10" x14ac:dyDescent="0.3">
      <c r="A8458" t="s">
        <v>15449</v>
      </c>
      <c r="B8458" t="s">
        <v>15450</v>
      </c>
      <c r="D8458">
        <v>10</v>
      </c>
      <c r="E8458" t="s">
        <v>29</v>
      </c>
      <c r="F8458" t="s">
        <v>95</v>
      </c>
    </row>
    <row r="8459" spans="1:10" x14ac:dyDescent="0.3">
      <c r="A8459" t="s">
        <v>15451</v>
      </c>
      <c r="B8459" t="s">
        <v>2194</v>
      </c>
      <c r="D8459">
        <v>0.5</v>
      </c>
      <c r="E8459" t="s">
        <v>23</v>
      </c>
      <c r="F8459" t="s">
        <v>1238</v>
      </c>
    </row>
    <row r="8460" spans="1:10" x14ac:dyDescent="0.3">
      <c r="A8460" t="s">
        <v>9211</v>
      </c>
      <c r="B8460" t="s">
        <v>15452</v>
      </c>
      <c r="D8460">
        <v>3</v>
      </c>
      <c r="E8460" t="s">
        <v>23</v>
      </c>
      <c r="F8460" t="s">
        <v>2178</v>
      </c>
    </row>
    <row r="8461" spans="1:10" x14ac:dyDescent="0.3">
      <c r="A8461" t="s">
        <v>2566</v>
      </c>
      <c r="B8461" t="s">
        <v>15453</v>
      </c>
      <c r="D8461">
        <v>1</v>
      </c>
      <c r="E8461" t="s">
        <v>11</v>
      </c>
      <c r="F8461" t="s">
        <v>15454</v>
      </c>
    </row>
    <row r="8462" spans="1:10" x14ac:dyDescent="0.3">
      <c r="A8462" t="s">
        <v>15455</v>
      </c>
      <c r="B8462" t="s">
        <v>15456</v>
      </c>
      <c r="D8462">
        <v>1.25</v>
      </c>
      <c r="E8462" t="s">
        <v>23</v>
      </c>
      <c r="F8462" t="s">
        <v>500</v>
      </c>
    </row>
    <row r="8463" spans="1:10" x14ac:dyDescent="0.3">
      <c r="A8463" t="s">
        <v>15457</v>
      </c>
      <c r="B8463" t="s">
        <v>15458</v>
      </c>
      <c r="D8463">
        <v>0.75</v>
      </c>
      <c r="E8463" t="s">
        <v>23</v>
      </c>
      <c r="F8463" t="s">
        <v>12418</v>
      </c>
    </row>
    <row r="8464" spans="1:10" x14ac:dyDescent="0.3">
      <c r="A8464" t="s">
        <v>15459</v>
      </c>
      <c r="B8464" t="s">
        <v>743</v>
      </c>
      <c r="F8464" t="s">
        <v>743</v>
      </c>
    </row>
    <row r="8465" spans="1:10" x14ac:dyDescent="0.3">
      <c r="A8465" t="s">
        <v>15460</v>
      </c>
      <c r="B8465" t="s">
        <v>15461</v>
      </c>
      <c r="D8465">
        <v>0.25</v>
      </c>
      <c r="E8465" t="s">
        <v>37</v>
      </c>
      <c r="F8465" t="s">
        <v>1416</v>
      </c>
    </row>
    <row r="8466" spans="1:10" x14ac:dyDescent="0.3">
      <c r="A8466" t="s">
        <v>15462</v>
      </c>
      <c r="B8466" t="s">
        <v>15463</v>
      </c>
      <c r="E8466" t="s">
        <v>368</v>
      </c>
      <c r="F8466" t="s">
        <v>932</v>
      </c>
      <c r="J8466" t="s">
        <v>289</v>
      </c>
    </row>
    <row r="8467" spans="1:10" x14ac:dyDescent="0.3">
      <c r="A8467" t="s">
        <v>15464</v>
      </c>
      <c r="B8467" t="s">
        <v>637</v>
      </c>
      <c r="D8467">
        <v>1</v>
      </c>
      <c r="E8467" t="s">
        <v>23</v>
      </c>
      <c r="F8467" t="s">
        <v>638</v>
      </c>
    </row>
    <row r="8468" spans="1:10" x14ac:dyDescent="0.3">
      <c r="A8468" t="s">
        <v>5756</v>
      </c>
      <c r="B8468" t="s">
        <v>15465</v>
      </c>
      <c r="D8468" t="s">
        <v>5342</v>
      </c>
      <c r="E8468" t="s">
        <v>345</v>
      </c>
      <c r="F8468" t="s">
        <v>1116</v>
      </c>
      <c r="J8468" t="s">
        <v>2083</v>
      </c>
    </row>
    <row r="8469" spans="1:10" x14ac:dyDescent="0.3">
      <c r="A8469" t="s">
        <v>15466</v>
      </c>
      <c r="B8469" t="s">
        <v>15467</v>
      </c>
      <c r="D8469">
        <v>0.33</v>
      </c>
      <c r="F8469" t="s">
        <v>15468</v>
      </c>
    </row>
    <row r="8470" spans="1:10" x14ac:dyDescent="0.3">
      <c r="A8470" t="s">
        <v>6736</v>
      </c>
      <c r="B8470" t="s">
        <v>1976</v>
      </c>
      <c r="D8470">
        <v>1</v>
      </c>
      <c r="F8470" t="s">
        <v>1977</v>
      </c>
    </row>
    <row r="8471" spans="1:10" x14ac:dyDescent="0.3">
      <c r="A8471" t="s">
        <v>15469</v>
      </c>
      <c r="B8471" t="s">
        <v>4492</v>
      </c>
      <c r="D8471">
        <v>1</v>
      </c>
      <c r="E8471" t="s">
        <v>23</v>
      </c>
      <c r="F8471" t="s">
        <v>3447</v>
      </c>
    </row>
    <row r="8472" spans="1:10" x14ac:dyDescent="0.3">
      <c r="A8472" t="s">
        <v>495</v>
      </c>
      <c r="B8472" t="s">
        <v>15470</v>
      </c>
      <c r="D8472">
        <v>0.25</v>
      </c>
      <c r="E8472" t="s">
        <v>460</v>
      </c>
      <c r="F8472" t="s">
        <v>2007</v>
      </c>
    </row>
    <row r="8473" spans="1:10" x14ac:dyDescent="0.3">
      <c r="A8473" t="s">
        <v>15471</v>
      </c>
      <c r="B8473" t="s">
        <v>15472</v>
      </c>
      <c r="D8473">
        <v>1</v>
      </c>
      <c r="E8473" t="s">
        <v>23</v>
      </c>
      <c r="F8473" t="s">
        <v>7624</v>
      </c>
    </row>
    <row r="8474" spans="1:10" x14ac:dyDescent="0.3">
      <c r="A8474" t="s">
        <v>15473</v>
      </c>
      <c r="B8474" t="s">
        <v>3216</v>
      </c>
      <c r="D8474">
        <v>0.75</v>
      </c>
      <c r="E8474" t="s">
        <v>23</v>
      </c>
      <c r="F8474" t="s">
        <v>38</v>
      </c>
      <c r="H8474" t="s">
        <v>68</v>
      </c>
    </row>
    <row r="8475" spans="1:10" x14ac:dyDescent="0.3">
      <c r="A8475" t="s">
        <v>14549</v>
      </c>
      <c r="B8475" t="s">
        <v>15474</v>
      </c>
      <c r="D8475">
        <v>2</v>
      </c>
      <c r="E8475" t="s">
        <v>473</v>
      </c>
      <c r="F8475" t="s">
        <v>15475</v>
      </c>
    </row>
    <row r="8476" spans="1:10" x14ac:dyDescent="0.3">
      <c r="A8476" t="s">
        <v>15476</v>
      </c>
      <c r="B8476" t="s">
        <v>4113</v>
      </c>
      <c r="D8476">
        <v>1</v>
      </c>
      <c r="E8476" t="s">
        <v>469</v>
      </c>
      <c r="F8476" t="s">
        <v>4114</v>
      </c>
    </row>
    <row r="8477" spans="1:10" x14ac:dyDescent="0.3">
      <c r="A8477" t="s">
        <v>15477</v>
      </c>
      <c r="B8477" t="s">
        <v>15478</v>
      </c>
      <c r="D8477">
        <v>1</v>
      </c>
      <c r="E8477" t="s">
        <v>361</v>
      </c>
      <c r="F8477" t="s">
        <v>1006</v>
      </c>
      <c r="J8477" t="s">
        <v>15479</v>
      </c>
    </row>
    <row r="8478" spans="1:10" x14ac:dyDescent="0.3">
      <c r="A8478" t="s">
        <v>15480</v>
      </c>
      <c r="B8478" t="s">
        <v>15481</v>
      </c>
      <c r="D8478">
        <v>3</v>
      </c>
      <c r="E8478" t="s">
        <v>23</v>
      </c>
      <c r="F8478" t="s">
        <v>15482</v>
      </c>
    </row>
    <row r="8479" spans="1:10" x14ac:dyDescent="0.3">
      <c r="A8479" t="s">
        <v>15483</v>
      </c>
      <c r="B8479" t="s">
        <v>9015</v>
      </c>
      <c r="D8479">
        <v>1.5</v>
      </c>
      <c r="E8479" t="s">
        <v>23</v>
      </c>
      <c r="F8479" t="s">
        <v>2602</v>
      </c>
    </row>
    <row r="8480" spans="1:10" x14ac:dyDescent="0.3">
      <c r="A8480" t="s">
        <v>8100</v>
      </c>
      <c r="B8480" t="s">
        <v>152</v>
      </c>
      <c r="F8480" t="s">
        <v>152</v>
      </c>
    </row>
    <row r="8481" spans="1:10" x14ac:dyDescent="0.3">
      <c r="A8481" t="s">
        <v>15484</v>
      </c>
      <c r="B8481" t="s">
        <v>15485</v>
      </c>
      <c r="D8481">
        <v>3</v>
      </c>
      <c r="E8481" t="s">
        <v>18</v>
      </c>
      <c r="F8481" t="s">
        <v>1895</v>
      </c>
      <c r="J8481" t="s">
        <v>289</v>
      </c>
    </row>
    <row r="8482" spans="1:10" x14ac:dyDescent="0.3">
      <c r="A8482" t="s">
        <v>14059</v>
      </c>
      <c r="B8482" t="s">
        <v>15486</v>
      </c>
      <c r="D8482">
        <v>1.5</v>
      </c>
      <c r="E8482" t="s">
        <v>91</v>
      </c>
      <c r="F8482" t="s">
        <v>14048</v>
      </c>
    </row>
    <row r="8483" spans="1:10" x14ac:dyDescent="0.3">
      <c r="A8483" t="s">
        <v>2564</v>
      </c>
      <c r="B8483" t="s">
        <v>15487</v>
      </c>
      <c r="D8483">
        <v>1</v>
      </c>
      <c r="E8483" t="s">
        <v>11</v>
      </c>
      <c r="F8483" t="s">
        <v>1252</v>
      </c>
      <c r="J8483" t="s">
        <v>20</v>
      </c>
    </row>
    <row r="8484" spans="1:10" x14ac:dyDescent="0.3">
      <c r="A8484" t="s">
        <v>15488</v>
      </c>
      <c r="B8484" t="s">
        <v>15489</v>
      </c>
      <c r="D8484">
        <v>2</v>
      </c>
      <c r="E8484" t="s">
        <v>345</v>
      </c>
      <c r="F8484" t="s">
        <v>14008</v>
      </c>
      <c r="G8484" t="s">
        <v>1994</v>
      </c>
      <c r="I8484" t="s">
        <v>15490</v>
      </c>
      <c r="J8484" t="s">
        <v>325</v>
      </c>
    </row>
    <row r="8485" spans="1:10" x14ac:dyDescent="0.3">
      <c r="A8485" t="s">
        <v>15491</v>
      </c>
      <c r="B8485" t="s">
        <v>923</v>
      </c>
      <c r="D8485">
        <v>1.5</v>
      </c>
      <c r="E8485" t="s">
        <v>23</v>
      </c>
      <c r="F8485" t="s">
        <v>233</v>
      </c>
    </row>
    <row r="8486" spans="1:10" x14ac:dyDescent="0.3">
      <c r="A8486" t="s">
        <v>15492</v>
      </c>
      <c r="B8486" t="s">
        <v>15493</v>
      </c>
      <c r="D8486">
        <v>4</v>
      </c>
      <c r="F8486" t="s">
        <v>491</v>
      </c>
      <c r="G8486" t="s">
        <v>15494</v>
      </c>
    </row>
    <row r="8487" spans="1:10" x14ac:dyDescent="0.3">
      <c r="A8487" t="s">
        <v>15495</v>
      </c>
      <c r="B8487" t="s">
        <v>743</v>
      </c>
      <c r="F8487" t="s">
        <v>743</v>
      </c>
    </row>
    <row r="8488" spans="1:10" x14ac:dyDescent="0.3">
      <c r="A8488" t="s">
        <v>15496</v>
      </c>
      <c r="B8488" t="s">
        <v>3282</v>
      </c>
      <c r="D8488">
        <v>50</v>
      </c>
      <c r="E8488" t="s">
        <v>29</v>
      </c>
      <c r="F8488" t="s">
        <v>12293</v>
      </c>
    </row>
    <row r="8489" spans="1:10" x14ac:dyDescent="0.3">
      <c r="A8489" t="s">
        <v>13544</v>
      </c>
      <c r="B8489" t="s">
        <v>15497</v>
      </c>
      <c r="D8489" t="s">
        <v>665</v>
      </c>
      <c r="E8489" t="s">
        <v>189</v>
      </c>
      <c r="F8489" t="s">
        <v>15498</v>
      </c>
      <c r="J8489" t="s">
        <v>1177</v>
      </c>
    </row>
    <row r="8490" spans="1:10" x14ac:dyDescent="0.3">
      <c r="A8490" t="s">
        <v>15499</v>
      </c>
      <c r="B8490" t="s">
        <v>4087</v>
      </c>
      <c r="D8490">
        <v>2</v>
      </c>
      <c r="E8490" t="s">
        <v>23</v>
      </c>
      <c r="F8490" t="s">
        <v>349</v>
      </c>
    </row>
    <row r="8491" spans="1:10" x14ac:dyDescent="0.3">
      <c r="A8491" t="s">
        <v>12791</v>
      </c>
      <c r="B8491" t="s">
        <v>15500</v>
      </c>
      <c r="D8491">
        <v>0.33</v>
      </c>
      <c r="E8491" t="s">
        <v>612</v>
      </c>
      <c r="F8491" t="s">
        <v>2867</v>
      </c>
    </row>
    <row r="8492" spans="1:10" x14ac:dyDescent="0.3">
      <c r="A8492" t="s">
        <v>15501</v>
      </c>
      <c r="B8492" t="s">
        <v>13269</v>
      </c>
      <c r="D8492">
        <v>10.5</v>
      </c>
      <c r="E8492" t="s">
        <v>91</v>
      </c>
      <c r="F8492" t="s">
        <v>12864</v>
      </c>
      <c r="J8492" t="s">
        <v>654</v>
      </c>
    </row>
    <row r="8493" spans="1:10" x14ac:dyDescent="0.3">
      <c r="A8493" t="s">
        <v>4176</v>
      </c>
      <c r="B8493" t="s">
        <v>3186</v>
      </c>
      <c r="D8493">
        <v>1</v>
      </c>
      <c r="E8493" t="s">
        <v>111</v>
      </c>
      <c r="F8493" t="s">
        <v>320</v>
      </c>
    </row>
    <row r="8494" spans="1:10" x14ac:dyDescent="0.3">
      <c r="A8494" t="s">
        <v>15502</v>
      </c>
      <c r="B8494" t="s">
        <v>15503</v>
      </c>
      <c r="D8494">
        <v>4</v>
      </c>
      <c r="E8494" t="s">
        <v>23</v>
      </c>
      <c r="F8494" t="s">
        <v>333</v>
      </c>
      <c r="G8494" t="s">
        <v>1247</v>
      </c>
    </row>
    <row r="8495" spans="1:10" x14ac:dyDescent="0.3">
      <c r="A8495" t="s">
        <v>7824</v>
      </c>
      <c r="B8495" t="s">
        <v>15504</v>
      </c>
      <c r="D8495">
        <v>1.25</v>
      </c>
      <c r="E8495" t="s">
        <v>176</v>
      </c>
      <c r="F8495" t="s">
        <v>741</v>
      </c>
      <c r="G8495" t="s">
        <v>167</v>
      </c>
      <c r="H8495" t="s">
        <v>168</v>
      </c>
    </row>
    <row r="8496" spans="1:10" x14ac:dyDescent="0.3">
      <c r="A8496" t="s">
        <v>15360</v>
      </c>
      <c r="B8496" t="s">
        <v>15505</v>
      </c>
      <c r="D8496">
        <v>35</v>
      </c>
      <c r="E8496" t="s">
        <v>29</v>
      </c>
      <c r="F8496" t="s">
        <v>15506</v>
      </c>
      <c r="J8496" t="s">
        <v>3025</v>
      </c>
    </row>
    <row r="8497" spans="1:10" x14ac:dyDescent="0.3">
      <c r="A8497" t="s">
        <v>15507</v>
      </c>
      <c r="B8497" t="s">
        <v>3910</v>
      </c>
      <c r="D8497">
        <v>3</v>
      </c>
      <c r="E8497" t="s">
        <v>23</v>
      </c>
      <c r="F8497" t="s">
        <v>3911</v>
      </c>
    </row>
    <row r="8498" spans="1:10" x14ac:dyDescent="0.3">
      <c r="A8498" t="s">
        <v>15508</v>
      </c>
      <c r="B8498" t="s">
        <v>15509</v>
      </c>
      <c r="D8498">
        <v>2</v>
      </c>
      <c r="E8498" t="s">
        <v>189</v>
      </c>
      <c r="F8498" t="s">
        <v>15510</v>
      </c>
    </row>
    <row r="8499" spans="1:10" x14ac:dyDescent="0.3">
      <c r="A8499" t="s">
        <v>2179</v>
      </c>
      <c r="B8499" t="s">
        <v>15511</v>
      </c>
      <c r="D8499">
        <v>2</v>
      </c>
      <c r="E8499" t="s">
        <v>189</v>
      </c>
      <c r="F8499" t="s">
        <v>15512</v>
      </c>
    </row>
    <row r="8500" spans="1:10" x14ac:dyDescent="0.3">
      <c r="A8500" t="s">
        <v>15513</v>
      </c>
      <c r="B8500" t="s">
        <v>15514</v>
      </c>
      <c r="D8500">
        <v>1.5</v>
      </c>
      <c r="E8500" t="s">
        <v>23</v>
      </c>
      <c r="F8500" t="s">
        <v>15515</v>
      </c>
    </row>
    <row r="8501" spans="1:10" x14ac:dyDescent="0.3">
      <c r="A8501" t="s">
        <v>6345</v>
      </c>
      <c r="B8501" t="s">
        <v>3110</v>
      </c>
      <c r="D8501">
        <v>0.5</v>
      </c>
      <c r="E8501" t="s">
        <v>11</v>
      </c>
      <c r="F8501" t="s">
        <v>423</v>
      </c>
    </row>
    <row r="8502" spans="1:10" x14ac:dyDescent="0.3">
      <c r="A8502" t="s">
        <v>8710</v>
      </c>
      <c r="B8502" t="s">
        <v>15516</v>
      </c>
      <c r="D8502">
        <v>4</v>
      </c>
      <c r="E8502" t="s">
        <v>227</v>
      </c>
      <c r="F8502" t="s">
        <v>413</v>
      </c>
      <c r="G8502" t="s">
        <v>1014</v>
      </c>
      <c r="J8502" t="s">
        <v>4067</v>
      </c>
    </row>
    <row r="8503" spans="1:10" x14ac:dyDescent="0.3">
      <c r="A8503" t="s">
        <v>4750</v>
      </c>
      <c r="B8503" t="s">
        <v>15517</v>
      </c>
      <c r="D8503">
        <v>6</v>
      </c>
      <c r="F8503" t="s">
        <v>15518</v>
      </c>
      <c r="G8503" t="s">
        <v>15519</v>
      </c>
      <c r="J8503" t="s">
        <v>325</v>
      </c>
    </row>
    <row r="8504" spans="1:10" x14ac:dyDescent="0.3">
      <c r="A8504" t="s">
        <v>2968</v>
      </c>
      <c r="B8504" t="s">
        <v>10599</v>
      </c>
      <c r="D8504">
        <v>0.5</v>
      </c>
      <c r="E8504" t="s">
        <v>11</v>
      </c>
      <c r="F8504" t="s">
        <v>10600</v>
      </c>
    </row>
    <row r="8505" spans="1:10" x14ac:dyDescent="0.3">
      <c r="A8505" t="s">
        <v>15520</v>
      </c>
      <c r="B8505" t="s">
        <v>7062</v>
      </c>
      <c r="D8505">
        <v>1</v>
      </c>
      <c r="E8505" t="s">
        <v>23</v>
      </c>
      <c r="F8505" t="s">
        <v>7063</v>
      </c>
    </row>
    <row r="8506" spans="1:10" x14ac:dyDescent="0.3">
      <c r="A8506" t="s">
        <v>15521</v>
      </c>
      <c r="B8506" t="s">
        <v>15522</v>
      </c>
      <c r="D8506">
        <v>0.5</v>
      </c>
      <c r="E8506" t="s">
        <v>23</v>
      </c>
      <c r="F8506" t="s">
        <v>2014</v>
      </c>
    </row>
    <row r="8507" spans="1:10" x14ac:dyDescent="0.3">
      <c r="A8507" t="s">
        <v>15523</v>
      </c>
      <c r="B8507" t="s">
        <v>15524</v>
      </c>
      <c r="D8507">
        <v>0.5</v>
      </c>
      <c r="E8507" t="s">
        <v>37</v>
      </c>
      <c r="F8507" t="s">
        <v>7874</v>
      </c>
    </row>
    <row r="8508" spans="1:10" x14ac:dyDescent="0.3">
      <c r="A8508" t="s">
        <v>15525</v>
      </c>
      <c r="B8508" t="s">
        <v>1354</v>
      </c>
      <c r="D8508">
        <v>1.5</v>
      </c>
      <c r="E8508" t="s">
        <v>23</v>
      </c>
      <c r="F8508" t="s">
        <v>220</v>
      </c>
    </row>
    <row r="8509" spans="1:10" x14ac:dyDescent="0.3">
      <c r="A8509" t="s">
        <v>15526</v>
      </c>
      <c r="B8509" t="s">
        <v>3077</v>
      </c>
      <c r="D8509">
        <v>0.5</v>
      </c>
      <c r="E8509" t="s">
        <v>23</v>
      </c>
      <c r="F8509" t="s">
        <v>374</v>
      </c>
    </row>
    <row r="8510" spans="1:10" x14ac:dyDescent="0.3">
      <c r="A8510" t="s">
        <v>6036</v>
      </c>
      <c r="B8510" t="s">
        <v>1097</v>
      </c>
      <c r="F8510" t="s">
        <v>1097</v>
      </c>
    </row>
    <row r="8511" spans="1:10" x14ac:dyDescent="0.3">
      <c r="A8511" t="s">
        <v>15527</v>
      </c>
      <c r="B8511" t="s">
        <v>15528</v>
      </c>
      <c r="D8511">
        <v>1.5</v>
      </c>
      <c r="E8511" t="s">
        <v>345</v>
      </c>
      <c r="F8511" t="s">
        <v>15529</v>
      </c>
    </row>
    <row r="8512" spans="1:10" x14ac:dyDescent="0.3">
      <c r="A8512" t="s">
        <v>7107</v>
      </c>
      <c r="B8512" t="s">
        <v>15530</v>
      </c>
      <c r="D8512">
        <v>1</v>
      </c>
      <c r="E8512" t="s">
        <v>361</v>
      </c>
      <c r="F8512" t="s">
        <v>15531</v>
      </c>
    </row>
    <row r="8513" spans="1:10" x14ac:dyDescent="0.3">
      <c r="A8513" t="s">
        <v>10812</v>
      </c>
      <c r="B8513" t="s">
        <v>6801</v>
      </c>
      <c r="D8513">
        <v>1</v>
      </c>
      <c r="E8513" t="s">
        <v>23</v>
      </c>
      <c r="F8513" t="s">
        <v>2211</v>
      </c>
    </row>
    <row r="8514" spans="1:10" x14ac:dyDescent="0.3">
      <c r="A8514" t="s">
        <v>9595</v>
      </c>
      <c r="B8514" t="s">
        <v>15532</v>
      </c>
      <c r="D8514">
        <v>6</v>
      </c>
      <c r="E8514" t="s">
        <v>473</v>
      </c>
      <c r="F8514" t="s">
        <v>4403</v>
      </c>
    </row>
    <row r="8515" spans="1:10" x14ac:dyDescent="0.3">
      <c r="A8515" t="s">
        <v>2100</v>
      </c>
      <c r="B8515" t="s">
        <v>15533</v>
      </c>
      <c r="D8515">
        <v>2</v>
      </c>
      <c r="E8515" t="s">
        <v>23</v>
      </c>
      <c r="F8515" t="s">
        <v>5161</v>
      </c>
    </row>
    <row r="8516" spans="1:10" x14ac:dyDescent="0.3">
      <c r="A8516" t="s">
        <v>15534</v>
      </c>
      <c r="B8516" t="s">
        <v>15535</v>
      </c>
      <c r="D8516">
        <v>2</v>
      </c>
      <c r="E8516" t="s">
        <v>91</v>
      </c>
      <c r="F8516" t="s">
        <v>15536</v>
      </c>
      <c r="J8516" t="s">
        <v>893</v>
      </c>
    </row>
    <row r="8517" spans="1:10" x14ac:dyDescent="0.3">
      <c r="A8517" t="s">
        <v>9072</v>
      </c>
      <c r="B8517" t="s">
        <v>15537</v>
      </c>
      <c r="D8517">
        <v>0.75</v>
      </c>
      <c r="E8517" t="s">
        <v>11</v>
      </c>
      <c r="F8517" t="s">
        <v>4445</v>
      </c>
      <c r="J8517" t="s">
        <v>20</v>
      </c>
    </row>
    <row r="8518" spans="1:10" x14ac:dyDescent="0.3">
      <c r="A8518" t="s">
        <v>10598</v>
      </c>
      <c r="B8518" t="s">
        <v>15538</v>
      </c>
      <c r="D8518">
        <v>0.25</v>
      </c>
      <c r="E8518" t="s">
        <v>11</v>
      </c>
      <c r="F8518" t="s">
        <v>1223</v>
      </c>
    </row>
    <row r="8519" spans="1:10" x14ac:dyDescent="0.3">
      <c r="A8519" t="s">
        <v>1631</v>
      </c>
      <c r="B8519" t="s">
        <v>15539</v>
      </c>
      <c r="D8519">
        <v>0.5</v>
      </c>
      <c r="E8519" t="s">
        <v>37</v>
      </c>
      <c r="F8519" t="s">
        <v>2742</v>
      </c>
    </row>
    <row r="8520" spans="1:10" x14ac:dyDescent="0.3">
      <c r="A8520" t="s">
        <v>9985</v>
      </c>
      <c r="B8520" t="s">
        <v>333</v>
      </c>
      <c r="F8520" t="s">
        <v>333</v>
      </c>
    </row>
    <row r="8521" spans="1:10" x14ac:dyDescent="0.3">
      <c r="A8521" t="s">
        <v>3690</v>
      </c>
      <c r="B8521" t="s">
        <v>15540</v>
      </c>
      <c r="D8521">
        <v>1.5</v>
      </c>
      <c r="E8521" t="s">
        <v>23</v>
      </c>
      <c r="F8521" t="s">
        <v>15541</v>
      </c>
      <c r="J8521" t="s">
        <v>289</v>
      </c>
    </row>
    <row r="8522" spans="1:10" x14ac:dyDescent="0.3">
      <c r="A8522" t="s">
        <v>9225</v>
      </c>
      <c r="B8522" t="s">
        <v>163</v>
      </c>
      <c r="F8522" t="s">
        <v>163</v>
      </c>
    </row>
    <row r="8523" spans="1:10" x14ac:dyDescent="0.3">
      <c r="A8523" t="s">
        <v>15542</v>
      </c>
      <c r="B8523" t="s">
        <v>3303</v>
      </c>
      <c r="D8523">
        <v>1</v>
      </c>
      <c r="E8523" t="s">
        <v>23</v>
      </c>
      <c r="F8523" t="s">
        <v>3304</v>
      </c>
    </row>
    <row r="8524" spans="1:10" x14ac:dyDescent="0.3">
      <c r="A8524" t="s">
        <v>15543</v>
      </c>
      <c r="B8524" t="s">
        <v>15544</v>
      </c>
      <c r="D8524">
        <v>37.5</v>
      </c>
      <c r="E8524" t="s">
        <v>29</v>
      </c>
      <c r="F8524" t="s">
        <v>2067</v>
      </c>
    </row>
    <row r="8525" spans="1:10" x14ac:dyDescent="0.3">
      <c r="A8525" t="s">
        <v>5535</v>
      </c>
      <c r="B8525" t="s">
        <v>15545</v>
      </c>
      <c r="D8525">
        <v>0.5</v>
      </c>
      <c r="E8525" t="s">
        <v>37</v>
      </c>
      <c r="F8525" t="s">
        <v>2449</v>
      </c>
      <c r="J8525" t="s">
        <v>2028</v>
      </c>
    </row>
    <row r="8526" spans="1:10" x14ac:dyDescent="0.3">
      <c r="A8526" t="s">
        <v>15546</v>
      </c>
      <c r="B8526" t="s">
        <v>743</v>
      </c>
      <c r="F8526" t="s">
        <v>743</v>
      </c>
    </row>
    <row r="8527" spans="1:10" x14ac:dyDescent="0.3">
      <c r="A8527" t="s">
        <v>15547</v>
      </c>
      <c r="B8527" t="s">
        <v>15548</v>
      </c>
      <c r="D8527">
        <v>1</v>
      </c>
      <c r="E8527" t="s">
        <v>23</v>
      </c>
      <c r="F8527" t="s">
        <v>15549</v>
      </c>
    </row>
    <row r="8528" spans="1:10" x14ac:dyDescent="0.3">
      <c r="A8528" t="s">
        <v>7603</v>
      </c>
      <c r="B8528" t="s">
        <v>388</v>
      </c>
      <c r="D8528">
        <v>0.5</v>
      </c>
      <c r="E8528" t="s">
        <v>23</v>
      </c>
      <c r="F8528" t="s">
        <v>331</v>
      </c>
    </row>
    <row r="8529" spans="1:10" x14ac:dyDescent="0.3">
      <c r="A8529" t="s">
        <v>4307</v>
      </c>
      <c r="B8529" t="s">
        <v>591</v>
      </c>
      <c r="F8529" t="s">
        <v>591</v>
      </c>
    </row>
    <row r="8530" spans="1:10" x14ac:dyDescent="0.3">
      <c r="A8530" t="s">
        <v>10604</v>
      </c>
      <c r="B8530" t="s">
        <v>15550</v>
      </c>
      <c r="D8530">
        <v>150</v>
      </c>
      <c r="E8530" t="s">
        <v>29</v>
      </c>
      <c r="F8530" t="s">
        <v>3114</v>
      </c>
    </row>
    <row r="8531" spans="1:10" x14ac:dyDescent="0.3">
      <c r="A8531" t="s">
        <v>702</v>
      </c>
      <c r="B8531" t="s">
        <v>15551</v>
      </c>
      <c r="D8531">
        <v>6</v>
      </c>
      <c r="F8531" t="s">
        <v>5161</v>
      </c>
    </row>
    <row r="8532" spans="1:10" x14ac:dyDescent="0.3">
      <c r="A8532" t="s">
        <v>6916</v>
      </c>
      <c r="B8532" t="s">
        <v>4296</v>
      </c>
      <c r="D8532">
        <v>0.5</v>
      </c>
      <c r="E8532" t="s">
        <v>37</v>
      </c>
      <c r="F8532" t="s">
        <v>160</v>
      </c>
    </row>
    <row r="8533" spans="1:10" x14ac:dyDescent="0.3">
      <c r="A8533" t="s">
        <v>15552</v>
      </c>
      <c r="B8533" t="s">
        <v>15553</v>
      </c>
      <c r="D8533">
        <v>0.5</v>
      </c>
      <c r="E8533" t="s">
        <v>37</v>
      </c>
      <c r="F8533" t="s">
        <v>15554</v>
      </c>
    </row>
    <row r="8534" spans="1:10" x14ac:dyDescent="0.3">
      <c r="A8534" t="s">
        <v>15555</v>
      </c>
      <c r="B8534" t="s">
        <v>15556</v>
      </c>
      <c r="D8534">
        <v>0.5</v>
      </c>
      <c r="E8534" t="s">
        <v>23</v>
      </c>
      <c r="F8534" t="s">
        <v>10712</v>
      </c>
      <c r="J8534" t="s">
        <v>289</v>
      </c>
    </row>
    <row r="8535" spans="1:10" x14ac:dyDescent="0.3">
      <c r="A8535" t="s">
        <v>13875</v>
      </c>
      <c r="B8535" t="s">
        <v>6779</v>
      </c>
      <c r="D8535">
        <v>3</v>
      </c>
      <c r="E8535" t="s">
        <v>23</v>
      </c>
      <c r="F8535" t="s">
        <v>233</v>
      </c>
    </row>
    <row r="8536" spans="1:10" x14ac:dyDescent="0.3">
      <c r="A8536" t="s">
        <v>2933</v>
      </c>
      <c r="B8536" t="s">
        <v>15557</v>
      </c>
      <c r="D8536">
        <v>0.75</v>
      </c>
      <c r="E8536" t="s">
        <v>23</v>
      </c>
      <c r="F8536" t="s">
        <v>1828</v>
      </c>
    </row>
    <row r="8537" spans="1:10" x14ac:dyDescent="0.3">
      <c r="A8537" t="s">
        <v>15558</v>
      </c>
      <c r="B8537" t="s">
        <v>3110</v>
      </c>
      <c r="D8537">
        <v>0.5</v>
      </c>
      <c r="E8537" t="s">
        <v>11</v>
      </c>
      <c r="F8537" t="s">
        <v>423</v>
      </c>
    </row>
    <row r="8538" spans="1:10" x14ac:dyDescent="0.3">
      <c r="A8538" t="s">
        <v>15559</v>
      </c>
      <c r="B8538" t="s">
        <v>15560</v>
      </c>
      <c r="D8538">
        <v>0.5</v>
      </c>
      <c r="E8538" t="s">
        <v>227</v>
      </c>
      <c r="F8538" t="s">
        <v>738</v>
      </c>
    </row>
    <row r="8539" spans="1:10" x14ac:dyDescent="0.3">
      <c r="A8539" t="s">
        <v>15561</v>
      </c>
      <c r="B8539" t="s">
        <v>15562</v>
      </c>
      <c r="D8539">
        <v>0.75</v>
      </c>
      <c r="E8539" t="s">
        <v>11</v>
      </c>
      <c r="F8539" t="s">
        <v>6371</v>
      </c>
    </row>
    <row r="8540" spans="1:10" x14ac:dyDescent="0.3">
      <c r="A8540" t="s">
        <v>15563</v>
      </c>
      <c r="B8540" t="s">
        <v>15564</v>
      </c>
      <c r="F8540" t="s">
        <v>15565</v>
      </c>
      <c r="J8540" t="s">
        <v>164</v>
      </c>
    </row>
    <row r="8541" spans="1:10" x14ac:dyDescent="0.3">
      <c r="A8541" t="s">
        <v>2679</v>
      </c>
      <c r="B8541" t="s">
        <v>15566</v>
      </c>
      <c r="D8541">
        <v>0.5</v>
      </c>
      <c r="E8541" t="s">
        <v>11</v>
      </c>
      <c r="F8541" t="s">
        <v>15567</v>
      </c>
    </row>
    <row r="8542" spans="1:10" x14ac:dyDescent="0.3">
      <c r="A8542" t="s">
        <v>15568</v>
      </c>
      <c r="B8542" t="s">
        <v>15569</v>
      </c>
      <c r="E8542" t="s">
        <v>585</v>
      </c>
      <c r="F8542" t="s">
        <v>5797</v>
      </c>
      <c r="J8542" t="s">
        <v>432</v>
      </c>
    </row>
    <row r="8543" spans="1:10" x14ac:dyDescent="0.3">
      <c r="A8543" t="s">
        <v>4255</v>
      </c>
      <c r="B8543" t="s">
        <v>15570</v>
      </c>
      <c r="D8543">
        <v>25</v>
      </c>
      <c r="E8543" t="s">
        <v>29</v>
      </c>
      <c r="F8543" t="s">
        <v>105</v>
      </c>
    </row>
    <row r="8544" spans="1:10" x14ac:dyDescent="0.3">
      <c r="A8544" t="s">
        <v>14526</v>
      </c>
      <c r="B8544" t="s">
        <v>333</v>
      </c>
      <c r="F8544" t="s">
        <v>333</v>
      </c>
    </row>
    <row r="8545" spans="1:10" x14ac:dyDescent="0.3">
      <c r="A8545" t="s">
        <v>15571</v>
      </c>
      <c r="B8545" t="s">
        <v>15572</v>
      </c>
      <c r="D8545">
        <v>1.5</v>
      </c>
      <c r="E8545" t="s">
        <v>23</v>
      </c>
      <c r="F8545" t="s">
        <v>12368</v>
      </c>
    </row>
    <row r="8546" spans="1:10" x14ac:dyDescent="0.3">
      <c r="A8546" t="s">
        <v>8217</v>
      </c>
      <c r="B8546" t="s">
        <v>876</v>
      </c>
      <c r="D8546">
        <v>2</v>
      </c>
      <c r="E8546" t="s">
        <v>345</v>
      </c>
      <c r="F8546" t="s">
        <v>877</v>
      </c>
    </row>
    <row r="8547" spans="1:10" x14ac:dyDescent="0.3">
      <c r="A8547" t="s">
        <v>15573</v>
      </c>
      <c r="B8547" t="s">
        <v>11872</v>
      </c>
      <c r="D8547">
        <v>10.5</v>
      </c>
      <c r="E8547" t="s">
        <v>91</v>
      </c>
      <c r="F8547" t="s">
        <v>7624</v>
      </c>
    </row>
    <row r="8548" spans="1:10" x14ac:dyDescent="0.3">
      <c r="A8548" t="s">
        <v>15574</v>
      </c>
      <c r="B8548" t="s">
        <v>4480</v>
      </c>
      <c r="D8548">
        <v>3</v>
      </c>
      <c r="E8548" t="s">
        <v>23</v>
      </c>
      <c r="F8548" t="s">
        <v>98</v>
      </c>
      <c r="J8548" t="s">
        <v>289</v>
      </c>
    </row>
    <row r="8549" spans="1:10" x14ac:dyDescent="0.3">
      <c r="A8549" t="s">
        <v>15575</v>
      </c>
      <c r="B8549" t="s">
        <v>15576</v>
      </c>
      <c r="D8549">
        <v>1</v>
      </c>
      <c r="E8549" t="s">
        <v>11</v>
      </c>
      <c r="F8549" t="s">
        <v>15577</v>
      </c>
    </row>
    <row r="8550" spans="1:10" x14ac:dyDescent="0.3">
      <c r="A8550" t="s">
        <v>10834</v>
      </c>
      <c r="B8550" t="s">
        <v>15578</v>
      </c>
      <c r="D8550">
        <v>1</v>
      </c>
      <c r="F8550" t="s">
        <v>377</v>
      </c>
      <c r="G8550" t="s">
        <v>1983</v>
      </c>
      <c r="J8550" t="s">
        <v>15579</v>
      </c>
    </row>
    <row r="8551" spans="1:10" x14ac:dyDescent="0.3">
      <c r="A8551" t="s">
        <v>12022</v>
      </c>
      <c r="B8551" t="s">
        <v>15580</v>
      </c>
      <c r="D8551">
        <v>0.5</v>
      </c>
      <c r="E8551" t="s">
        <v>37</v>
      </c>
      <c r="F8551" t="s">
        <v>10500</v>
      </c>
      <c r="J8551" t="s">
        <v>15581</v>
      </c>
    </row>
    <row r="8552" spans="1:10" x14ac:dyDescent="0.3">
      <c r="A8552" t="s">
        <v>6563</v>
      </c>
      <c r="B8552" t="s">
        <v>1150</v>
      </c>
      <c r="D8552">
        <v>1</v>
      </c>
      <c r="E8552" t="s">
        <v>23</v>
      </c>
      <c r="F8552" t="s">
        <v>115</v>
      </c>
    </row>
    <row r="8553" spans="1:10" x14ac:dyDescent="0.3">
      <c r="A8553" t="s">
        <v>15582</v>
      </c>
      <c r="B8553" t="s">
        <v>3925</v>
      </c>
      <c r="D8553">
        <v>0.5</v>
      </c>
      <c r="E8553" t="s">
        <v>23</v>
      </c>
      <c r="F8553" t="s">
        <v>793</v>
      </c>
    </row>
    <row r="8554" spans="1:10" x14ac:dyDescent="0.3">
      <c r="A8554" t="s">
        <v>15583</v>
      </c>
      <c r="B8554" t="s">
        <v>15584</v>
      </c>
      <c r="D8554">
        <v>1</v>
      </c>
      <c r="E8554" t="s">
        <v>37</v>
      </c>
      <c r="F8554" t="s">
        <v>15585</v>
      </c>
      <c r="J8554" t="s">
        <v>15586</v>
      </c>
    </row>
    <row r="8555" spans="1:10" x14ac:dyDescent="0.3">
      <c r="A8555" t="s">
        <v>15587</v>
      </c>
      <c r="B8555" t="s">
        <v>15588</v>
      </c>
      <c r="F8555" t="s">
        <v>15588</v>
      </c>
    </row>
    <row r="8556" spans="1:10" x14ac:dyDescent="0.3">
      <c r="A8556" t="s">
        <v>15589</v>
      </c>
      <c r="B8556" t="s">
        <v>15590</v>
      </c>
      <c r="D8556">
        <v>0.5</v>
      </c>
      <c r="E8556" t="s">
        <v>11</v>
      </c>
      <c r="F8556" t="s">
        <v>4142</v>
      </c>
    </row>
    <row r="8557" spans="1:10" x14ac:dyDescent="0.3">
      <c r="A8557" t="s">
        <v>4902</v>
      </c>
      <c r="B8557" t="s">
        <v>15591</v>
      </c>
      <c r="D8557" t="s">
        <v>15592</v>
      </c>
      <c r="F8557" t="s">
        <v>538</v>
      </c>
      <c r="G8557" t="s">
        <v>15593</v>
      </c>
      <c r="H8557" t="s">
        <v>68</v>
      </c>
      <c r="J8557" t="s">
        <v>15594</v>
      </c>
    </row>
    <row r="8558" spans="1:10" x14ac:dyDescent="0.3">
      <c r="A8558" t="s">
        <v>11829</v>
      </c>
      <c r="B8558" t="s">
        <v>4264</v>
      </c>
      <c r="D8558">
        <v>50</v>
      </c>
      <c r="E8558" t="s">
        <v>29</v>
      </c>
      <c r="F8558" t="s">
        <v>281</v>
      </c>
    </row>
    <row r="8559" spans="1:10" x14ac:dyDescent="0.3">
      <c r="A8559" t="s">
        <v>45</v>
      </c>
      <c r="B8559" t="s">
        <v>15595</v>
      </c>
      <c r="D8559">
        <v>6</v>
      </c>
      <c r="E8559" t="s">
        <v>189</v>
      </c>
      <c r="F8559" t="s">
        <v>15596</v>
      </c>
    </row>
    <row r="8560" spans="1:10" x14ac:dyDescent="0.3">
      <c r="A8560" t="s">
        <v>7792</v>
      </c>
      <c r="B8560" t="s">
        <v>15597</v>
      </c>
      <c r="D8560">
        <v>1</v>
      </c>
      <c r="E8560" t="s">
        <v>361</v>
      </c>
      <c r="F8560" t="s">
        <v>13684</v>
      </c>
    </row>
    <row r="8561" spans="1:10" x14ac:dyDescent="0.3">
      <c r="A8561" t="s">
        <v>15598</v>
      </c>
      <c r="B8561" t="s">
        <v>968</v>
      </c>
      <c r="D8561">
        <v>1</v>
      </c>
      <c r="E8561" t="s">
        <v>23</v>
      </c>
      <c r="F8561" t="s">
        <v>199</v>
      </c>
    </row>
    <row r="8562" spans="1:10" x14ac:dyDescent="0.3">
      <c r="A8562" t="s">
        <v>15599</v>
      </c>
      <c r="B8562" t="s">
        <v>15600</v>
      </c>
      <c r="D8562">
        <v>5</v>
      </c>
      <c r="E8562" t="s">
        <v>71</v>
      </c>
      <c r="F8562" t="s">
        <v>281</v>
      </c>
    </row>
    <row r="8563" spans="1:10" x14ac:dyDescent="0.3">
      <c r="A8563" t="s">
        <v>15601</v>
      </c>
      <c r="B8563" t="s">
        <v>8520</v>
      </c>
      <c r="D8563">
        <v>1</v>
      </c>
      <c r="E8563" t="s">
        <v>246</v>
      </c>
      <c r="F8563" t="s">
        <v>591</v>
      </c>
      <c r="J8563" t="s">
        <v>248</v>
      </c>
    </row>
    <row r="8564" spans="1:10" x14ac:dyDescent="0.3">
      <c r="A8564" t="s">
        <v>15602</v>
      </c>
      <c r="B8564" t="s">
        <v>11444</v>
      </c>
      <c r="D8564">
        <v>1</v>
      </c>
      <c r="E8564" t="s">
        <v>37</v>
      </c>
      <c r="F8564" t="s">
        <v>11445</v>
      </c>
    </row>
    <row r="8565" spans="1:10" x14ac:dyDescent="0.3">
      <c r="A8565" t="s">
        <v>3556</v>
      </c>
      <c r="B8565" t="s">
        <v>15603</v>
      </c>
      <c r="D8565">
        <v>0.5</v>
      </c>
      <c r="E8565" t="s">
        <v>23</v>
      </c>
      <c r="F8565" t="s">
        <v>15604</v>
      </c>
      <c r="J8565" t="s">
        <v>20</v>
      </c>
    </row>
    <row r="8566" spans="1:10" x14ac:dyDescent="0.3">
      <c r="A8566" t="s">
        <v>15605</v>
      </c>
      <c r="B8566" t="s">
        <v>15606</v>
      </c>
      <c r="D8566">
        <v>1</v>
      </c>
      <c r="E8566" t="s">
        <v>361</v>
      </c>
      <c r="F8566" t="s">
        <v>15607</v>
      </c>
    </row>
    <row r="8567" spans="1:10" x14ac:dyDescent="0.3">
      <c r="A8567" t="s">
        <v>1719</v>
      </c>
      <c r="B8567" t="s">
        <v>3038</v>
      </c>
      <c r="D8567">
        <v>1</v>
      </c>
      <c r="E8567" t="s">
        <v>37</v>
      </c>
      <c r="F8567" t="s">
        <v>728</v>
      </c>
    </row>
    <row r="8568" spans="1:10" x14ac:dyDescent="0.3">
      <c r="A8568" t="s">
        <v>15608</v>
      </c>
      <c r="B8568" t="s">
        <v>15609</v>
      </c>
      <c r="D8568">
        <v>15</v>
      </c>
      <c r="E8568" t="s">
        <v>29</v>
      </c>
      <c r="F8568" t="s">
        <v>15610</v>
      </c>
    </row>
    <row r="8569" spans="1:10" x14ac:dyDescent="0.3">
      <c r="A8569" t="s">
        <v>15611</v>
      </c>
      <c r="B8569" t="s">
        <v>1204</v>
      </c>
      <c r="F8569" t="s">
        <v>1204</v>
      </c>
    </row>
    <row r="8570" spans="1:10" x14ac:dyDescent="0.3">
      <c r="A8570" t="s">
        <v>15612</v>
      </c>
      <c r="B8570" t="s">
        <v>1584</v>
      </c>
      <c r="D8570">
        <v>35</v>
      </c>
      <c r="E8570" t="s">
        <v>29</v>
      </c>
      <c r="F8570" t="s">
        <v>311</v>
      </c>
    </row>
    <row r="8571" spans="1:10" x14ac:dyDescent="0.3">
      <c r="A8571" t="s">
        <v>15613</v>
      </c>
      <c r="B8571" t="s">
        <v>15614</v>
      </c>
      <c r="D8571">
        <v>0.5</v>
      </c>
      <c r="E8571" t="s">
        <v>37</v>
      </c>
      <c r="F8571" t="s">
        <v>1047</v>
      </c>
      <c r="J8571" t="s">
        <v>8654</v>
      </c>
    </row>
    <row r="8572" spans="1:10" x14ac:dyDescent="0.3">
      <c r="A8572" t="s">
        <v>15615</v>
      </c>
      <c r="B8572" t="s">
        <v>15616</v>
      </c>
      <c r="D8572">
        <v>1</v>
      </c>
      <c r="F8572" t="s">
        <v>15617</v>
      </c>
      <c r="J8572" t="s">
        <v>248</v>
      </c>
    </row>
    <row r="8573" spans="1:10" x14ac:dyDescent="0.3">
      <c r="A8573" t="s">
        <v>15618</v>
      </c>
      <c r="B8573" t="s">
        <v>388</v>
      </c>
      <c r="D8573">
        <v>0.5</v>
      </c>
      <c r="E8573" t="s">
        <v>23</v>
      </c>
      <c r="F8573" t="s">
        <v>331</v>
      </c>
    </row>
    <row r="8574" spans="1:10" x14ac:dyDescent="0.3">
      <c r="A8574" t="s">
        <v>15619</v>
      </c>
      <c r="B8574" t="s">
        <v>4793</v>
      </c>
      <c r="D8574">
        <v>1.5</v>
      </c>
      <c r="E8574" t="s">
        <v>23</v>
      </c>
      <c r="F8574" t="s">
        <v>1003</v>
      </c>
    </row>
    <row r="8575" spans="1:10" x14ac:dyDescent="0.3">
      <c r="A8575" t="s">
        <v>3187</v>
      </c>
      <c r="B8575" t="s">
        <v>15620</v>
      </c>
      <c r="D8575">
        <v>0.33</v>
      </c>
      <c r="E8575" t="s">
        <v>11</v>
      </c>
      <c r="F8575" t="s">
        <v>57</v>
      </c>
    </row>
    <row r="8576" spans="1:10" x14ac:dyDescent="0.3">
      <c r="A8576" t="s">
        <v>15621</v>
      </c>
      <c r="B8576" t="s">
        <v>15622</v>
      </c>
      <c r="D8576">
        <v>50</v>
      </c>
      <c r="E8576" t="s">
        <v>29</v>
      </c>
      <c r="F8576" t="s">
        <v>2135</v>
      </c>
    </row>
    <row r="8577" spans="1:10" x14ac:dyDescent="0.3">
      <c r="A8577" t="s">
        <v>10534</v>
      </c>
      <c r="B8577" t="s">
        <v>15623</v>
      </c>
      <c r="D8577">
        <v>0.75</v>
      </c>
      <c r="E8577" t="s">
        <v>23</v>
      </c>
      <c r="F8577" t="s">
        <v>716</v>
      </c>
    </row>
    <row r="8578" spans="1:10" x14ac:dyDescent="0.3">
      <c r="A8578" t="s">
        <v>15624</v>
      </c>
      <c r="B8578" t="s">
        <v>15625</v>
      </c>
      <c r="E8578" t="s">
        <v>60</v>
      </c>
      <c r="F8578" t="s">
        <v>38</v>
      </c>
      <c r="J8578" t="s">
        <v>15626</v>
      </c>
    </row>
    <row r="8579" spans="1:10" x14ac:dyDescent="0.3">
      <c r="A8579" t="s">
        <v>15627</v>
      </c>
      <c r="B8579" t="s">
        <v>7821</v>
      </c>
      <c r="D8579">
        <v>2</v>
      </c>
      <c r="E8579" t="s">
        <v>1785</v>
      </c>
    </row>
    <row r="8580" spans="1:10" x14ac:dyDescent="0.3">
      <c r="A8580" t="s">
        <v>15628</v>
      </c>
      <c r="B8580" t="s">
        <v>15629</v>
      </c>
      <c r="D8580">
        <v>4</v>
      </c>
      <c r="E8580" t="s">
        <v>189</v>
      </c>
      <c r="F8580" t="s">
        <v>15630</v>
      </c>
    </row>
    <row r="8581" spans="1:10" x14ac:dyDescent="0.3">
      <c r="A8581" t="s">
        <v>15631</v>
      </c>
      <c r="B8581" t="s">
        <v>15632</v>
      </c>
      <c r="D8581">
        <v>3</v>
      </c>
      <c r="E8581" t="s">
        <v>91</v>
      </c>
      <c r="F8581" t="s">
        <v>12180</v>
      </c>
    </row>
    <row r="8582" spans="1:10" x14ac:dyDescent="0.3">
      <c r="A8582" t="s">
        <v>15633</v>
      </c>
      <c r="B8582" t="s">
        <v>1463</v>
      </c>
      <c r="F8582" t="s">
        <v>1463</v>
      </c>
    </row>
    <row r="8583" spans="1:10" x14ac:dyDescent="0.3">
      <c r="A8583" t="s">
        <v>3919</v>
      </c>
      <c r="B8583" t="s">
        <v>537</v>
      </c>
      <c r="D8583">
        <v>6</v>
      </c>
      <c r="F8583" t="s">
        <v>538</v>
      </c>
    </row>
    <row r="8584" spans="1:10" x14ac:dyDescent="0.3">
      <c r="A8584" t="s">
        <v>15634</v>
      </c>
      <c r="B8584" t="s">
        <v>1869</v>
      </c>
      <c r="D8584">
        <v>1</v>
      </c>
      <c r="E8584" t="s">
        <v>904</v>
      </c>
      <c r="F8584" t="s">
        <v>112</v>
      </c>
    </row>
    <row r="8585" spans="1:10" x14ac:dyDescent="0.3">
      <c r="A8585" t="s">
        <v>15635</v>
      </c>
      <c r="B8585" t="s">
        <v>15636</v>
      </c>
      <c r="D8585">
        <v>1</v>
      </c>
      <c r="E8585" t="s">
        <v>146</v>
      </c>
      <c r="F8585" t="s">
        <v>9103</v>
      </c>
    </row>
    <row r="8586" spans="1:10" x14ac:dyDescent="0.3">
      <c r="A8586" t="s">
        <v>8039</v>
      </c>
      <c r="B8586" t="s">
        <v>80</v>
      </c>
      <c r="D8586">
        <v>0.5</v>
      </c>
      <c r="E8586" t="s">
        <v>37</v>
      </c>
      <c r="F8586" t="s">
        <v>81</v>
      </c>
    </row>
    <row r="8587" spans="1:10" x14ac:dyDescent="0.3">
      <c r="A8587" t="s">
        <v>15637</v>
      </c>
      <c r="B8587" t="s">
        <v>518</v>
      </c>
      <c r="F8587" t="s">
        <v>518</v>
      </c>
    </row>
    <row r="8588" spans="1:10" x14ac:dyDescent="0.3">
      <c r="A8588" t="s">
        <v>2578</v>
      </c>
      <c r="B8588" t="s">
        <v>15638</v>
      </c>
      <c r="D8588">
        <v>4</v>
      </c>
      <c r="E8588" t="s">
        <v>345</v>
      </c>
      <c r="F8588" t="s">
        <v>24</v>
      </c>
    </row>
    <row r="8589" spans="1:10" x14ac:dyDescent="0.3">
      <c r="A8589" t="s">
        <v>1296</v>
      </c>
      <c r="B8589" t="s">
        <v>15639</v>
      </c>
      <c r="D8589">
        <v>2</v>
      </c>
      <c r="E8589" t="s">
        <v>91</v>
      </c>
      <c r="F8589" t="s">
        <v>15640</v>
      </c>
    </row>
    <row r="8590" spans="1:10" x14ac:dyDescent="0.3">
      <c r="A8590" t="s">
        <v>15641</v>
      </c>
      <c r="B8590" t="s">
        <v>725</v>
      </c>
      <c r="D8590">
        <v>1</v>
      </c>
      <c r="E8590" t="s">
        <v>585</v>
      </c>
      <c r="F8590" t="s">
        <v>163</v>
      </c>
      <c r="J8590" t="s">
        <v>248</v>
      </c>
    </row>
    <row r="8591" spans="1:10" x14ac:dyDescent="0.3">
      <c r="A8591" t="s">
        <v>15642</v>
      </c>
      <c r="B8591" t="s">
        <v>15643</v>
      </c>
      <c r="D8591">
        <v>4</v>
      </c>
      <c r="E8591" t="s">
        <v>625</v>
      </c>
      <c r="F8591" t="s">
        <v>997</v>
      </c>
      <c r="H8591" t="s">
        <v>68</v>
      </c>
      <c r="J8591" t="s">
        <v>15644</v>
      </c>
    </row>
    <row r="8592" spans="1:10" x14ac:dyDescent="0.3">
      <c r="A8592" t="s">
        <v>12066</v>
      </c>
      <c r="B8592" t="s">
        <v>15645</v>
      </c>
      <c r="D8592">
        <v>0.75</v>
      </c>
      <c r="E8592" t="s">
        <v>23</v>
      </c>
      <c r="F8592" t="s">
        <v>15646</v>
      </c>
    </row>
    <row r="8593" spans="1:10" x14ac:dyDescent="0.3">
      <c r="A8593" t="s">
        <v>7689</v>
      </c>
      <c r="B8593" t="s">
        <v>2895</v>
      </c>
      <c r="D8593">
        <v>1</v>
      </c>
      <c r="E8593" t="s">
        <v>2689</v>
      </c>
      <c r="F8593" t="s">
        <v>2896</v>
      </c>
    </row>
    <row r="8594" spans="1:10" x14ac:dyDescent="0.3">
      <c r="A8594" t="s">
        <v>6164</v>
      </c>
      <c r="B8594" t="s">
        <v>3407</v>
      </c>
      <c r="D8594">
        <v>1</v>
      </c>
      <c r="E8594" t="s">
        <v>426</v>
      </c>
      <c r="F8594" t="s">
        <v>423</v>
      </c>
    </row>
    <row r="8595" spans="1:10" x14ac:dyDescent="0.3">
      <c r="A8595" t="s">
        <v>15647</v>
      </c>
      <c r="B8595" t="s">
        <v>15648</v>
      </c>
      <c r="D8595">
        <v>10</v>
      </c>
      <c r="E8595" t="s">
        <v>835</v>
      </c>
      <c r="F8595" t="s">
        <v>3942</v>
      </c>
    </row>
    <row r="8596" spans="1:10" x14ac:dyDescent="0.3">
      <c r="A8596" t="s">
        <v>15558</v>
      </c>
      <c r="B8596" t="s">
        <v>8020</v>
      </c>
      <c r="D8596">
        <v>1.5</v>
      </c>
      <c r="E8596" t="s">
        <v>23</v>
      </c>
      <c r="F8596" t="s">
        <v>57</v>
      </c>
    </row>
    <row r="8597" spans="1:10" x14ac:dyDescent="0.3">
      <c r="A8597" t="s">
        <v>15649</v>
      </c>
      <c r="B8597" t="s">
        <v>841</v>
      </c>
      <c r="D8597">
        <v>1</v>
      </c>
      <c r="E8597" t="s">
        <v>23</v>
      </c>
      <c r="F8597" t="s">
        <v>793</v>
      </c>
    </row>
    <row r="8598" spans="1:10" x14ac:dyDescent="0.3">
      <c r="A8598" t="s">
        <v>15650</v>
      </c>
      <c r="B8598" t="s">
        <v>348</v>
      </c>
      <c r="D8598">
        <v>1</v>
      </c>
      <c r="E8598" t="s">
        <v>23</v>
      </c>
      <c r="F8598" t="s">
        <v>349</v>
      </c>
    </row>
    <row r="8599" spans="1:10" x14ac:dyDescent="0.3">
      <c r="A8599" t="s">
        <v>5409</v>
      </c>
      <c r="B8599" t="s">
        <v>13342</v>
      </c>
      <c r="D8599">
        <v>3</v>
      </c>
      <c r="E8599" t="s">
        <v>189</v>
      </c>
      <c r="F8599" t="s">
        <v>1043</v>
      </c>
    </row>
    <row r="8600" spans="1:10" x14ac:dyDescent="0.3">
      <c r="A8600" t="s">
        <v>15651</v>
      </c>
      <c r="B8600" t="s">
        <v>6654</v>
      </c>
      <c r="D8600">
        <v>0.5</v>
      </c>
      <c r="E8600" t="s">
        <v>284</v>
      </c>
      <c r="F8600" t="s">
        <v>1883</v>
      </c>
    </row>
    <row r="8601" spans="1:10" x14ac:dyDescent="0.3">
      <c r="A8601" t="s">
        <v>3816</v>
      </c>
      <c r="B8601" t="s">
        <v>15652</v>
      </c>
      <c r="D8601">
        <v>7</v>
      </c>
      <c r="E8601" t="s">
        <v>23</v>
      </c>
      <c r="F8601" t="s">
        <v>64</v>
      </c>
    </row>
    <row r="8602" spans="1:10" x14ac:dyDescent="0.3">
      <c r="A8602" t="s">
        <v>15653</v>
      </c>
      <c r="B8602" t="s">
        <v>15654</v>
      </c>
      <c r="D8602">
        <v>10</v>
      </c>
      <c r="E8602" t="s">
        <v>29</v>
      </c>
      <c r="F8602" t="s">
        <v>2958</v>
      </c>
    </row>
    <row r="8603" spans="1:10" x14ac:dyDescent="0.3">
      <c r="A8603" t="s">
        <v>15655</v>
      </c>
      <c r="B8603" t="s">
        <v>15656</v>
      </c>
      <c r="D8603">
        <v>1</v>
      </c>
      <c r="E8603" t="s">
        <v>23</v>
      </c>
      <c r="F8603" t="s">
        <v>12617</v>
      </c>
    </row>
    <row r="8604" spans="1:10" x14ac:dyDescent="0.3">
      <c r="A8604" t="s">
        <v>15657</v>
      </c>
      <c r="B8604" t="s">
        <v>15658</v>
      </c>
      <c r="D8604">
        <v>600</v>
      </c>
      <c r="E8604" t="s">
        <v>1998</v>
      </c>
      <c r="F8604" t="s">
        <v>220</v>
      </c>
      <c r="J8604" t="s">
        <v>15659</v>
      </c>
    </row>
    <row r="8605" spans="1:10" x14ac:dyDescent="0.3">
      <c r="A8605" t="s">
        <v>15660</v>
      </c>
      <c r="B8605" t="s">
        <v>5954</v>
      </c>
      <c r="D8605">
        <v>2</v>
      </c>
      <c r="E8605" t="s">
        <v>23</v>
      </c>
      <c r="F8605" t="s">
        <v>524</v>
      </c>
    </row>
    <row r="8606" spans="1:10" x14ac:dyDescent="0.3">
      <c r="A8606" t="s">
        <v>9604</v>
      </c>
      <c r="B8606" t="s">
        <v>15661</v>
      </c>
      <c r="D8606">
        <v>10.5</v>
      </c>
      <c r="E8606" t="s">
        <v>91</v>
      </c>
      <c r="F8606" t="s">
        <v>8252</v>
      </c>
      <c r="J8606" t="s">
        <v>20</v>
      </c>
    </row>
    <row r="8607" spans="1:10" x14ac:dyDescent="0.3">
      <c r="A8607" t="s">
        <v>15662</v>
      </c>
      <c r="B8607" t="s">
        <v>1101</v>
      </c>
      <c r="D8607">
        <v>1</v>
      </c>
      <c r="E8607" t="s">
        <v>23</v>
      </c>
      <c r="F8607" t="s">
        <v>328</v>
      </c>
    </row>
    <row r="8608" spans="1:10" x14ac:dyDescent="0.3">
      <c r="A8608" t="s">
        <v>15663</v>
      </c>
      <c r="B8608" t="s">
        <v>6344</v>
      </c>
      <c r="F8608" t="s">
        <v>743</v>
      </c>
      <c r="J8608" t="s">
        <v>164</v>
      </c>
    </row>
    <row r="8609" spans="1:10" x14ac:dyDescent="0.3">
      <c r="A8609" t="s">
        <v>13497</v>
      </c>
      <c r="B8609" t="s">
        <v>1394</v>
      </c>
      <c r="D8609">
        <v>0.5</v>
      </c>
      <c r="E8609" t="s">
        <v>612</v>
      </c>
      <c r="F8609" t="s">
        <v>1395</v>
      </c>
    </row>
    <row r="8610" spans="1:10" x14ac:dyDescent="0.3">
      <c r="A8610" t="s">
        <v>15664</v>
      </c>
      <c r="B8610" t="s">
        <v>262</v>
      </c>
      <c r="F8610" t="s">
        <v>262</v>
      </c>
    </row>
    <row r="8611" spans="1:10" x14ac:dyDescent="0.3">
      <c r="A8611" t="s">
        <v>15665</v>
      </c>
      <c r="B8611" t="s">
        <v>15666</v>
      </c>
      <c r="D8611">
        <v>1</v>
      </c>
      <c r="E8611" t="s">
        <v>11</v>
      </c>
      <c r="F8611" t="s">
        <v>15667</v>
      </c>
    </row>
    <row r="8612" spans="1:10" x14ac:dyDescent="0.3">
      <c r="A8612" t="s">
        <v>15668</v>
      </c>
      <c r="B8612" t="s">
        <v>15669</v>
      </c>
      <c r="D8612">
        <v>12.5</v>
      </c>
      <c r="E8612" t="s">
        <v>29</v>
      </c>
      <c r="F8612" t="s">
        <v>112</v>
      </c>
    </row>
    <row r="8613" spans="1:10" x14ac:dyDescent="0.3">
      <c r="A8613" t="s">
        <v>1826</v>
      </c>
      <c r="B8613" t="s">
        <v>547</v>
      </c>
      <c r="F8613" t="s">
        <v>547</v>
      </c>
    </row>
    <row r="8614" spans="1:10" x14ac:dyDescent="0.3">
      <c r="A8614" t="s">
        <v>15670</v>
      </c>
      <c r="B8614" t="s">
        <v>15671</v>
      </c>
      <c r="F8614" t="s">
        <v>15672</v>
      </c>
      <c r="J8614" t="s">
        <v>1146</v>
      </c>
    </row>
    <row r="8615" spans="1:10" x14ac:dyDescent="0.3">
      <c r="A8615" t="s">
        <v>15673</v>
      </c>
      <c r="B8615" t="s">
        <v>15674</v>
      </c>
      <c r="D8615">
        <v>1.5</v>
      </c>
      <c r="E8615" t="s">
        <v>345</v>
      </c>
      <c r="F8615" t="s">
        <v>11181</v>
      </c>
    </row>
    <row r="8616" spans="1:10" x14ac:dyDescent="0.3">
      <c r="A8616" t="s">
        <v>6771</v>
      </c>
      <c r="B8616" t="s">
        <v>15675</v>
      </c>
      <c r="E8616" t="s">
        <v>469</v>
      </c>
      <c r="F8616" t="s">
        <v>2166</v>
      </c>
      <c r="G8616" t="s">
        <v>3326</v>
      </c>
      <c r="J8616" t="s">
        <v>289</v>
      </c>
    </row>
    <row r="8617" spans="1:10" x14ac:dyDescent="0.3">
      <c r="A8617" t="s">
        <v>3212</v>
      </c>
      <c r="B8617" t="s">
        <v>9915</v>
      </c>
      <c r="D8617">
        <v>1</v>
      </c>
      <c r="E8617" t="s">
        <v>612</v>
      </c>
      <c r="F8617" t="s">
        <v>8463</v>
      </c>
      <c r="G8617" t="s">
        <v>1813</v>
      </c>
    </row>
    <row r="8618" spans="1:10" x14ac:dyDescent="0.3">
      <c r="A8618" t="s">
        <v>15676</v>
      </c>
      <c r="B8618" t="s">
        <v>15677</v>
      </c>
      <c r="D8618">
        <v>1.5</v>
      </c>
      <c r="E8618" t="s">
        <v>23</v>
      </c>
      <c r="F8618" t="s">
        <v>2115</v>
      </c>
      <c r="J8618" t="s">
        <v>289</v>
      </c>
    </row>
    <row r="8619" spans="1:10" x14ac:dyDescent="0.3">
      <c r="A8619" t="s">
        <v>15678</v>
      </c>
      <c r="B8619" t="s">
        <v>15679</v>
      </c>
      <c r="D8619">
        <v>23</v>
      </c>
      <c r="E8619" t="s">
        <v>284</v>
      </c>
      <c r="F8619" t="s">
        <v>1594</v>
      </c>
    </row>
    <row r="8620" spans="1:10" x14ac:dyDescent="0.3">
      <c r="A8620" t="s">
        <v>15680</v>
      </c>
      <c r="B8620" t="s">
        <v>15681</v>
      </c>
      <c r="D8620">
        <v>38</v>
      </c>
      <c r="E8620" t="s">
        <v>23</v>
      </c>
      <c r="F8620" t="s">
        <v>15682</v>
      </c>
    </row>
    <row r="8621" spans="1:10" x14ac:dyDescent="0.3">
      <c r="A8621" t="s">
        <v>15683</v>
      </c>
      <c r="B8621" t="s">
        <v>3261</v>
      </c>
      <c r="D8621">
        <v>2</v>
      </c>
      <c r="E8621" t="s">
        <v>176</v>
      </c>
      <c r="F8621" t="s">
        <v>877</v>
      </c>
    </row>
    <row r="8622" spans="1:10" x14ac:dyDescent="0.3">
      <c r="A8622" t="s">
        <v>7154</v>
      </c>
      <c r="B8622" t="s">
        <v>2396</v>
      </c>
      <c r="E8622" t="s">
        <v>2397</v>
      </c>
      <c r="F8622" t="s">
        <v>237</v>
      </c>
      <c r="J8622" t="s">
        <v>1124</v>
      </c>
    </row>
    <row r="8623" spans="1:10" x14ac:dyDescent="0.3">
      <c r="A8623" t="s">
        <v>15684</v>
      </c>
      <c r="B8623" t="s">
        <v>3580</v>
      </c>
      <c r="D8623">
        <v>0.5</v>
      </c>
      <c r="E8623" t="s">
        <v>23</v>
      </c>
      <c r="F8623" t="s">
        <v>380</v>
      </c>
    </row>
    <row r="8624" spans="1:10" x14ac:dyDescent="0.3">
      <c r="A8624" t="s">
        <v>6965</v>
      </c>
      <c r="B8624" t="s">
        <v>15685</v>
      </c>
      <c r="D8624">
        <v>2</v>
      </c>
      <c r="E8624" t="s">
        <v>345</v>
      </c>
      <c r="F8624" t="s">
        <v>6378</v>
      </c>
    </row>
    <row r="8625" spans="1:10" x14ac:dyDescent="0.3">
      <c r="A8625" t="s">
        <v>14468</v>
      </c>
      <c r="B8625" t="s">
        <v>15686</v>
      </c>
      <c r="D8625">
        <v>0.75</v>
      </c>
      <c r="E8625" t="s">
        <v>23</v>
      </c>
      <c r="F8625" t="s">
        <v>6196</v>
      </c>
    </row>
    <row r="8626" spans="1:10" x14ac:dyDescent="0.3">
      <c r="A8626" t="s">
        <v>11017</v>
      </c>
      <c r="B8626" t="s">
        <v>15687</v>
      </c>
      <c r="D8626">
        <v>3</v>
      </c>
      <c r="E8626" t="s">
        <v>835</v>
      </c>
      <c r="F8626" t="s">
        <v>15688</v>
      </c>
    </row>
    <row r="8627" spans="1:10" x14ac:dyDescent="0.3">
      <c r="A8627" t="s">
        <v>15689</v>
      </c>
      <c r="B8627" t="s">
        <v>15690</v>
      </c>
      <c r="D8627">
        <v>1</v>
      </c>
      <c r="E8627" t="s">
        <v>18</v>
      </c>
      <c r="F8627" t="s">
        <v>15691</v>
      </c>
    </row>
    <row r="8628" spans="1:10" x14ac:dyDescent="0.3">
      <c r="A8628" t="s">
        <v>15692</v>
      </c>
      <c r="B8628" t="s">
        <v>5437</v>
      </c>
      <c r="F8628" t="s">
        <v>262</v>
      </c>
      <c r="J8628" t="s">
        <v>65</v>
      </c>
    </row>
    <row r="8629" spans="1:10" x14ac:dyDescent="0.3">
      <c r="A8629" t="s">
        <v>15693</v>
      </c>
      <c r="B8629" t="s">
        <v>15694</v>
      </c>
      <c r="D8629">
        <v>0.5</v>
      </c>
      <c r="E8629" t="s">
        <v>284</v>
      </c>
      <c r="F8629" t="s">
        <v>7476</v>
      </c>
    </row>
    <row r="8630" spans="1:10" x14ac:dyDescent="0.3">
      <c r="A8630" t="s">
        <v>8504</v>
      </c>
      <c r="B8630" t="s">
        <v>15695</v>
      </c>
      <c r="D8630">
        <v>1</v>
      </c>
      <c r="E8630" t="s">
        <v>4545</v>
      </c>
      <c r="F8630" t="s">
        <v>2463</v>
      </c>
    </row>
    <row r="8631" spans="1:10" x14ac:dyDescent="0.3">
      <c r="A8631" t="s">
        <v>9919</v>
      </c>
      <c r="B8631" t="s">
        <v>15696</v>
      </c>
      <c r="D8631">
        <v>1</v>
      </c>
      <c r="E8631" t="s">
        <v>1990</v>
      </c>
      <c r="F8631" t="s">
        <v>152</v>
      </c>
      <c r="J8631" t="s">
        <v>9963</v>
      </c>
    </row>
    <row r="8632" spans="1:10" x14ac:dyDescent="0.3">
      <c r="A8632" t="s">
        <v>15697</v>
      </c>
      <c r="B8632" t="s">
        <v>2011</v>
      </c>
      <c r="D8632">
        <v>2</v>
      </c>
      <c r="E8632" t="s">
        <v>189</v>
      </c>
      <c r="F8632" t="s">
        <v>61</v>
      </c>
    </row>
    <row r="8633" spans="1:10" x14ac:dyDescent="0.3">
      <c r="A8633" t="s">
        <v>15698</v>
      </c>
      <c r="B8633" t="s">
        <v>15699</v>
      </c>
      <c r="D8633">
        <v>2</v>
      </c>
      <c r="E8633" t="s">
        <v>23</v>
      </c>
      <c r="F8633" t="s">
        <v>15700</v>
      </c>
    </row>
    <row r="8634" spans="1:10" x14ac:dyDescent="0.3">
      <c r="A8634" t="s">
        <v>15701</v>
      </c>
      <c r="B8634" t="s">
        <v>15702</v>
      </c>
      <c r="D8634">
        <v>24</v>
      </c>
      <c r="E8634" t="s">
        <v>345</v>
      </c>
      <c r="F8634" t="s">
        <v>547</v>
      </c>
    </row>
    <row r="8635" spans="1:10" x14ac:dyDescent="0.3">
      <c r="A8635" t="s">
        <v>610</v>
      </c>
      <c r="B8635" t="s">
        <v>15703</v>
      </c>
      <c r="D8635">
        <v>0.5</v>
      </c>
      <c r="E8635" t="s">
        <v>284</v>
      </c>
      <c r="F8635" t="s">
        <v>997</v>
      </c>
      <c r="H8635" t="s">
        <v>68</v>
      </c>
      <c r="J8635" t="s">
        <v>13451</v>
      </c>
    </row>
    <row r="8636" spans="1:10" x14ac:dyDescent="0.3">
      <c r="A8636" t="s">
        <v>9217</v>
      </c>
      <c r="B8636" t="s">
        <v>1101</v>
      </c>
      <c r="D8636">
        <v>1</v>
      </c>
      <c r="E8636" t="s">
        <v>23</v>
      </c>
      <c r="F8636" t="s">
        <v>328</v>
      </c>
    </row>
    <row r="8637" spans="1:10" x14ac:dyDescent="0.3">
      <c r="A8637" t="s">
        <v>11981</v>
      </c>
      <c r="B8637" t="s">
        <v>388</v>
      </c>
      <c r="D8637">
        <v>0.5</v>
      </c>
      <c r="E8637" t="s">
        <v>23</v>
      </c>
      <c r="F8637" t="s">
        <v>331</v>
      </c>
    </row>
    <row r="8638" spans="1:10" x14ac:dyDescent="0.3">
      <c r="A8638" t="s">
        <v>5314</v>
      </c>
      <c r="B8638" t="s">
        <v>15704</v>
      </c>
      <c r="D8638">
        <v>1</v>
      </c>
      <c r="E8638" t="s">
        <v>11</v>
      </c>
      <c r="F8638" t="s">
        <v>15705</v>
      </c>
    </row>
    <row r="8639" spans="1:10" x14ac:dyDescent="0.3">
      <c r="A8639" t="s">
        <v>15706</v>
      </c>
      <c r="B8639" t="s">
        <v>15707</v>
      </c>
      <c r="D8639">
        <v>1</v>
      </c>
      <c r="E8639" t="s">
        <v>2646</v>
      </c>
      <c r="F8639" t="s">
        <v>15708</v>
      </c>
    </row>
    <row r="8640" spans="1:10" x14ac:dyDescent="0.3">
      <c r="A8640" t="s">
        <v>15709</v>
      </c>
      <c r="B8640" t="s">
        <v>15710</v>
      </c>
      <c r="D8640">
        <v>1.5</v>
      </c>
      <c r="E8640" t="s">
        <v>345</v>
      </c>
      <c r="F8640" t="s">
        <v>15711</v>
      </c>
    </row>
    <row r="8641" spans="1:10" x14ac:dyDescent="0.3">
      <c r="A8641" t="s">
        <v>15712</v>
      </c>
      <c r="B8641" t="s">
        <v>12981</v>
      </c>
      <c r="D8641">
        <v>0.5</v>
      </c>
      <c r="E8641" t="s">
        <v>23</v>
      </c>
      <c r="F8641" t="s">
        <v>1328</v>
      </c>
    </row>
    <row r="8642" spans="1:10" x14ac:dyDescent="0.3">
      <c r="A8642" t="s">
        <v>4283</v>
      </c>
      <c r="B8642" t="s">
        <v>15713</v>
      </c>
      <c r="D8642">
        <v>200</v>
      </c>
      <c r="E8642" t="s">
        <v>29</v>
      </c>
      <c r="F8642" t="s">
        <v>3366</v>
      </c>
    </row>
    <row r="8643" spans="1:10" x14ac:dyDescent="0.3">
      <c r="A8643" t="s">
        <v>15714</v>
      </c>
      <c r="B8643" t="s">
        <v>15715</v>
      </c>
      <c r="D8643">
        <v>1</v>
      </c>
      <c r="E8643" t="s">
        <v>11</v>
      </c>
      <c r="F8643" t="s">
        <v>1003</v>
      </c>
    </row>
    <row r="8644" spans="1:10" x14ac:dyDescent="0.3">
      <c r="A8644" t="s">
        <v>15716</v>
      </c>
      <c r="B8644" t="s">
        <v>15717</v>
      </c>
      <c r="D8644">
        <v>1</v>
      </c>
      <c r="E8644" t="s">
        <v>460</v>
      </c>
      <c r="F8644" t="s">
        <v>3710</v>
      </c>
      <c r="J8644" t="s">
        <v>289</v>
      </c>
    </row>
    <row r="8645" spans="1:10" x14ac:dyDescent="0.3">
      <c r="A8645" t="s">
        <v>15718</v>
      </c>
      <c r="B8645" t="s">
        <v>9437</v>
      </c>
      <c r="D8645">
        <v>2</v>
      </c>
      <c r="E8645" t="s">
        <v>23</v>
      </c>
      <c r="F8645" t="s">
        <v>9438</v>
      </c>
    </row>
    <row r="8646" spans="1:10" x14ac:dyDescent="0.3">
      <c r="A8646" t="s">
        <v>7061</v>
      </c>
      <c r="B8646" t="s">
        <v>333</v>
      </c>
      <c r="F8646" t="s">
        <v>333</v>
      </c>
    </row>
    <row r="8647" spans="1:10" x14ac:dyDescent="0.3">
      <c r="A8647" t="s">
        <v>15719</v>
      </c>
      <c r="B8647" t="s">
        <v>7031</v>
      </c>
      <c r="D8647">
        <v>1</v>
      </c>
      <c r="E8647" t="s">
        <v>18</v>
      </c>
      <c r="F8647" t="s">
        <v>7032</v>
      </c>
    </row>
    <row r="8648" spans="1:10" x14ac:dyDescent="0.3">
      <c r="A8648" t="s">
        <v>3974</v>
      </c>
      <c r="B8648" t="s">
        <v>15720</v>
      </c>
      <c r="D8648">
        <v>50</v>
      </c>
      <c r="E8648" t="s">
        <v>29</v>
      </c>
      <c r="F8648" t="s">
        <v>281</v>
      </c>
    </row>
    <row r="8649" spans="1:10" x14ac:dyDescent="0.3">
      <c r="A8649" t="s">
        <v>3406</v>
      </c>
      <c r="B8649" t="s">
        <v>15721</v>
      </c>
      <c r="D8649">
        <v>750</v>
      </c>
      <c r="E8649" t="s">
        <v>29</v>
      </c>
      <c r="F8649" t="s">
        <v>15722</v>
      </c>
      <c r="G8649" t="s">
        <v>8681</v>
      </c>
      <c r="J8649" t="s">
        <v>2356</v>
      </c>
    </row>
    <row r="8650" spans="1:10" x14ac:dyDescent="0.3">
      <c r="A8650" t="s">
        <v>15723</v>
      </c>
      <c r="B8650" t="s">
        <v>15724</v>
      </c>
      <c r="D8650">
        <v>1.5</v>
      </c>
      <c r="E8650" t="s">
        <v>23</v>
      </c>
      <c r="F8650" t="s">
        <v>13244</v>
      </c>
    </row>
    <row r="8651" spans="1:10" x14ac:dyDescent="0.3">
      <c r="A8651" t="s">
        <v>15725</v>
      </c>
      <c r="B8651" t="s">
        <v>15726</v>
      </c>
      <c r="D8651">
        <v>12.5</v>
      </c>
      <c r="E8651" t="s">
        <v>29</v>
      </c>
      <c r="F8651" t="s">
        <v>15727</v>
      </c>
      <c r="J8651" t="s">
        <v>1931</v>
      </c>
    </row>
    <row r="8652" spans="1:10" x14ac:dyDescent="0.3">
      <c r="A8652" t="s">
        <v>15728</v>
      </c>
      <c r="B8652" t="s">
        <v>15729</v>
      </c>
      <c r="D8652">
        <v>10</v>
      </c>
      <c r="E8652" t="s">
        <v>29</v>
      </c>
      <c r="F8652" t="s">
        <v>738</v>
      </c>
    </row>
    <row r="8653" spans="1:10" x14ac:dyDescent="0.3">
      <c r="A8653" t="s">
        <v>3651</v>
      </c>
      <c r="B8653" t="s">
        <v>15730</v>
      </c>
      <c r="D8653">
        <v>2</v>
      </c>
      <c r="E8653" t="s">
        <v>91</v>
      </c>
      <c r="F8653" t="s">
        <v>5430</v>
      </c>
    </row>
    <row r="8654" spans="1:10" x14ac:dyDescent="0.3">
      <c r="A8654" t="s">
        <v>15731</v>
      </c>
      <c r="B8654" t="s">
        <v>2225</v>
      </c>
      <c r="D8654">
        <v>1</v>
      </c>
      <c r="E8654" t="s">
        <v>23</v>
      </c>
      <c r="F8654" t="s">
        <v>183</v>
      </c>
    </row>
    <row r="8655" spans="1:10" x14ac:dyDescent="0.3">
      <c r="A8655" t="s">
        <v>8565</v>
      </c>
      <c r="B8655" t="s">
        <v>15732</v>
      </c>
      <c r="D8655">
        <v>0.75</v>
      </c>
      <c r="E8655" t="s">
        <v>37</v>
      </c>
      <c r="F8655" t="s">
        <v>15733</v>
      </c>
    </row>
    <row r="8656" spans="1:10" x14ac:dyDescent="0.3">
      <c r="A8656" t="s">
        <v>6907</v>
      </c>
      <c r="B8656" t="s">
        <v>4394</v>
      </c>
      <c r="D8656">
        <v>1</v>
      </c>
      <c r="E8656" t="s">
        <v>23</v>
      </c>
      <c r="F8656" t="s">
        <v>355</v>
      </c>
    </row>
    <row r="8657" spans="1:10" x14ac:dyDescent="0.3">
      <c r="A8657" t="s">
        <v>15734</v>
      </c>
      <c r="B8657" t="s">
        <v>15735</v>
      </c>
      <c r="D8657">
        <v>1</v>
      </c>
      <c r="E8657" t="s">
        <v>426</v>
      </c>
      <c r="F8657" t="s">
        <v>281</v>
      </c>
    </row>
    <row r="8658" spans="1:10" x14ac:dyDescent="0.3">
      <c r="A8658" t="s">
        <v>15736</v>
      </c>
      <c r="B8658" t="s">
        <v>15737</v>
      </c>
      <c r="D8658">
        <v>6</v>
      </c>
      <c r="F8658" t="s">
        <v>413</v>
      </c>
      <c r="G8658" t="s">
        <v>1571</v>
      </c>
      <c r="J8658" t="s">
        <v>4067</v>
      </c>
    </row>
    <row r="8659" spans="1:10" x14ac:dyDescent="0.3">
      <c r="A8659" t="s">
        <v>15738</v>
      </c>
      <c r="B8659" t="s">
        <v>1101</v>
      </c>
      <c r="D8659">
        <v>1</v>
      </c>
      <c r="E8659" t="s">
        <v>23</v>
      </c>
      <c r="F8659" t="s">
        <v>328</v>
      </c>
    </row>
    <row r="8660" spans="1:10" x14ac:dyDescent="0.3">
      <c r="A8660" t="s">
        <v>8690</v>
      </c>
      <c r="B8660" t="s">
        <v>10950</v>
      </c>
      <c r="D8660">
        <v>6</v>
      </c>
      <c r="F8660" t="s">
        <v>538</v>
      </c>
      <c r="J8660" t="s">
        <v>10951</v>
      </c>
    </row>
    <row r="8661" spans="1:10" x14ac:dyDescent="0.3">
      <c r="A8661" t="s">
        <v>15739</v>
      </c>
      <c r="B8661" t="s">
        <v>15740</v>
      </c>
      <c r="D8661">
        <v>2</v>
      </c>
      <c r="F8661" t="s">
        <v>15741</v>
      </c>
    </row>
    <row r="8662" spans="1:10" x14ac:dyDescent="0.3">
      <c r="A8662" t="s">
        <v>2580</v>
      </c>
      <c r="B8662" t="s">
        <v>15742</v>
      </c>
      <c r="D8662">
        <v>1</v>
      </c>
      <c r="F8662" t="s">
        <v>15743</v>
      </c>
      <c r="J8662" t="s">
        <v>1968</v>
      </c>
    </row>
    <row r="8663" spans="1:10" x14ac:dyDescent="0.3">
      <c r="A8663" t="s">
        <v>5131</v>
      </c>
      <c r="B8663" t="s">
        <v>7612</v>
      </c>
      <c r="D8663">
        <v>1.5</v>
      </c>
      <c r="E8663" t="s">
        <v>23</v>
      </c>
      <c r="F8663" t="s">
        <v>365</v>
      </c>
    </row>
    <row r="8664" spans="1:10" x14ac:dyDescent="0.3">
      <c r="A8664" t="s">
        <v>15744</v>
      </c>
      <c r="B8664" t="s">
        <v>2584</v>
      </c>
      <c r="D8664">
        <v>1.5</v>
      </c>
      <c r="E8664" t="s">
        <v>23</v>
      </c>
      <c r="F8664" t="s">
        <v>171</v>
      </c>
    </row>
    <row r="8665" spans="1:10" x14ac:dyDescent="0.3">
      <c r="A8665" t="s">
        <v>3217</v>
      </c>
      <c r="B8665" t="s">
        <v>518</v>
      </c>
      <c r="F8665" t="s">
        <v>518</v>
      </c>
    </row>
    <row r="8666" spans="1:10" x14ac:dyDescent="0.3">
      <c r="A8666" t="s">
        <v>15745</v>
      </c>
      <c r="B8666" t="s">
        <v>15746</v>
      </c>
      <c r="D8666">
        <v>10</v>
      </c>
      <c r="E8666" t="s">
        <v>29</v>
      </c>
      <c r="F8666" t="s">
        <v>98</v>
      </c>
    </row>
    <row r="8667" spans="1:10" x14ac:dyDescent="0.3">
      <c r="A8667" t="s">
        <v>5289</v>
      </c>
      <c r="B8667" t="s">
        <v>15747</v>
      </c>
      <c r="D8667">
        <v>2</v>
      </c>
      <c r="E8667" t="s">
        <v>686</v>
      </c>
      <c r="F8667" t="s">
        <v>551</v>
      </c>
    </row>
    <row r="8668" spans="1:10" x14ac:dyDescent="0.3">
      <c r="A8668" t="s">
        <v>1170</v>
      </c>
      <c r="B8668" t="s">
        <v>15748</v>
      </c>
      <c r="D8668">
        <v>30</v>
      </c>
      <c r="E8668" t="s">
        <v>29</v>
      </c>
      <c r="F8668" t="s">
        <v>98</v>
      </c>
    </row>
    <row r="8669" spans="1:10" x14ac:dyDescent="0.3">
      <c r="A8669" t="s">
        <v>15749</v>
      </c>
      <c r="B8669" t="s">
        <v>15750</v>
      </c>
      <c r="D8669">
        <v>1.5</v>
      </c>
      <c r="E8669" t="s">
        <v>345</v>
      </c>
      <c r="F8669" t="s">
        <v>2218</v>
      </c>
      <c r="J8669" t="s">
        <v>12518</v>
      </c>
    </row>
    <row r="8670" spans="1:10" x14ac:dyDescent="0.3">
      <c r="A8670" t="s">
        <v>15751</v>
      </c>
      <c r="B8670" t="s">
        <v>15752</v>
      </c>
      <c r="D8670">
        <v>4</v>
      </c>
      <c r="E8670" t="s">
        <v>60</v>
      </c>
      <c r="F8670" t="s">
        <v>3353</v>
      </c>
    </row>
    <row r="8671" spans="1:10" x14ac:dyDescent="0.3">
      <c r="A8671" t="s">
        <v>15753</v>
      </c>
      <c r="B8671" t="s">
        <v>6019</v>
      </c>
      <c r="F8671" t="s">
        <v>413</v>
      </c>
      <c r="G8671" t="s">
        <v>1571</v>
      </c>
    </row>
    <row r="8672" spans="1:10" x14ac:dyDescent="0.3">
      <c r="A8672" t="s">
        <v>12250</v>
      </c>
      <c r="B8672" t="s">
        <v>15754</v>
      </c>
      <c r="D8672">
        <v>1.5</v>
      </c>
      <c r="E8672" t="s">
        <v>345</v>
      </c>
      <c r="F8672" t="s">
        <v>2602</v>
      </c>
      <c r="J8672" t="s">
        <v>15755</v>
      </c>
    </row>
    <row r="8673" spans="1:10" x14ac:dyDescent="0.3">
      <c r="A8673" t="s">
        <v>15756</v>
      </c>
      <c r="B8673" t="s">
        <v>15757</v>
      </c>
      <c r="D8673">
        <v>1</v>
      </c>
      <c r="E8673" t="s">
        <v>227</v>
      </c>
      <c r="F8673" t="s">
        <v>15758</v>
      </c>
      <c r="G8673" t="s">
        <v>1813</v>
      </c>
      <c r="J8673" t="s">
        <v>3310</v>
      </c>
    </row>
    <row r="8674" spans="1:10" x14ac:dyDescent="0.3">
      <c r="A8674" t="s">
        <v>11761</v>
      </c>
      <c r="B8674" t="s">
        <v>15759</v>
      </c>
      <c r="D8674">
        <v>1</v>
      </c>
      <c r="E8674" t="s">
        <v>752</v>
      </c>
      <c r="F8674" t="s">
        <v>4337</v>
      </c>
    </row>
    <row r="8675" spans="1:10" x14ac:dyDescent="0.3">
      <c r="A8675" t="s">
        <v>2652</v>
      </c>
      <c r="B8675" t="s">
        <v>15760</v>
      </c>
      <c r="D8675">
        <v>1</v>
      </c>
      <c r="E8675" t="s">
        <v>284</v>
      </c>
      <c r="F8675" t="s">
        <v>15761</v>
      </c>
      <c r="G8675" t="s">
        <v>15762</v>
      </c>
      <c r="J8675" t="s">
        <v>325</v>
      </c>
    </row>
    <row r="8676" spans="1:10" x14ac:dyDescent="0.3">
      <c r="A8676" t="s">
        <v>12519</v>
      </c>
      <c r="B8676" t="s">
        <v>15763</v>
      </c>
      <c r="D8676">
        <v>4</v>
      </c>
      <c r="E8676" t="s">
        <v>23</v>
      </c>
      <c r="F8676" t="s">
        <v>4216</v>
      </c>
    </row>
    <row r="8677" spans="1:10" x14ac:dyDescent="0.3">
      <c r="A8677" t="s">
        <v>15764</v>
      </c>
      <c r="B8677" t="s">
        <v>1008</v>
      </c>
      <c r="D8677">
        <v>0.5</v>
      </c>
      <c r="E8677" t="s">
        <v>23</v>
      </c>
      <c r="F8677" t="s">
        <v>1009</v>
      </c>
    </row>
    <row r="8678" spans="1:10" x14ac:dyDescent="0.3">
      <c r="A8678" t="s">
        <v>14401</v>
      </c>
      <c r="B8678" t="s">
        <v>15765</v>
      </c>
      <c r="D8678">
        <v>2</v>
      </c>
      <c r="E8678" t="s">
        <v>12939</v>
      </c>
      <c r="F8678" t="s">
        <v>262</v>
      </c>
    </row>
    <row r="8679" spans="1:10" x14ac:dyDescent="0.3">
      <c r="A8679" t="s">
        <v>15766</v>
      </c>
      <c r="B8679" t="s">
        <v>15767</v>
      </c>
      <c r="D8679">
        <v>1</v>
      </c>
      <c r="E8679" t="s">
        <v>284</v>
      </c>
      <c r="F8679" t="s">
        <v>333</v>
      </c>
    </row>
    <row r="8680" spans="1:10" x14ac:dyDescent="0.3">
      <c r="A8680" t="s">
        <v>15768</v>
      </c>
      <c r="B8680" t="s">
        <v>15769</v>
      </c>
      <c r="D8680">
        <v>0.5</v>
      </c>
      <c r="E8680" t="s">
        <v>37</v>
      </c>
      <c r="F8680" t="s">
        <v>15770</v>
      </c>
    </row>
    <row r="8681" spans="1:10" x14ac:dyDescent="0.3">
      <c r="A8681" t="s">
        <v>13503</v>
      </c>
      <c r="B8681" t="s">
        <v>15771</v>
      </c>
      <c r="D8681">
        <v>1.5</v>
      </c>
      <c r="E8681" t="s">
        <v>345</v>
      </c>
      <c r="F8681" t="s">
        <v>15772</v>
      </c>
      <c r="J8681" t="s">
        <v>15773</v>
      </c>
    </row>
    <row r="8682" spans="1:10" x14ac:dyDescent="0.3">
      <c r="A8682" t="s">
        <v>15774</v>
      </c>
      <c r="B8682" t="s">
        <v>1482</v>
      </c>
      <c r="D8682">
        <v>50</v>
      </c>
      <c r="E8682" t="s">
        <v>29</v>
      </c>
      <c r="F8682" t="s">
        <v>1483</v>
      </c>
    </row>
    <row r="8683" spans="1:10" x14ac:dyDescent="0.3">
      <c r="A8683" t="s">
        <v>1529</v>
      </c>
      <c r="B8683" t="s">
        <v>15775</v>
      </c>
      <c r="D8683">
        <v>1</v>
      </c>
      <c r="E8683" t="s">
        <v>37</v>
      </c>
      <c r="F8683" t="s">
        <v>4875</v>
      </c>
    </row>
    <row r="8684" spans="1:10" x14ac:dyDescent="0.3">
      <c r="A8684" t="s">
        <v>9488</v>
      </c>
      <c r="B8684" t="s">
        <v>15776</v>
      </c>
      <c r="D8684">
        <v>1</v>
      </c>
      <c r="E8684" t="s">
        <v>18</v>
      </c>
      <c r="F8684" t="s">
        <v>1578</v>
      </c>
      <c r="J8684" t="s">
        <v>15777</v>
      </c>
    </row>
    <row r="8685" spans="1:10" x14ac:dyDescent="0.3">
      <c r="A8685" t="s">
        <v>15778</v>
      </c>
      <c r="B8685" t="s">
        <v>2045</v>
      </c>
      <c r="D8685">
        <v>2</v>
      </c>
      <c r="E8685" t="s">
        <v>1338</v>
      </c>
      <c r="F8685" t="s">
        <v>1043</v>
      </c>
      <c r="J8685" t="s">
        <v>289</v>
      </c>
    </row>
    <row r="8686" spans="1:10" x14ac:dyDescent="0.3">
      <c r="A8686" t="s">
        <v>13841</v>
      </c>
      <c r="B8686" t="s">
        <v>15590</v>
      </c>
      <c r="D8686">
        <v>0.5</v>
      </c>
      <c r="E8686" t="s">
        <v>11</v>
      </c>
      <c r="F8686" t="s">
        <v>4142</v>
      </c>
    </row>
    <row r="8687" spans="1:10" x14ac:dyDescent="0.3">
      <c r="A8687" t="s">
        <v>15779</v>
      </c>
      <c r="B8687" t="s">
        <v>14287</v>
      </c>
      <c r="D8687">
        <v>1</v>
      </c>
      <c r="E8687" t="s">
        <v>23</v>
      </c>
      <c r="F8687" t="s">
        <v>6948</v>
      </c>
    </row>
    <row r="8688" spans="1:10" x14ac:dyDescent="0.3">
      <c r="A8688" t="s">
        <v>8996</v>
      </c>
      <c r="B8688" t="s">
        <v>10535</v>
      </c>
      <c r="D8688">
        <v>0.5</v>
      </c>
      <c r="E8688" t="s">
        <v>23</v>
      </c>
      <c r="F8688" t="s">
        <v>102</v>
      </c>
    </row>
    <row r="8689" spans="1:10" x14ac:dyDescent="0.3">
      <c r="A8689" t="s">
        <v>15780</v>
      </c>
      <c r="B8689" t="s">
        <v>15781</v>
      </c>
      <c r="D8689">
        <v>8</v>
      </c>
      <c r="F8689" t="s">
        <v>413</v>
      </c>
      <c r="G8689" t="s">
        <v>1571</v>
      </c>
    </row>
    <row r="8690" spans="1:10" x14ac:dyDescent="0.3">
      <c r="A8690" t="s">
        <v>7459</v>
      </c>
      <c r="B8690" t="s">
        <v>1596</v>
      </c>
      <c r="D8690">
        <v>1</v>
      </c>
      <c r="E8690" t="s">
        <v>18</v>
      </c>
      <c r="F8690" t="s">
        <v>190</v>
      </c>
    </row>
    <row r="8691" spans="1:10" x14ac:dyDescent="0.3">
      <c r="A8691" t="s">
        <v>15782</v>
      </c>
      <c r="B8691" t="s">
        <v>7223</v>
      </c>
      <c r="D8691">
        <v>1</v>
      </c>
      <c r="E8691" t="s">
        <v>23</v>
      </c>
      <c r="F8691" t="s">
        <v>7224</v>
      </c>
    </row>
    <row r="8692" spans="1:10" x14ac:dyDescent="0.3">
      <c r="A8692" t="s">
        <v>15783</v>
      </c>
      <c r="B8692" t="s">
        <v>725</v>
      </c>
      <c r="D8692">
        <v>1</v>
      </c>
      <c r="F8692" t="s">
        <v>15784</v>
      </c>
      <c r="J8692" t="s">
        <v>248</v>
      </c>
    </row>
    <row r="8693" spans="1:10" x14ac:dyDescent="0.3">
      <c r="A8693" t="s">
        <v>15785</v>
      </c>
      <c r="B8693" t="s">
        <v>15786</v>
      </c>
      <c r="E8693" t="s">
        <v>435</v>
      </c>
      <c r="F8693" t="s">
        <v>15787</v>
      </c>
      <c r="J8693" t="s">
        <v>15788</v>
      </c>
    </row>
    <row r="8694" spans="1:10" x14ac:dyDescent="0.3">
      <c r="A8694" t="s">
        <v>15789</v>
      </c>
      <c r="B8694" t="s">
        <v>3655</v>
      </c>
      <c r="D8694">
        <v>1.5</v>
      </c>
      <c r="E8694" t="s">
        <v>23</v>
      </c>
      <c r="F8694" t="s">
        <v>299</v>
      </c>
    </row>
    <row r="8695" spans="1:10" x14ac:dyDescent="0.3">
      <c r="A8695" t="s">
        <v>15790</v>
      </c>
      <c r="B8695" t="s">
        <v>294</v>
      </c>
      <c r="D8695">
        <v>1</v>
      </c>
      <c r="F8695" t="s">
        <v>295</v>
      </c>
      <c r="J8695" t="s">
        <v>248</v>
      </c>
    </row>
    <row r="8696" spans="1:10" x14ac:dyDescent="0.3">
      <c r="A8696" t="s">
        <v>15791</v>
      </c>
      <c r="B8696" t="s">
        <v>15792</v>
      </c>
      <c r="E8696" t="s">
        <v>151</v>
      </c>
      <c r="F8696" t="s">
        <v>163</v>
      </c>
    </row>
    <row r="8697" spans="1:10" x14ac:dyDescent="0.3">
      <c r="A8697" t="s">
        <v>11174</v>
      </c>
      <c r="B8697" t="s">
        <v>333</v>
      </c>
      <c r="F8697" t="s">
        <v>333</v>
      </c>
    </row>
    <row r="8698" spans="1:10" x14ac:dyDescent="0.3">
      <c r="A8698" t="s">
        <v>15793</v>
      </c>
      <c r="B8698" t="s">
        <v>5054</v>
      </c>
      <c r="D8698">
        <v>0.5</v>
      </c>
      <c r="E8698" t="s">
        <v>23</v>
      </c>
      <c r="F8698" t="s">
        <v>638</v>
      </c>
    </row>
    <row r="8699" spans="1:10" x14ac:dyDescent="0.3">
      <c r="A8699" t="s">
        <v>15794</v>
      </c>
      <c r="B8699" t="s">
        <v>15795</v>
      </c>
      <c r="D8699">
        <v>1.5</v>
      </c>
      <c r="E8699" t="s">
        <v>71</v>
      </c>
      <c r="F8699" t="s">
        <v>160</v>
      </c>
      <c r="G8699" t="s">
        <v>15796</v>
      </c>
      <c r="H8699" t="s">
        <v>68</v>
      </c>
    </row>
    <row r="8700" spans="1:10" x14ac:dyDescent="0.3">
      <c r="A8700" t="s">
        <v>15797</v>
      </c>
      <c r="B8700" t="s">
        <v>13655</v>
      </c>
      <c r="D8700">
        <v>25</v>
      </c>
      <c r="E8700" t="s">
        <v>29</v>
      </c>
      <c r="F8700" t="s">
        <v>13656</v>
      </c>
    </row>
    <row r="8701" spans="1:10" x14ac:dyDescent="0.3">
      <c r="A8701" t="s">
        <v>15798</v>
      </c>
      <c r="B8701" t="s">
        <v>15799</v>
      </c>
      <c r="D8701">
        <v>1</v>
      </c>
      <c r="E8701" t="s">
        <v>206</v>
      </c>
      <c r="F8701" t="s">
        <v>193</v>
      </c>
    </row>
    <row r="8702" spans="1:10" x14ac:dyDescent="0.3">
      <c r="A8702" t="s">
        <v>6040</v>
      </c>
      <c r="B8702" t="s">
        <v>15800</v>
      </c>
      <c r="D8702">
        <v>10</v>
      </c>
      <c r="E8702" t="s">
        <v>29</v>
      </c>
      <c r="F8702" t="s">
        <v>2130</v>
      </c>
    </row>
    <row r="8703" spans="1:10" x14ac:dyDescent="0.3">
      <c r="A8703" t="s">
        <v>6190</v>
      </c>
      <c r="B8703" t="s">
        <v>15801</v>
      </c>
      <c r="F8703" t="s">
        <v>15802</v>
      </c>
      <c r="J8703" t="s">
        <v>164</v>
      </c>
    </row>
    <row r="8704" spans="1:10" x14ac:dyDescent="0.3">
      <c r="A8704" t="s">
        <v>15803</v>
      </c>
      <c r="B8704" t="s">
        <v>15804</v>
      </c>
      <c r="D8704">
        <v>0.5</v>
      </c>
      <c r="E8704" t="s">
        <v>460</v>
      </c>
      <c r="F8704" t="s">
        <v>3442</v>
      </c>
    </row>
    <row r="8705" spans="1:7" x14ac:dyDescent="0.3">
      <c r="A8705" t="s">
        <v>2550</v>
      </c>
      <c r="B8705" t="s">
        <v>5671</v>
      </c>
      <c r="D8705">
        <v>0.5</v>
      </c>
      <c r="E8705" t="s">
        <v>23</v>
      </c>
      <c r="F8705" t="s">
        <v>2449</v>
      </c>
    </row>
    <row r="8706" spans="1:7" x14ac:dyDescent="0.3">
      <c r="A8706" t="s">
        <v>15805</v>
      </c>
      <c r="B8706" t="s">
        <v>15806</v>
      </c>
      <c r="D8706">
        <v>2</v>
      </c>
      <c r="E8706" t="s">
        <v>345</v>
      </c>
      <c r="F8706" t="s">
        <v>15807</v>
      </c>
    </row>
    <row r="8707" spans="1:7" x14ac:dyDescent="0.3">
      <c r="A8707" t="s">
        <v>13964</v>
      </c>
      <c r="B8707" t="s">
        <v>15808</v>
      </c>
      <c r="D8707">
        <v>2</v>
      </c>
      <c r="E8707" t="s">
        <v>23</v>
      </c>
      <c r="F8707" t="s">
        <v>15809</v>
      </c>
    </row>
    <row r="8708" spans="1:7" x14ac:dyDescent="0.3">
      <c r="A8708" t="s">
        <v>15810</v>
      </c>
      <c r="B8708" t="s">
        <v>15811</v>
      </c>
      <c r="D8708">
        <v>1</v>
      </c>
      <c r="E8708" t="s">
        <v>18</v>
      </c>
      <c r="F8708" t="s">
        <v>15812</v>
      </c>
    </row>
    <row r="8709" spans="1:7" x14ac:dyDescent="0.3">
      <c r="A8709" t="s">
        <v>9826</v>
      </c>
      <c r="B8709" t="s">
        <v>15813</v>
      </c>
      <c r="D8709">
        <v>1</v>
      </c>
      <c r="F8709" t="s">
        <v>237</v>
      </c>
      <c r="G8709" t="s">
        <v>3384</v>
      </c>
    </row>
    <row r="8710" spans="1:7" x14ac:dyDescent="0.3">
      <c r="A8710" t="s">
        <v>15814</v>
      </c>
      <c r="B8710" t="s">
        <v>15815</v>
      </c>
      <c r="D8710">
        <v>30</v>
      </c>
      <c r="E8710" t="s">
        <v>29</v>
      </c>
      <c r="F8710" t="s">
        <v>57</v>
      </c>
    </row>
    <row r="8711" spans="1:7" x14ac:dyDescent="0.3">
      <c r="A8711" t="s">
        <v>8421</v>
      </c>
      <c r="B8711" t="s">
        <v>15816</v>
      </c>
      <c r="D8711">
        <v>1</v>
      </c>
      <c r="E8711" t="s">
        <v>18</v>
      </c>
      <c r="F8711" t="s">
        <v>3545</v>
      </c>
    </row>
    <row r="8712" spans="1:7" x14ac:dyDescent="0.3">
      <c r="A8712" t="s">
        <v>6257</v>
      </c>
      <c r="B8712" t="s">
        <v>3259</v>
      </c>
      <c r="D8712">
        <v>2</v>
      </c>
      <c r="E8712" t="s">
        <v>23</v>
      </c>
      <c r="F8712" t="s">
        <v>383</v>
      </c>
    </row>
    <row r="8713" spans="1:7" x14ac:dyDescent="0.3">
      <c r="A8713" t="s">
        <v>15817</v>
      </c>
      <c r="B8713" t="s">
        <v>15818</v>
      </c>
      <c r="D8713">
        <v>6</v>
      </c>
      <c r="E8713" t="s">
        <v>11</v>
      </c>
      <c r="F8713" t="s">
        <v>2138</v>
      </c>
    </row>
    <row r="8714" spans="1:7" x14ac:dyDescent="0.3">
      <c r="A8714" t="s">
        <v>15819</v>
      </c>
      <c r="B8714" t="s">
        <v>139</v>
      </c>
      <c r="D8714">
        <v>0.5</v>
      </c>
      <c r="E8714" t="s">
        <v>11</v>
      </c>
      <c r="F8714" t="s">
        <v>140</v>
      </c>
    </row>
    <row r="8715" spans="1:7" x14ac:dyDescent="0.3">
      <c r="A8715" t="s">
        <v>15820</v>
      </c>
      <c r="B8715" t="s">
        <v>15821</v>
      </c>
      <c r="D8715">
        <v>14</v>
      </c>
      <c r="F8715" t="s">
        <v>813</v>
      </c>
    </row>
    <row r="8716" spans="1:7" x14ac:dyDescent="0.3">
      <c r="A8716" t="s">
        <v>7361</v>
      </c>
      <c r="B8716" t="s">
        <v>9692</v>
      </c>
      <c r="D8716">
        <v>4</v>
      </c>
      <c r="F8716" t="s">
        <v>333</v>
      </c>
      <c r="G8716" t="s">
        <v>1247</v>
      </c>
    </row>
    <row r="8717" spans="1:7" x14ac:dyDescent="0.3">
      <c r="A8717" t="s">
        <v>6132</v>
      </c>
      <c r="B8717" t="s">
        <v>3496</v>
      </c>
      <c r="D8717">
        <v>2</v>
      </c>
      <c r="E8717" t="s">
        <v>23</v>
      </c>
      <c r="F8717" t="s">
        <v>281</v>
      </c>
    </row>
    <row r="8718" spans="1:7" x14ac:dyDescent="0.3">
      <c r="A8718" t="s">
        <v>15822</v>
      </c>
      <c r="B8718" t="s">
        <v>152</v>
      </c>
      <c r="F8718" t="s">
        <v>152</v>
      </c>
    </row>
    <row r="8719" spans="1:7" x14ac:dyDescent="0.3">
      <c r="A8719" t="s">
        <v>15823</v>
      </c>
      <c r="B8719" t="s">
        <v>15824</v>
      </c>
      <c r="D8719">
        <v>2</v>
      </c>
      <c r="E8719" t="s">
        <v>23</v>
      </c>
      <c r="F8719" t="s">
        <v>12617</v>
      </c>
    </row>
    <row r="8720" spans="1:7" x14ac:dyDescent="0.3">
      <c r="A8720" t="s">
        <v>15825</v>
      </c>
      <c r="B8720" t="s">
        <v>15826</v>
      </c>
      <c r="D8720">
        <v>4</v>
      </c>
      <c r="E8720" t="s">
        <v>176</v>
      </c>
      <c r="F8720" t="s">
        <v>728</v>
      </c>
    </row>
    <row r="8721" spans="1:10" x14ac:dyDescent="0.3">
      <c r="A8721" t="s">
        <v>1427</v>
      </c>
      <c r="B8721" t="s">
        <v>15827</v>
      </c>
      <c r="D8721">
        <v>1</v>
      </c>
      <c r="E8721" t="s">
        <v>612</v>
      </c>
      <c r="F8721" t="s">
        <v>8108</v>
      </c>
      <c r="I8721" t="s">
        <v>1078</v>
      </c>
    </row>
    <row r="8722" spans="1:10" x14ac:dyDescent="0.3">
      <c r="A8722" t="s">
        <v>522</v>
      </c>
      <c r="B8722" t="s">
        <v>15828</v>
      </c>
      <c r="D8722">
        <v>100</v>
      </c>
      <c r="E8722" t="s">
        <v>29</v>
      </c>
      <c r="F8722" t="s">
        <v>98</v>
      </c>
    </row>
    <row r="8723" spans="1:10" x14ac:dyDescent="0.3">
      <c r="A8723" t="s">
        <v>15829</v>
      </c>
      <c r="B8723" t="s">
        <v>3057</v>
      </c>
      <c r="D8723">
        <v>8</v>
      </c>
      <c r="E8723" t="s">
        <v>23</v>
      </c>
      <c r="F8723" t="s">
        <v>581</v>
      </c>
      <c r="I8723" t="s">
        <v>3058</v>
      </c>
    </row>
    <row r="8724" spans="1:10" x14ac:dyDescent="0.3">
      <c r="A8724" t="s">
        <v>11053</v>
      </c>
      <c r="B8724" t="s">
        <v>15830</v>
      </c>
      <c r="D8724">
        <v>6</v>
      </c>
      <c r="E8724" t="s">
        <v>23</v>
      </c>
      <c r="F8724" t="s">
        <v>15831</v>
      </c>
    </row>
    <row r="8725" spans="1:10" x14ac:dyDescent="0.3">
      <c r="A8725" t="s">
        <v>15832</v>
      </c>
      <c r="B8725" t="s">
        <v>15833</v>
      </c>
      <c r="D8725">
        <v>10.5</v>
      </c>
      <c r="E8725" t="s">
        <v>11</v>
      </c>
      <c r="F8725" t="s">
        <v>13951</v>
      </c>
    </row>
    <row r="8726" spans="1:10" x14ac:dyDescent="0.3">
      <c r="A8726" t="s">
        <v>15834</v>
      </c>
      <c r="B8726" t="s">
        <v>15835</v>
      </c>
      <c r="F8726" t="s">
        <v>15836</v>
      </c>
      <c r="J8726" t="s">
        <v>289</v>
      </c>
    </row>
    <row r="8727" spans="1:10" x14ac:dyDescent="0.3">
      <c r="A8727" t="s">
        <v>15837</v>
      </c>
      <c r="B8727" t="s">
        <v>15838</v>
      </c>
      <c r="D8727">
        <v>0.75</v>
      </c>
      <c r="E8727" t="s">
        <v>23</v>
      </c>
      <c r="F8727" t="s">
        <v>6721</v>
      </c>
    </row>
    <row r="8728" spans="1:10" x14ac:dyDescent="0.3">
      <c r="A8728" t="s">
        <v>7404</v>
      </c>
      <c r="B8728" t="s">
        <v>15839</v>
      </c>
      <c r="D8728">
        <v>0.5</v>
      </c>
      <c r="E8728" t="s">
        <v>284</v>
      </c>
      <c r="F8728" t="s">
        <v>8695</v>
      </c>
    </row>
    <row r="8729" spans="1:10" x14ac:dyDescent="0.3">
      <c r="A8729" t="s">
        <v>15840</v>
      </c>
      <c r="B8729" t="s">
        <v>15841</v>
      </c>
      <c r="D8729">
        <v>0.5</v>
      </c>
      <c r="E8729" t="s">
        <v>37</v>
      </c>
      <c r="F8729" t="s">
        <v>15842</v>
      </c>
    </row>
    <row r="8730" spans="1:10" x14ac:dyDescent="0.3">
      <c r="A8730" t="s">
        <v>15843</v>
      </c>
      <c r="B8730" t="s">
        <v>15844</v>
      </c>
      <c r="D8730">
        <v>0.5</v>
      </c>
      <c r="E8730" t="s">
        <v>37</v>
      </c>
      <c r="F8730" t="s">
        <v>15845</v>
      </c>
    </row>
    <row r="8731" spans="1:10" x14ac:dyDescent="0.3">
      <c r="A8731" t="s">
        <v>15846</v>
      </c>
      <c r="B8731" t="s">
        <v>15847</v>
      </c>
      <c r="D8731">
        <v>2</v>
      </c>
      <c r="E8731" t="s">
        <v>60</v>
      </c>
      <c r="F8731" t="s">
        <v>331</v>
      </c>
    </row>
    <row r="8732" spans="1:10" x14ac:dyDescent="0.3">
      <c r="A8732" t="s">
        <v>15848</v>
      </c>
      <c r="B8732" t="s">
        <v>15849</v>
      </c>
      <c r="D8732">
        <v>26</v>
      </c>
      <c r="F8732" t="s">
        <v>8970</v>
      </c>
    </row>
    <row r="8733" spans="1:10" x14ac:dyDescent="0.3">
      <c r="A8733" t="s">
        <v>3440</v>
      </c>
      <c r="B8733" t="s">
        <v>12801</v>
      </c>
      <c r="D8733">
        <v>1</v>
      </c>
      <c r="E8733" t="s">
        <v>284</v>
      </c>
      <c r="F8733" t="s">
        <v>1433</v>
      </c>
      <c r="G8733" t="s">
        <v>1994</v>
      </c>
      <c r="I8733" t="s">
        <v>3945</v>
      </c>
    </row>
    <row r="8734" spans="1:10" x14ac:dyDescent="0.3">
      <c r="A8734" t="s">
        <v>15850</v>
      </c>
      <c r="B8734" t="s">
        <v>15851</v>
      </c>
      <c r="D8734">
        <v>0.75</v>
      </c>
      <c r="E8734" t="s">
        <v>23</v>
      </c>
      <c r="F8734" t="s">
        <v>2014</v>
      </c>
    </row>
    <row r="8735" spans="1:10" x14ac:dyDescent="0.3">
      <c r="A8735" t="s">
        <v>15852</v>
      </c>
      <c r="B8735" t="s">
        <v>15853</v>
      </c>
      <c r="D8735">
        <v>0.5</v>
      </c>
      <c r="E8735" t="s">
        <v>23</v>
      </c>
      <c r="F8735" t="s">
        <v>10985</v>
      </c>
    </row>
    <row r="8736" spans="1:10" x14ac:dyDescent="0.3">
      <c r="A8736" t="s">
        <v>5602</v>
      </c>
      <c r="B8736" t="s">
        <v>15854</v>
      </c>
      <c r="D8736">
        <v>1.25</v>
      </c>
      <c r="E8736" t="s">
        <v>345</v>
      </c>
      <c r="F8736" t="s">
        <v>7344</v>
      </c>
    </row>
    <row r="8737" spans="1:10" x14ac:dyDescent="0.3">
      <c r="A8737" t="s">
        <v>15855</v>
      </c>
      <c r="B8737" t="s">
        <v>413</v>
      </c>
      <c r="F8737" t="s">
        <v>413</v>
      </c>
    </row>
    <row r="8738" spans="1:10" x14ac:dyDescent="0.3">
      <c r="A8738" t="s">
        <v>6892</v>
      </c>
      <c r="B8738" t="s">
        <v>15856</v>
      </c>
      <c r="F8738" t="s">
        <v>15857</v>
      </c>
      <c r="J8738" t="s">
        <v>1124</v>
      </c>
    </row>
    <row r="8739" spans="1:10" x14ac:dyDescent="0.3">
      <c r="A8739" t="s">
        <v>10611</v>
      </c>
      <c r="B8739" t="s">
        <v>15858</v>
      </c>
      <c r="D8739">
        <v>12.5</v>
      </c>
      <c r="E8739" t="s">
        <v>29</v>
      </c>
      <c r="F8739" t="s">
        <v>6948</v>
      </c>
    </row>
    <row r="8740" spans="1:10" x14ac:dyDescent="0.3">
      <c r="A8740" t="s">
        <v>42</v>
      </c>
      <c r="B8740" t="s">
        <v>333</v>
      </c>
      <c r="F8740" t="s">
        <v>333</v>
      </c>
    </row>
    <row r="8741" spans="1:10" x14ac:dyDescent="0.3">
      <c r="A8741" t="s">
        <v>8288</v>
      </c>
      <c r="B8741" t="s">
        <v>15859</v>
      </c>
      <c r="D8741">
        <v>1</v>
      </c>
      <c r="E8741" t="s">
        <v>11</v>
      </c>
      <c r="F8741" t="s">
        <v>901</v>
      </c>
      <c r="J8741" t="s">
        <v>15860</v>
      </c>
    </row>
    <row r="8742" spans="1:10" x14ac:dyDescent="0.3">
      <c r="A8742" t="s">
        <v>15861</v>
      </c>
      <c r="B8742" t="s">
        <v>6614</v>
      </c>
      <c r="F8742" t="s">
        <v>6614</v>
      </c>
    </row>
    <row r="8743" spans="1:10" x14ac:dyDescent="0.3">
      <c r="A8743" t="s">
        <v>15862</v>
      </c>
      <c r="B8743" t="s">
        <v>1269</v>
      </c>
      <c r="D8743">
        <v>1</v>
      </c>
      <c r="E8743" t="s">
        <v>23</v>
      </c>
      <c r="F8743" t="s">
        <v>380</v>
      </c>
    </row>
    <row r="8744" spans="1:10" x14ac:dyDescent="0.3">
      <c r="A8744" t="s">
        <v>15863</v>
      </c>
      <c r="B8744" t="s">
        <v>15864</v>
      </c>
      <c r="D8744">
        <v>1</v>
      </c>
      <c r="E8744" t="s">
        <v>11</v>
      </c>
      <c r="F8744" t="s">
        <v>7624</v>
      </c>
    </row>
    <row r="8745" spans="1:10" x14ac:dyDescent="0.3">
      <c r="A8745" t="s">
        <v>15865</v>
      </c>
      <c r="B8745" t="s">
        <v>15866</v>
      </c>
      <c r="D8745">
        <v>5</v>
      </c>
      <c r="E8745" t="s">
        <v>29</v>
      </c>
      <c r="F8745" t="s">
        <v>765</v>
      </c>
      <c r="J8745" t="s">
        <v>15867</v>
      </c>
    </row>
    <row r="8746" spans="1:10" x14ac:dyDescent="0.3">
      <c r="A8746" t="s">
        <v>8798</v>
      </c>
      <c r="B8746" t="s">
        <v>14367</v>
      </c>
      <c r="D8746">
        <v>1.5</v>
      </c>
      <c r="E8746" t="s">
        <v>71</v>
      </c>
      <c r="F8746" t="s">
        <v>516</v>
      </c>
    </row>
    <row r="8747" spans="1:10" x14ac:dyDescent="0.3">
      <c r="A8747" t="s">
        <v>15868</v>
      </c>
      <c r="B8747" t="s">
        <v>15869</v>
      </c>
      <c r="D8747">
        <v>150</v>
      </c>
      <c r="E8747" t="s">
        <v>29</v>
      </c>
      <c r="F8747" t="s">
        <v>64</v>
      </c>
    </row>
    <row r="8748" spans="1:10" x14ac:dyDescent="0.3">
      <c r="A8748" t="s">
        <v>501</v>
      </c>
      <c r="B8748" t="s">
        <v>3582</v>
      </c>
      <c r="D8748">
        <v>6</v>
      </c>
      <c r="E8748" t="s">
        <v>23</v>
      </c>
      <c r="F8748" t="s">
        <v>738</v>
      </c>
    </row>
    <row r="8749" spans="1:10" x14ac:dyDescent="0.3">
      <c r="A8749" t="s">
        <v>15870</v>
      </c>
      <c r="B8749" t="s">
        <v>15871</v>
      </c>
      <c r="D8749">
        <v>1</v>
      </c>
      <c r="E8749" t="s">
        <v>2689</v>
      </c>
      <c r="F8749" t="s">
        <v>997</v>
      </c>
      <c r="H8749" t="s">
        <v>68</v>
      </c>
    </row>
    <row r="8750" spans="1:10" x14ac:dyDescent="0.3">
      <c r="A8750" t="s">
        <v>1851</v>
      </c>
      <c r="B8750" t="s">
        <v>15872</v>
      </c>
      <c r="D8750">
        <v>1</v>
      </c>
      <c r="E8750" t="s">
        <v>23</v>
      </c>
      <c r="F8750" t="s">
        <v>15873</v>
      </c>
    </row>
    <row r="8751" spans="1:10" x14ac:dyDescent="0.3">
      <c r="A8751" t="s">
        <v>12433</v>
      </c>
      <c r="B8751" t="s">
        <v>15874</v>
      </c>
      <c r="D8751">
        <v>6</v>
      </c>
      <c r="E8751" t="s">
        <v>91</v>
      </c>
      <c r="F8751" t="s">
        <v>15875</v>
      </c>
      <c r="J8751" t="s">
        <v>7180</v>
      </c>
    </row>
    <row r="8752" spans="1:10" x14ac:dyDescent="0.3">
      <c r="A8752" t="s">
        <v>15876</v>
      </c>
      <c r="B8752" t="s">
        <v>364</v>
      </c>
      <c r="D8752">
        <v>1</v>
      </c>
      <c r="E8752" t="s">
        <v>23</v>
      </c>
      <c r="F8752" t="s">
        <v>365</v>
      </c>
    </row>
    <row r="8753" spans="1:10" x14ac:dyDescent="0.3">
      <c r="A8753" t="s">
        <v>15877</v>
      </c>
      <c r="B8753" t="s">
        <v>15878</v>
      </c>
      <c r="D8753">
        <v>2</v>
      </c>
      <c r="E8753" t="s">
        <v>91</v>
      </c>
      <c r="F8753" t="s">
        <v>15879</v>
      </c>
      <c r="J8753" t="s">
        <v>20</v>
      </c>
    </row>
    <row r="8754" spans="1:10" x14ac:dyDescent="0.3">
      <c r="A8754" t="s">
        <v>11378</v>
      </c>
      <c r="B8754" t="s">
        <v>15880</v>
      </c>
      <c r="D8754">
        <v>1.5</v>
      </c>
      <c r="E8754" t="s">
        <v>345</v>
      </c>
      <c r="F8754" t="s">
        <v>15881</v>
      </c>
      <c r="J8754" t="s">
        <v>15882</v>
      </c>
    </row>
    <row r="8755" spans="1:10" x14ac:dyDescent="0.3">
      <c r="A8755" t="s">
        <v>15883</v>
      </c>
      <c r="B8755" t="s">
        <v>15884</v>
      </c>
      <c r="E8755" t="s">
        <v>151</v>
      </c>
      <c r="F8755" t="s">
        <v>1248</v>
      </c>
      <c r="H8755" t="s">
        <v>814</v>
      </c>
      <c r="J8755" t="s">
        <v>289</v>
      </c>
    </row>
    <row r="8756" spans="1:10" x14ac:dyDescent="0.3">
      <c r="A8756" t="s">
        <v>15885</v>
      </c>
      <c r="B8756" t="s">
        <v>4749</v>
      </c>
      <c r="D8756">
        <v>0.5</v>
      </c>
      <c r="E8756" t="s">
        <v>23</v>
      </c>
      <c r="F8756" t="s">
        <v>1188</v>
      </c>
    </row>
    <row r="8757" spans="1:10" x14ac:dyDescent="0.3">
      <c r="A8757" t="s">
        <v>15886</v>
      </c>
      <c r="B8757" t="s">
        <v>7757</v>
      </c>
      <c r="D8757">
        <v>0.5</v>
      </c>
      <c r="E8757" t="s">
        <v>11</v>
      </c>
      <c r="F8757" t="s">
        <v>1479</v>
      </c>
    </row>
    <row r="8758" spans="1:10" x14ac:dyDescent="0.3">
      <c r="A8758" t="s">
        <v>15887</v>
      </c>
      <c r="B8758" t="s">
        <v>1838</v>
      </c>
      <c r="D8758">
        <v>1.5</v>
      </c>
      <c r="E8758" t="s">
        <v>345</v>
      </c>
      <c r="F8758" t="s">
        <v>41</v>
      </c>
    </row>
    <row r="8759" spans="1:10" x14ac:dyDescent="0.3">
      <c r="A8759" t="s">
        <v>13280</v>
      </c>
      <c r="B8759" t="s">
        <v>3424</v>
      </c>
      <c r="D8759">
        <v>1</v>
      </c>
      <c r="E8759" t="s">
        <v>23</v>
      </c>
      <c r="F8759" t="s">
        <v>1209</v>
      </c>
    </row>
    <row r="8760" spans="1:10" x14ac:dyDescent="0.3">
      <c r="A8760" t="s">
        <v>14623</v>
      </c>
      <c r="B8760" t="s">
        <v>15888</v>
      </c>
      <c r="D8760">
        <v>3</v>
      </c>
      <c r="E8760" t="s">
        <v>189</v>
      </c>
      <c r="F8760" t="s">
        <v>15889</v>
      </c>
      <c r="J8760" t="s">
        <v>15890</v>
      </c>
    </row>
    <row r="8761" spans="1:10" x14ac:dyDescent="0.3">
      <c r="A8761" t="s">
        <v>15891</v>
      </c>
      <c r="B8761" t="s">
        <v>15892</v>
      </c>
      <c r="D8761">
        <v>1</v>
      </c>
      <c r="E8761" t="s">
        <v>2782</v>
      </c>
      <c r="F8761" t="s">
        <v>57</v>
      </c>
    </row>
    <row r="8762" spans="1:10" x14ac:dyDescent="0.3">
      <c r="A8762" t="s">
        <v>6341</v>
      </c>
      <c r="B8762" t="s">
        <v>15893</v>
      </c>
      <c r="D8762">
        <v>5</v>
      </c>
      <c r="E8762" t="s">
        <v>2267</v>
      </c>
      <c r="F8762" t="s">
        <v>15894</v>
      </c>
      <c r="J8762" t="s">
        <v>12919</v>
      </c>
    </row>
    <row r="8763" spans="1:10" x14ac:dyDescent="0.3">
      <c r="A8763" t="s">
        <v>2283</v>
      </c>
      <c r="B8763" t="s">
        <v>15895</v>
      </c>
      <c r="D8763">
        <v>4</v>
      </c>
      <c r="E8763" t="s">
        <v>227</v>
      </c>
      <c r="F8763" t="s">
        <v>413</v>
      </c>
      <c r="G8763" t="s">
        <v>1014</v>
      </c>
    </row>
    <row r="8764" spans="1:10" x14ac:dyDescent="0.3">
      <c r="A8764" t="s">
        <v>15896</v>
      </c>
      <c r="B8764" t="s">
        <v>5394</v>
      </c>
      <c r="D8764">
        <v>4</v>
      </c>
      <c r="E8764" t="s">
        <v>23</v>
      </c>
      <c r="F8764" t="s">
        <v>2211</v>
      </c>
    </row>
    <row r="8765" spans="1:10" x14ac:dyDescent="0.3">
      <c r="A8765" t="s">
        <v>15897</v>
      </c>
      <c r="B8765" t="s">
        <v>2396</v>
      </c>
      <c r="E8765" t="s">
        <v>2397</v>
      </c>
      <c r="F8765" t="s">
        <v>237</v>
      </c>
      <c r="J8765" t="s">
        <v>1124</v>
      </c>
    </row>
    <row r="8766" spans="1:10" x14ac:dyDescent="0.3">
      <c r="A8766" t="s">
        <v>15898</v>
      </c>
      <c r="B8766" t="s">
        <v>15899</v>
      </c>
      <c r="D8766">
        <v>1</v>
      </c>
      <c r="E8766" t="s">
        <v>2646</v>
      </c>
      <c r="F8766" t="s">
        <v>1463</v>
      </c>
    </row>
    <row r="8767" spans="1:10" x14ac:dyDescent="0.3">
      <c r="A8767" t="s">
        <v>15900</v>
      </c>
      <c r="B8767" t="s">
        <v>2905</v>
      </c>
      <c r="D8767">
        <v>6</v>
      </c>
      <c r="E8767" t="s">
        <v>23</v>
      </c>
      <c r="F8767" t="s">
        <v>262</v>
      </c>
    </row>
    <row r="8768" spans="1:10" x14ac:dyDescent="0.3">
      <c r="A8768" t="s">
        <v>15901</v>
      </c>
      <c r="B8768" t="s">
        <v>7163</v>
      </c>
      <c r="D8768">
        <v>2</v>
      </c>
      <c r="E8768" t="s">
        <v>23</v>
      </c>
      <c r="F8768" t="s">
        <v>281</v>
      </c>
      <c r="J8768" t="s">
        <v>289</v>
      </c>
    </row>
    <row r="8769" spans="1:10" x14ac:dyDescent="0.3">
      <c r="A8769" t="s">
        <v>5841</v>
      </c>
      <c r="B8769" t="s">
        <v>14226</v>
      </c>
      <c r="D8769">
        <v>25</v>
      </c>
      <c r="E8769" t="s">
        <v>29</v>
      </c>
      <c r="F8769" t="s">
        <v>793</v>
      </c>
    </row>
    <row r="8770" spans="1:10" x14ac:dyDescent="0.3">
      <c r="A8770" t="s">
        <v>15902</v>
      </c>
      <c r="B8770" t="s">
        <v>15903</v>
      </c>
      <c r="D8770">
        <v>3</v>
      </c>
      <c r="F8770" t="s">
        <v>2376</v>
      </c>
    </row>
    <row r="8771" spans="1:10" x14ac:dyDescent="0.3">
      <c r="A8771" t="s">
        <v>15904</v>
      </c>
      <c r="B8771" t="s">
        <v>15905</v>
      </c>
      <c r="D8771">
        <v>50</v>
      </c>
      <c r="E8771" t="s">
        <v>29</v>
      </c>
      <c r="F8771" t="s">
        <v>9991</v>
      </c>
    </row>
    <row r="8772" spans="1:10" x14ac:dyDescent="0.3">
      <c r="A8772" t="s">
        <v>8690</v>
      </c>
      <c r="B8772" t="s">
        <v>8520</v>
      </c>
      <c r="D8772">
        <v>1</v>
      </c>
      <c r="E8772" t="s">
        <v>246</v>
      </c>
      <c r="F8772" t="s">
        <v>591</v>
      </c>
      <c r="J8772" t="s">
        <v>248</v>
      </c>
    </row>
    <row r="8773" spans="1:10" x14ac:dyDescent="0.3">
      <c r="A8773" t="s">
        <v>5440</v>
      </c>
      <c r="B8773" t="s">
        <v>15906</v>
      </c>
      <c r="D8773">
        <v>1.5</v>
      </c>
      <c r="E8773" t="s">
        <v>345</v>
      </c>
      <c r="F8773" t="s">
        <v>1047</v>
      </c>
      <c r="J8773" t="s">
        <v>15907</v>
      </c>
    </row>
    <row r="8774" spans="1:10" x14ac:dyDescent="0.3">
      <c r="A8774" t="s">
        <v>15908</v>
      </c>
      <c r="B8774" t="s">
        <v>1237</v>
      </c>
      <c r="D8774">
        <v>1</v>
      </c>
      <c r="E8774" t="s">
        <v>23</v>
      </c>
      <c r="F8774" t="s">
        <v>1238</v>
      </c>
    </row>
    <row r="8775" spans="1:10" x14ac:dyDescent="0.3">
      <c r="A8775" t="s">
        <v>5514</v>
      </c>
      <c r="B8775" t="s">
        <v>15909</v>
      </c>
      <c r="D8775">
        <v>0.5</v>
      </c>
      <c r="E8775" t="s">
        <v>23</v>
      </c>
      <c r="F8775" t="s">
        <v>180</v>
      </c>
    </row>
    <row r="8776" spans="1:10" x14ac:dyDescent="0.3">
      <c r="A8776" t="s">
        <v>15910</v>
      </c>
      <c r="B8776" t="s">
        <v>824</v>
      </c>
      <c r="D8776">
        <v>1</v>
      </c>
      <c r="F8776" t="s">
        <v>825</v>
      </c>
      <c r="J8776" t="s">
        <v>248</v>
      </c>
    </row>
    <row r="8777" spans="1:10" x14ac:dyDescent="0.3">
      <c r="A8777" t="s">
        <v>6852</v>
      </c>
      <c r="B8777" t="s">
        <v>15911</v>
      </c>
      <c r="D8777">
        <v>6</v>
      </c>
      <c r="E8777" t="s">
        <v>189</v>
      </c>
      <c r="F8777" t="s">
        <v>1043</v>
      </c>
    </row>
    <row r="8778" spans="1:10" x14ac:dyDescent="0.3">
      <c r="A8778" t="s">
        <v>15912</v>
      </c>
      <c r="B8778" t="s">
        <v>15913</v>
      </c>
      <c r="D8778">
        <v>1</v>
      </c>
      <c r="E8778" t="s">
        <v>236</v>
      </c>
      <c r="F8778" t="s">
        <v>152</v>
      </c>
      <c r="J8778" t="s">
        <v>1132</v>
      </c>
    </row>
    <row r="8779" spans="1:10" x14ac:dyDescent="0.3">
      <c r="A8779" t="s">
        <v>15914</v>
      </c>
      <c r="B8779" t="s">
        <v>14451</v>
      </c>
      <c r="D8779">
        <v>1</v>
      </c>
      <c r="F8779" t="s">
        <v>518</v>
      </c>
    </row>
    <row r="8780" spans="1:10" x14ac:dyDescent="0.3">
      <c r="A8780" t="s">
        <v>15915</v>
      </c>
      <c r="B8780" t="s">
        <v>15916</v>
      </c>
      <c r="D8780">
        <v>0.75</v>
      </c>
      <c r="E8780" t="s">
        <v>37</v>
      </c>
      <c r="F8780" t="s">
        <v>15917</v>
      </c>
    </row>
    <row r="8781" spans="1:10" x14ac:dyDescent="0.3">
      <c r="A8781" t="s">
        <v>11176</v>
      </c>
      <c r="B8781" t="s">
        <v>968</v>
      </c>
      <c r="D8781">
        <v>1</v>
      </c>
      <c r="E8781" t="s">
        <v>23</v>
      </c>
      <c r="F8781" t="s">
        <v>199</v>
      </c>
    </row>
    <row r="8782" spans="1:10" x14ac:dyDescent="0.3">
      <c r="A8782" t="s">
        <v>15918</v>
      </c>
      <c r="B8782" t="s">
        <v>15919</v>
      </c>
      <c r="D8782">
        <v>0.5</v>
      </c>
      <c r="E8782" t="s">
        <v>23</v>
      </c>
      <c r="F8782" t="s">
        <v>6256</v>
      </c>
    </row>
    <row r="8783" spans="1:10" x14ac:dyDescent="0.3">
      <c r="A8783" t="s">
        <v>15920</v>
      </c>
      <c r="B8783" t="s">
        <v>13502</v>
      </c>
      <c r="F8783" t="s">
        <v>13502</v>
      </c>
    </row>
    <row r="8784" spans="1:10" x14ac:dyDescent="0.3">
      <c r="A8784" t="s">
        <v>15921</v>
      </c>
      <c r="B8784" t="s">
        <v>1545</v>
      </c>
      <c r="F8784" t="s">
        <v>333</v>
      </c>
      <c r="G8784" t="s">
        <v>1247</v>
      </c>
    </row>
    <row r="8785" spans="1:10" x14ac:dyDescent="0.3">
      <c r="A8785" t="s">
        <v>15922</v>
      </c>
      <c r="B8785" t="s">
        <v>2284</v>
      </c>
      <c r="D8785">
        <v>5</v>
      </c>
      <c r="E8785" t="s">
        <v>176</v>
      </c>
      <c r="F8785" t="s">
        <v>728</v>
      </c>
    </row>
    <row r="8786" spans="1:10" x14ac:dyDescent="0.3">
      <c r="A8786" t="s">
        <v>15923</v>
      </c>
      <c r="B8786" t="s">
        <v>15924</v>
      </c>
      <c r="D8786">
        <v>1.5</v>
      </c>
      <c r="E8786" t="s">
        <v>345</v>
      </c>
      <c r="F8786" t="s">
        <v>551</v>
      </c>
      <c r="G8786" t="s">
        <v>167</v>
      </c>
      <c r="H8786" t="s">
        <v>168</v>
      </c>
      <c r="J8786" t="s">
        <v>325</v>
      </c>
    </row>
    <row r="8787" spans="1:10" x14ac:dyDescent="0.3">
      <c r="A8787" t="s">
        <v>12033</v>
      </c>
      <c r="B8787" t="s">
        <v>12292</v>
      </c>
      <c r="D8787">
        <v>1.5</v>
      </c>
      <c r="E8787" t="s">
        <v>23</v>
      </c>
      <c r="F8787" t="s">
        <v>199</v>
      </c>
    </row>
    <row r="8788" spans="1:10" x14ac:dyDescent="0.3">
      <c r="A8788" t="s">
        <v>5835</v>
      </c>
      <c r="B8788" t="s">
        <v>13129</v>
      </c>
      <c r="D8788">
        <v>0.25</v>
      </c>
      <c r="E8788" t="s">
        <v>23</v>
      </c>
      <c r="F8788" t="s">
        <v>399</v>
      </c>
    </row>
    <row r="8789" spans="1:10" x14ac:dyDescent="0.3">
      <c r="A8789" t="s">
        <v>15925</v>
      </c>
      <c r="B8789" t="s">
        <v>15926</v>
      </c>
      <c r="D8789">
        <v>50</v>
      </c>
      <c r="E8789" t="s">
        <v>29</v>
      </c>
      <c r="F8789" t="s">
        <v>15927</v>
      </c>
    </row>
    <row r="8790" spans="1:10" x14ac:dyDescent="0.3">
      <c r="A8790" t="s">
        <v>10334</v>
      </c>
      <c r="B8790" t="s">
        <v>15928</v>
      </c>
      <c r="D8790">
        <v>1</v>
      </c>
      <c r="E8790" t="s">
        <v>2210</v>
      </c>
      <c r="F8790" t="s">
        <v>233</v>
      </c>
      <c r="J8790" t="s">
        <v>289</v>
      </c>
    </row>
    <row r="8791" spans="1:10" x14ac:dyDescent="0.3">
      <c r="A8791" t="s">
        <v>12564</v>
      </c>
      <c r="B8791" t="s">
        <v>3935</v>
      </c>
      <c r="D8791">
        <v>3</v>
      </c>
      <c r="E8791" t="s">
        <v>189</v>
      </c>
      <c r="F8791" t="s">
        <v>3891</v>
      </c>
    </row>
    <row r="8792" spans="1:10" x14ac:dyDescent="0.3">
      <c r="A8792" t="s">
        <v>12650</v>
      </c>
      <c r="B8792" t="s">
        <v>15929</v>
      </c>
      <c r="D8792">
        <v>0.5</v>
      </c>
      <c r="E8792" t="s">
        <v>71</v>
      </c>
      <c r="F8792" t="s">
        <v>81</v>
      </c>
    </row>
    <row r="8793" spans="1:10" x14ac:dyDescent="0.3">
      <c r="A8793" t="s">
        <v>15930</v>
      </c>
      <c r="B8793" t="s">
        <v>8777</v>
      </c>
      <c r="D8793">
        <v>1</v>
      </c>
      <c r="F8793" t="s">
        <v>4580</v>
      </c>
      <c r="H8793" t="s">
        <v>68</v>
      </c>
    </row>
    <row r="8794" spans="1:10" x14ac:dyDescent="0.3">
      <c r="A8794" t="s">
        <v>15931</v>
      </c>
      <c r="B8794" t="s">
        <v>672</v>
      </c>
      <c r="F8794" t="s">
        <v>672</v>
      </c>
    </row>
    <row r="8795" spans="1:10" x14ac:dyDescent="0.3">
      <c r="A8795" t="s">
        <v>10250</v>
      </c>
      <c r="B8795" t="s">
        <v>4653</v>
      </c>
      <c r="D8795">
        <v>1</v>
      </c>
      <c r="E8795" t="s">
        <v>460</v>
      </c>
      <c r="F8795" t="s">
        <v>4654</v>
      </c>
    </row>
    <row r="8796" spans="1:10" x14ac:dyDescent="0.3">
      <c r="A8796" t="s">
        <v>15932</v>
      </c>
      <c r="B8796" t="s">
        <v>15933</v>
      </c>
      <c r="D8796">
        <v>1</v>
      </c>
      <c r="E8796" t="s">
        <v>91</v>
      </c>
      <c r="F8796" t="s">
        <v>716</v>
      </c>
    </row>
    <row r="8797" spans="1:10" x14ac:dyDescent="0.3">
      <c r="A8797" t="s">
        <v>1710</v>
      </c>
      <c r="B8797" t="s">
        <v>15934</v>
      </c>
      <c r="D8797">
        <v>2</v>
      </c>
      <c r="F8797" t="s">
        <v>9140</v>
      </c>
      <c r="H8797" t="s">
        <v>68</v>
      </c>
    </row>
    <row r="8798" spans="1:10" x14ac:dyDescent="0.3">
      <c r="A8798" t="s">
        <v>858</v>
      </c>
      <c r="B8798" t="s">
        <v>15935</v>
      </c>
      <c r="D8798">
        <v>1.5</v>
      </c>
      <c r="E8798" t="s">
        <v>345</v>
      </c>
      <c r="F8798" t="s">
        <v>15936</v>
      </c>
    </row>
    <row r="8799" spans="1:10" x14ac:dyDescent="0.3">
      <c r="A8799" t="s">
        <v>15937</v>
      </c>
      <c r="B8799" t="s">
        <v>15938</v>
      </c>
      <c r="D8799">
        <v>2</v>
      </c>
      <c r="E8799" t="s">
        <v>2006</v>
      </c>
      <c r="F8799" t="s">
        <v>15939</v>
      </c>
    </row>
    <row r="8800" spans="1:10" x14ac:dyDescent="0.3">
      <c r="A8800" t="s">
        <v>1837</v>
      </c>
      <c r="B8800" t="s">
        <v>10945</v>
      </c>
      <c r="F8800" t="s">
        <v>413</v>
      </c>
      <c r="G8800" t="s">
        <v>1512</v>
      </c>
      <c r="J8800" t="s">
        <v>4154</v>
      </c>
    </row>
    <row r="8801" spans="1:10" x14ac:dyDescent="0.3">
      <c r="A8801" t="s">
        <v>15940</v>
      </c>
      <c r="B8801" t="s">
        <v>1222</v>
      </c>
      <c r="D8801">
        <v>2</v>
      </c>
      <c r="E8801" t="s">
        <v>189</v>
      </c>
      <c r="F8801" t="s">
        <v>1223</v>
      </c>
    </row>
    <row r="8802" spans="1:10" x14ac:dyDescent="0.3">
      <c r="A8802" t="s">
        <v>15941</v>
      </c>
      <c r="B8802" t="s">
        <v>15942</v>
      </c>
      <c r="D8802">
        <v>150</v>
      </c>
      <c r="E8802" t="s">
        <v>29</v>
      </c>
      <c r="F8802" t="s">
        <v>551</v>
      </c>
      <c r="H8802" t="s">
        <v>814</v>
      </c>
    </row>
    <row r="8803" spans="1:10" x14ac:dyDescent="0.3">
      <c r="A8803" t="s">
        <v>15943</v>
      </c>
      <c r="B8803" t="s">
        <v>486</v>
      </c>
      <c r="D8803">
        <v>1</v>
      </c>
      <c r="E8803" t="s">
        <v>23</v>
      </c>
      <c r="F8803" t="s">
        <v>487</v>
      </c>
    </row>
    <row r="8804" spans="1:10" x14ac:dyDescent="0.3">
      <c r="A8804" t="s">
        <v>4307</v>
      </c>
      <c r="B8804" t="s">
        <v>4294</v>
      </c>
      <c r="D8804">
        <v>1</v>
      </c>
      <c r="E8804" t="s">
        <v>37</v>
      </c>
      <c r="F8804" t="s">
        <v>38</v>
      </c>
      <c r="G8804" t="s">
        <v>167</v>
      </c>
      <c r="H8804" t="s">
        <v>168</v>
      </c>
    </row>
    <row r="8805" spans="1:10" x14ac:dyDescent="0.3">
      <c r="A8805" t="s">
        <v>6074</v>
      </c>
      <c r="B8805" t="s">
        <v>15944</v>
      </c>
      <c r="D8805">
        <v>3</v>
      </c>
      <c r="E8805" t="s">
        <v>60</v>
      </c>
      <c r="F8805" t="s">
        <v>6129</v>
      </c>
    </row>
    <row r="8806" spans="1:10" x14ac:dyDescent="0.3">
      <c r="A8806" t="s">
        <v>15945</v>
      </c>
      <c r="B8806" t="s">
        <v>15946</v>
      </c>
      <c r="D8806">
        <v>1</v>
      </c>
      <c r="E8806" t="s">
        <v>227</v>
      </c>
      <c r="F8806" t="s">
        <v>880</v>
      </c>
    </row>
    <row r="8807" spans="1:10" x14ac:dyDescent="0.3">
      <c r="A8807" t="s">
        <v>10001</v>
      </c>
      <c r="B8807" t="s">
        <v>15947</v>
      </c>
      <c r="F8807" t="s">
        <v>15948</v>
      </c>
      <c r="J8807" t="s">
        <v>289</v>
      </c>
    </row>
    <row r="8808" spans="1:10" x14ac:dyDescent="0.3">
      <c r="A8808" t="s">
        <v>6997</v>
      </c>
      <c r="B8808" t="s">
        <v>15949</v>
      </c>
      <c r="D8808">
        <v>0.25</v>
      </c>
      <c r="E8808" t="s">
        <v>37</v>
      </c>
      <c r="F8808" t="s">
        <v>1410</v>
      </c>
      <c r="J8808" t="s">
        <v>15950</v>
      </c>
    </row>
    <row r="8809" spans="1:10" x14ac:dyDescent="0.3">
      <c r="A8809" t="s">
        <v>15951</v>
      </c>
      <c r="B8809" t="s">
        <v>1173</v>
      </c>
      <c r="F8809" t="s">
        <v>1173</v>
      </c>
    </row>
    <row r="8810" spans="1:10" x14ac:dyDescent="0.3">
      <c r="A8810" t="s">
        <v>15952</v>
      </c>
      <c r="B8810" t="s">
        <v>4656</v>
      </c>
      <c r="D8810">
        <v>1</v>
      </c>
      <c r="E8810" t="s">
        <v>460</v>
      </c>
      <c r="F8810" t="s">
        <v>115</v>
      </c>
    </row>
    <row r="8811" spans="1:10" x14ac:dyDescent="0.3">
      <c r="A8811" t="s">
        <v>15953</v>
      </c>
      <c r="B8811" t="s">
        <v>8891</v>
      </c>
      <c r="D8811">
        <v>15</v>
      </c>
      <c r="E8811" t="s">
        <v>29</v>
      </c>
      <c r="F8811" t="s">
        <v>115</v>
      </c>
    </row>
    <row r="8812" spans="1:10" x14ac:dyDescent="0.3">
      <c r="A8812" t="s">
        <v>6000</v>
      </c>
      <c r="B8812" t="s">
        <v>3325</v>
      </c>
      <c r="D8812">
        <v>1</v>
      </c>
      <c r="E8812" t="s">
        <v>368</v>
      </c>
      <c r="F8812" t="s">
        <v>2166</v>
      </c>
      <c r="G8812" t="s">
        <v>3326</v>
      </c>
    </row>
    <row r="8813" spans="1:10" x14ac:dyDescent="0.3">
      <c r="A8813" t="s">
        <v>5401</v>
      </c>
      <c r="B8813" t="s">
        <v>15954</v>
      </c>
      <c r="D8813">
        <v>1</v>
      </c>
      <c r="E8813" t="s">
        <v>6055</v>
      </c>
      <c r="F8813" t="s">
        <v>8211</v>
      </c>
    </row>
    <row r="8814" spans="1:10" x14ac:dyDescent="0.3">
      <c r="A8814" t="s">
        <v>10693</v>
      </c>
      <c r="B8814" t="s">
        <v>12981</v>
      </c>
      <c r="D8814">
        <v>0.5</v>
      </c>
      <c r="E8814" t="s">
        <v>23</v>
      </c>
      <c r="F8814" t="s">
        <v>1328</v>
      </c>
    </row>
    <row r="8815" spans="1:10" x14ac:dyDescent="0.3">
      <c r="A8815" t="s">
        <v>15955</v>
      </c>
      <c r="B8815" t="s">
        <v>15956</v>
      </c>
      <c r="D8815">
        <v>8</v>
      </c>
      <c r="E8815" t="s">
        <v>91</v>
      </c>
      <c r="F8815" t="s">
        <v>15957</v>
      </c>
    </row>
    <row r="8816" spans="1:10" x14ac:dyDescent="0.3">
      <c r="A8816" t="s">
        <v>66</v>
      </c>
      <c r="B8816" t="s">
        <v>15958</v>
      </c>
      <c r="D8816">
        <v>1.25</v>
      </c>
      <c r="E8816" t="s">
        <v>345</v>
      </c>
      <c r="F8816" t="s">
        <v>15959</v>
      </c>
    </row>
    <row r="8817" spans="1:10" x14ac:dyDescent="0.3">
      <c r="A8817" t="s">
        <v>424</v>
      </c>
      <c r="B8817" t="s">
        <v>15960</v>
      </c>
      <c r="D8817">
        <v>1</v>
      </c>
      <c r="E8817" t="s">
        <v>23</v>
      </c>
      <c r="F8817" t="s">
        <v>5973</v>
      </c>
    </row>
    <row r="8818" spans="1:10" x14ac:dyDescent="0.3">
      <c r="A8818" t="s">
        <v>15961</v>
      </c>
      <c r="B8818" t="s">
        <v>15962</v>
      </c>
      <c r="D8818">
        <v>1.5</v>
      </c>
      <c r="E8818" t="s">
        <v>345</v>
      </c>
      <c r="F8818" t="s">
        <v>15963</v>
      </c>
    </row>
    <row r="8819" spans="1:10" x14ac:dyDescent="0.3">
      <c r="A8819" t="s">
        <v>15964</v>
      </c>
      <c r="B8819" t="s">
        <v>5947</v>
      </c>
      <c r="D8819">
        <v>0.5</v>
      </c>
      <c r="E8819" t="s">
        <v>23</v>
      </c>
      <c r="F8819" t="s">
        <v>5948</v>
      </c>
    </row>
    <row r="8820" spans="1:10" x14ac:dyDescent="0.3">
      <c r="A8820" t="s">
        <v>15965</v>
      </c>
      <c r="B8820" t="s">
        <v>15966</v>
      </c>
      <c r="D8820">
        <v>7</v>
      </c>
      <c r="E8820" t="s">
        <v>189</v>
      </c>
      <c r="F8820" t="s">
        <v>1895</v>
      </c>
      <c r="J8820" t="s">
        <v>289</v>
      </c>
    </row>
    <row r="8821" spans="1:10" x14ac:dyDescent="0.3">
      <c r="A8821" t="s">
        <v>15967</v>
      </c>
      <c r="B8821" t="s">
        <v>15968</v>
      </c>
      <c r="F8821" t="s">
        <v>15969</v>
      </c>
      <c r="J8821" t="s">
        <v>8262</v>
      </c>
    </row>
    <row r="8822" spans="1:10" x14ac:dyDescent="0.3">
      <c r="A8822" t="s">
        <v>15970</v>
      </c>
      <c r="B8822" t="s">
        <v>15971</v>
      </c>
      <c r="D8822">
        <v>0.75</v>
      </c>
      <c r="E8822" t="s">
        <v>23</v>
      </c>
      <c r="F8822" t="s">
        <v>15439</v>
      </c>
    </row>
    <row r="8823" spans="1:10" x14ac:dyDescent="0.3">
      <c r="A8823" t="s">
        <v>15972</v>
      </c>
      <c r="B8823" t="s">
        <v>1237</v>
      </c>
      <c r="D8823">
        <v>1</v>
      </c>
      <c r="E8823" t="s">
        <v>23</v>
      </c>
      <c r="F8823" t="s">
        <v>1238</v>
      </c>
    </row>
    <row r="8824" spans="1:10" x14ac:dyDescent="0.3">
      <c r="A8824" t="s">
        <v>4008</v>
      </c>
      <c r="B8824" t="s">
        <v>15973</v>
      </c>
      <c r="D8824">
        <v>4.5</v>
      </c>
      <c r="E8824" t="s">
        <v>23</v>
      </c>
      <c r="F8824" t="s">
        <v>9003</v>
      </c>
    </row>
    <row r="8825" spans="1:10" x14ac:dyDescent="0.3">
      <c r="A8825" t="s">
        <v>15974</v>
      </c>
      <c r="B8825" t="s">
        <v>780</v>
      </c>
      <c r="D8825">
        <v>2</v>
      </c>
      <c r="E8825" t="s">
        <v>23</v>
      </c>
      <c r="F8825" t="s">
        <v>781</v>
      </c>
      <c r="J8825" t="s">
        <v>289</v>
      </c>
    </row>
    <row r="8826" spans="1:10" x14ac:dyDescent="0.3">
      <c r="A8826" t="s">
        <v>15975</v>
      </c>
      <c r="B8826" t="s">
        <v>879</v>
      </c>
      <c r="D8826">
        <v>1</v>
      </c>
      <c r="E8826" t="s">
        <v>23</v>
      </c>
      <c r="F8826" t="s">
        <v>880</v>
      </c>
    </row>
    <row r="8827" spans="1:10" x14ac:dyDescent="0.3">
      <c r="A8827" t="s">
        <v>1870</v>
      </c>
      <c r="B8827" t="s">
        <v>9740</v>
      </c>
      <c r="D8827">
        <v>2</v>
      </c>
      <c r="E8827" t="s">
        <v>176</v>
      </c>
      <c r="F8827" t="s">
        <v>1644</v>
      </c>
    </row>
    <row r="8828" spans="1:10" x14ac:dyDescent="0.3">
      <c r="A8828" t="s">
        <v>15976</v>
      </c>
      <c r="B8828" t="s">
        <v>1354</v>
      </c>
      <c r="D8828">
        <v>1.5</v>
      </c>
      <c r="E8828" t="s">
        <v>23</v>
      </c>
      <c r="F8828" t="s">
        <v>220</v>
      </c>
    </row>
    <row r="8829" spans="1:10" x14ac:dyDescent="0.3">
      <c r="A8829" t="s">
        <v>684</v>
      </c>
      <c r="B8829" t="s">
        <v>15977</v>
      </c>
      <c r="D8829">
        <v>1.5</v>
      </c>
      <c r="E8829" t="s">
        <v>227</v>
      </c>
      <c r="F8829" t="s">
        <v>581</v>
      </c>
    </row>
    <row r="8830" spans="1:10" x14ac:dyDescent="0.3">
      <c r="A8830" t="s">
        <v>15314</v>
      </c>
      <c r="B8830" t="s">
        <v>2651</v>
      </c>
      <c r="D8830">
        <v>0.5</v>
      </c>
      <c r="E8830" t="s">
        <v>23</v>
      </c>
      <c r="F8830" t="s">
        <v>199</v>
      </c>
      <c r="J8830" t="s">
        <v>289</v>
      </c>
    </row>
    <row r="8831" spans="1:10" x14ac:dyDescent="0.3">
      <c r="A8831" t="s">
        <v>11088</v>
      </c>
      <c r="B8831" t="s">
        <v>15978</v>
      </c>
      <c r="F8831" t="s">
        <v>15978</v>
      </c>
    </row>
    <row r="8832" spans="1:10" x14ac:dyDescent="0.3">
      <c r="A8832" t="s">
        <v>15979</v>
      </c>
      <c r="B8832" t="s">
        <v>15980</v>
      </c>
      <c r="D8832">
        <v>1</v>
      </c>
      <c r="E8832" t="s">
        <v>11</v>
      </c>
      <c r="F8832" t="s">
        <v>15981</v>
      </c>
      <c r="J8832" t="s">
        <v>893</v>
      </c>
    </row>
    <row r="8833" spans="1:10" x14ac:dyDescent="0.3">
      <c r="A8833" t="s">
        <v>15982</v>
      </c>
      <c r="B8833" t="s">
        <v>1235</v>
      </c>
      <c r="D8833">
        <v>0.5</v>
      </c>
      <c r="E8833" t="s">
        <v>11</v>
      </c>
      <c r="F8833" t="s">
        <v>88</v>
      </c>
    </row>
    <row r="8834" spans="1:10" x14ac:dyDescent="0.3">
      <c r="A8834" t="s">
        <v>3337</v>
      </c>
      <c r="B8834" t="s">
        <v>15983</v>
      </c>
      <c r="D8834">
        <v>45</v>
      </c>
      <c r="E8834" t="s">
        <v>10800</v>
      </c>
      <c r="F8834" t="s">
        <v>15984</v>
      </c>
    </row>
    <row r="8835" spans="1:10" x14ac:dyDescent="0.3">
      <c r="A8835" t="s">
        <v>15985</v>
      </c>
      <c r="B8835" t="s">
        <v>15986</v>
      </c>
      <c r="D8835">
        <v>151</v>
      </c>
      <c r="E8835" t="s">
        <v>23</v>
      </c>
      <c r="F8835" t="s">
        <v>15987</v>
      </c>
    </row>
    <row r="8836" spans="1:10" x14ac:dyDescent="0.3">
      <c r="A8836" t="s">
        <v>15988</v>
      </c>
      <c r="B8836" t="s">
        <v>15989</v>
      </c>
      <c r="D8836">
        <v>50</v>
      </c>
      <c r="E8836" t="s">
        <v>29</v>
      </c>
      <c r="F8836" t="s">
        <v>15990</v>
      </c>
    </row>
    <row r="8837" spans="1:10" x14ac:dyDescent="0.3">
      <c r="A8837" t="s">
        <v>11131</v>
      </c>
      <c r="B8837" t="s">
        <v>28</v>
      </c>
      <c r="D8837">
        <v>25</v>
      </c>
      <c r="E8837" t="s">
        <v>29</v>
      </c>
      <c r="F8837" t="s">
        <v>30</v>
      </c>
    </row>
    <row r="8838" spans="1:10" x14ac:dyDescent="0.3">
      <c r="A8838" t="s">
        <v>15991</v>
      </c>
      <c r="B8838" t="s">
        <v>5437</v>
      </c>
      <c r="F8838" t="s">
        <v>262</v>
      </c>
      <c r="J8838" t="s">
        <v>65</v>
      </c>
    </row>
    <row r="8839" spans="1:10" x14ac:dyDescent="0.3">
      <c r="A8839" t="s">
        <v>2017</v>
      </c>
      <c r="B8839" t="s">
        <v>15992</v>
      </c>
      <c r="D8839">
        <v>0.25</v>
      </c>
      <c r="E8839" t="s">
        <v>361</v>
      </c>
      <c r="F8839" t="s">
        <v>5091</v>
      </c>
      <c r="G8839" t="s">
        <v>3326</v>
      </c>
    </row>
    <row r="8840" spans="1:10" x14ac:dyDescent="0.3">
      <c r="A8840" t="s">
        <v>15993</v>
      </c>
      <c r="B8840" t="s">
        <v>15994</v>
      </c>
      <c r="D8840">
        <v>15</v>
      </c>
      <c r="E8840" t="s">
        <v>29</v>
      </c>
      <c r="F8840" t="s">
        <v>15995</v>
      </c>
    </row>
    <row r="8841" spans="1:10" x14ac:dyDescent="0.3">
      <c r="A8841" t="s">
        <v>8921</v>
      </c>
      <c r="B8841" t="s">
        <v>15996</v>
      </c>
      <c r="D8841">
        <v>1</v>
      </c>
      <c r="E8841" t="s">
        <v>206</v>
      </c>
      <c r="F8841" t="s">
        <v>160</v>
      </c>
      <c r="G8841" t="s">
        <v>167</v>
      </c>
      <c r="H8841" t="s">
        <v>168</v>
      </c>
    </row>
    <row r="8842" spans="1:10" x14ac:dyDescent="0.3">
      <c r="A8842" t="s">
        <v>15997</v>
      </c>
      <c r="B8842" t="s">
        <v>3353</v>
      </c>
      <c r="F8842" t="s">
        <v>3353</v>
      </c>
    </row>
    <row r="8843" spans="1:10" x14ac:dyDescent="0.3">
      <c r="A8843" t="s">
        <v>14223</v>
      </c>
      <c r="B8843" t="s">
        <v>6182</v>
      </c>
      <c r="D8843">
        <v>1</v>
      </c>
      <c r="E8843" t="s">
        <v>23</v>
      </c>
      <c r="F8843" t="s">
        <v>3679</v>
      </c>
    </row>
    <row r="8844" spans="1:10" x14ac:dyDescent="0.3">
      <c r="A8844" t="s">
        <v>15998</v>
      </c>
      <c r="B8844" t="s">
        <v>15999</v>
      </c>
      <c r="F8844" t="s">
        <v>16000</v>
      </c>
      <c r="J8844" t="s">
        <v>432</v>
      </c>
    </row>
    <row r="8845" spans="1:10" x14ac:dyDescent="0.3">
      <c r="A8845" t="s">
        <v>16001</v>
      </c>
      <c r="B8845" t="s">
        <v>16002</v>
      </c>
      <c r="D8845">
        <v>1</v>
      </c>
      <c r="E8845" t="s">
        <v>23</v>
      </c>
      <c r="F8845" t="s">
        <v>1589</v>
      </c>
      <c r="J8845" t="s">
        <v>289</v>
      </c>
    </row>
    <row r="8846" spans="1:10" x14ac:dyDescent="0.3">
      <c r="A8846" t="s">
        <v>9390</v>
      </c>
      <c r="B8846" t="s">
        <v>4328</v>
      </c>
      <c r="D8846">
        <v>2</v>
      </c>
      <c r="E8846" t="s">
        <v>23</v>
      </c>
      <c r="F8846" t="s">
        <v>338</v>
      </c>
    </row>
    <row r="8847" spans="1:10" x14ac:dyDescent="0.3">
      <c r="A8847" t="s">
        <v>11494</v>
      </c>
      <c r="B8847" t="s">
        <v>16003</v>
      </c>
      <c r="D8847">
        <v>1</v>
      </c>
      <c r="E8847" t="s">
        <v>111</v>
      </c>
      <c r="F8847" t="s">
        <v>399</v>
      </c>
    </row>
    <row r="8848" spans="1:10" x14ac:dyDescent="0.3">
      <c r="A8848" t="s">
        <v>5116</v>
      </c>
      <c r="B8848" t="s">
        <v>2492</v>
      </c>
      <c r="D8848">
        <v>0.25</v>
      </c>
      <c r="E8848" t="s">
        <v>11</v>
      </c>
      <c r="F8848" t="s">
        <v>2493</v>
      </c>
      <c r="J8848" t="s">
        <v>20</v>
      </c>
    </row>
    <row r="8849" spans="1:10" x14ac:dyDescent="0.3">
      <c r="A8849" t="s">
        <v>13469</v>
      </c>
      <c r="B8849" t="s">
        <v>4534</v>
      </c>
      <c r="D8849">
        <v>1</v>
      </c>
      <c r="E8849" t="s">
        <v>37</v>
      </c>
      <c r="F8849" t="s">
        <v>160</v>
      </c>
      <c r="H8849" t="s">
        <v>68</v>
      </c>
    </row>
    <row r="8850" spans="1:10" x14ac:dyDescent="0.3">
      <c r="A8850" t="s">
        <v>5255</v>
      </c>
      <c r="B8850" t="s">
        <v>16004</v>
      </c>
      <c r="D8850">
        <v>5</v>
      </c>
      <c r="E8850" t="s">
        <v>835</v>
      </c>
      <c r="F8850" t="s">
        <v>16005</v>
      </c>
      <c r="J8850" t="s">
        <v>16006</v>
      </c>
    </row>
    <row r="8851" spans="1:10" x14ac:dyDescent="0.3">
      <c r="A8851" t="s">
        <v>16007</v>
      </c>
      <c r="B8851" t="s">
        <v>16008</v>
      </c>
      <c r="D8851">
        <v>1.5</v>
      </c>
      <c r="E8851" t="s">
        <v>23</v>
      </c>
      <c r="F8851" t="s">
        <v>844</v>
      </c>
    </row>
    <row r="8852" spans="1:10" x14ac:dyDescent="0.3">
      <c r="A8852" t="s">
        <v>13662</v>
      </c>
      <c r="B8852" t="s">
        <v>16009</v>
      </c>
      <c r="D8852">
        <v>1</v>
      </c>
      <c r="F8852" t="s">
        <v>10666</v>
      </c>
      <c r="G8852" t="s">
        <v>908</v>
      </c>
      <c r="J8852" t="s">
        <v>16010</v>
      </c>
    </row>
    <row r="8853" spans="1:10" x14ac:dyDescent="0.3">
      <c r="A8853" t="s">
        <v>16011</v>
      </c>
      <c r="B8853" t="s">
        <v>1959</v>
      </c>
      <c r="D8853">
        <v>1</v>
      </c>
      <c r="E8853" t="s">
        <v>18</v>
      </c>
      <c r="F8853" t="s">
        <v>1223</v>
      </c>
    </row>
    <row r="8854" spans="1:10" x14ac:dyDescent="0.3">
      <c r="A8854" t="s">
        <v>15613</v>
      </c>
      <c r="B8854" t="s">
        <v>16012</v>
      </c>
      <c r="D8854">
        <v>0.5</v>
      </c>
      <c r="E8854" t="s">
        <v>37</v>
      </c>
      <c r="F8854" t="s">
        <v>16013</v>
      </c>
      <c r="J8854" t="s">
        <v>16014</v>
      </c>
    </row>
    <row r="8855" spans="1:10" x14ac:dyDescent="0.3">
      <c r="A8855" t="s">
        <v>11017</v>
      </c>
      <c r="B8855" t="s">
        <v>16015</v>
      </c>
      <c r="D8855">
        <v>1</v>
      </c>
      <c r="E8855" t="s">
        <v>18</v>
      </c>
      <c r="F8855" t="s">
        <v>16016</v>
      </c>
    </row>
    <row r="8856" spans="1:10" x14ac:dyDescent="0.3">
      <c r="A8856" t="s">
        <v>16017</v>
      </c>
      <c r="B8856" t="s">
        <v>1042</v>
      </c>
      <c r="D8856">
        <v>1</v>
      </c>
      <c r="E8856" t="s">
        <v>18</v>
      </c>
      <c r="F8856" t="s">
        <v>1043</v>
      </c>
    </row>
    <row r="8857" spans="1:10" x14ac:dyDescent="0.3">
      <c r="A8857" t="s">
        <v>16018</v>
      </c>
      <c r="B8857" t="s">
        <v>16019</v>
      </c>
      <c r="D8857">
        <v>1</v>
      </c>
      <c r="E8857" t="s">
        <v>23</v>
      </c>
      <c r="F8857" t="s">
        <v>16020</v>
      </c>
    </row>
    <row r="8858" spans="1:10" x14ac:dyDescent="0.3">
      <c r="A8858" t="s">
        <v>6861</v>
      </c>
      <c r="B8858" t="s">
        <v>16021</v>
      </c>
      <c r="D8858">
        <v>1</v>
      </c>
      <c r="E8858" t="s">
        <v>426</v>
      </c>
      <c r="F8858" t="s">
        <v>38</v>
      </c>
      <c r="G8858" t="s">
        <v>167</v>
      </c>
      <c r="H8858" t="s">
        <v>168</v>
      </c>
    </row>
    <row r="8859" spans="1:10" x14ac:dyDescent="0.3">
      <c r="A8859" t="s">
        <v>16022</v>
      </c>
      <c r="B8859" t="s">
        <v>16023</v>
      </c>
      <c r="D8859">
        <v>1</v>
      </c>
      <c r="E8859" t="s">
        <v>60</v>
      </c>
      <c r="F8859" t="s">
        <v>1739</v>
      </c>
    </row>
    <row r="8860" spans="1:10" x14ac:dyDescent="0.3">
      <c r="A8860" t="s">
        <v>3119</v>
      </c>
      <c r="B8860" t="s">
        <v>16024</v>
      </c>
      <c r="D8860">
        <v>0.25</v>
      </c>
      <c r="E8860" t="s">
        <v>11</v>
      </c>
      <c r="F8860" t="s">
        <v>16025</v>
      </c>
    </row>
    <row r="8861" spans="1:10" x14ac:dyDescent="0.3">
      <c r="A8861" t="s">
        <v>16026</v>
      </c>
      <c r="B8861" t="s">
        <v>16027</v>
      </c>
      <c r="D8861">
        <v>20</v>
      </c>
      <c r="E8861" t="s">
        <v>29</v>
      </c>
      <c r="F8861" t="s">
        <v>524</v>
      </c>
    </row>
    <row r="8862" spans="1:10" x14ac:dyDescent="0.3">
      <c r="A8862" t="s">
        <v>16028</v>
      </c>
      <c r="B8862" t="s">
        <v>16029</v>
      </c>
      <c r="D8862">
        <v>45</v>
      </c>
      <c r="E8862" t="s">
        <v>29</v>
      </c>
      <c r="F8862" t="s">
        <v>16030</v>
      </c>
    </row>
    <row r="8863" spans="1:10" x14ac:dyDescent="0.3">
      <c r="A8863" t="s">
        <v>16031</v>
      </c>
      <c r="B8863" t="s">
        <v>9833</v>
      </c>
      <c r="D8863">
        <v>1</v>
      </c>
      <c r="E8863" t="s">
        <v>23</v>
      </c>
      <c r="F8863" t="s">
        <v>1027</v>
      </c>
    </row>
    <row r="8864" spans="1:10" x14ac:dyDescent="0.3">
      <c r="A8864" t="s">
        <v>16032</v>
      </c>
      <c r="B8864" t="s">
        <v>3459</v>
      </c>
      <c r="D8864">
        <v>0.5</v>
      </c>
      <c r="E8864" t="s">
        <v>23</v>
      </c>
      <c r="F8864" t="s">
        <v>3460</v>
      </c>
      <c r="J8864" t="s">
        <v>289</v>
      </c>
    </row>
    <row r="8865" spans="1:10" x14ac:dyDescent="0.3">
      <c r="A8865" t="s">
        <v>16033</v>
      </c>
      <c r="B8865" t="s">
        <v>3977</v>
      </c>
      <c r="F8865" t="s">
        <v>3977</v>
      </c>
    </row>
    <row r="8866" spans="1:10" x14ac:dyDescent="0.3">
      <c r="A8866" t="s">
        <v>16034</v>
      </c>
      <c r="B8866" t="s">
        <v>16035</v>
      </c>
      <c r="D8866">
        <v>1</v>
      </c>
      <c r="E8866" t="s">
        <v>2210</v>
      </c>
      <c r="F8866" t="s">
        <v>738</v>
      </c>
      <c r="J8866" t="s">
        <v>289</v>
      </c>
    </row>
    <row r="8867" spans="1:10" x14ac:dyDescent="0.3">
      <c r="A8867" t="s">
        <v>16036</v>
      </c>
      <c r="B8867" t="s">
        <v>16037</v>
      </c>
      <c r="D8867">
        <v>10</v>
      </c>
      <c r="E8867" t="s">
        <v>23</v>
      </c>
      <c r="F8867" t="s">
        <v>12118</v>
      </c>
    </row>
    <row r="8868" spans="1:10" x14ac:dyDescent="0.3">
      <c r="A8868" t="s">
        <v>8113</v>
      </c>
      <c r="B8868" t="s">
        <v>16038</v>
      </c>
      <c r="D8868">
        <v>20.5</v>
      </c>
      <c r="E8868" t="s">
        <v>91</v>
      </c>
      <c r="F8868" t="s">
        <v>16039</v>
      </c>
      <c r="J8868" t="s">
        <v>20</v>
      </c>
    </row>
    <row r="8869" spans="1:10" x14ac:dyDescent="0.3">
      <c r="A8869" t="s">
        <v>16040</v>
      </c>
      <c r="B8869" t="s">
        <v>16041</v>
      </c>
      <c r="F8869" t="s">
        <v>16041</v>
      </c>
    </row>
    <row r="8870" spans="1:10" x14ac:dyDescent="0.3">
      <c r="A8870" t="s">
        <v>1272</v>
      </c>
      <c r="B8870" t="s">
        <v>3425</v>
      </c>
      <c r="D8870">
        <v>1</v>
      </c>
      <c r="E8870" t="s">
        <v>23</v>
      </c>
      <c r="F8870" t="s">
        <v>3426</v>
      </c>
    </row>
    <row r="8871" spans="1:10" x14ac:dyDescent="0.3">
      <c r="A8871" t="s">
        <v>16042</v>
      </c>
      <c r="B8871" t="s">
        <v>364</v>
      </c>
      <c r="D8871">
        <v>1</v>
      </c>
      <c r="E8871" t="s">
        <v>23</v>
      </c>
      <c r="F8871" t="s">
        <v>365</v>
      </c>
    </row>
    <row r="8872" spans="1:10" x14ac:dyDescent="0.3">
      <c r="A8872" t="s">
        <v>16043</v>
      </c>
      <c r="B8872" t="s">
        <v>16044</v>
      </c>
      <c r="D8872">
        <v>1</v>
      </c>
      <c r="E8872" t="s">
        <v>91</v>
      </c>
      <c r="F8872" t="s">
        <v>278</v>
      </c>
    </row>
    <row r="8873" spans="1:10" x14ac:dyDescent="0.3">
      <c r="A8873" t="s">
        <v>16045</v>
      </c>
      <c r="B8873" t="s">
        <v>5870</v>
      </c>
      <c r="F8873" t="s">
        <v>333</v>
      </c>
      <c r="J8873" t="s">
        <v>5871</v>
      </c>
    </row>
    <row r="8874" spans="1:10" x14ac:dyDescent="0.3">
      <c r="A8874" t="s">
        <v>16046</v>
      </c>
      <c r="B8874" t="s">
        <v>16047</v>
      </c>
      <c r="D8874">
        <v>10</v>
      </c>
      <c r="E8874" t="s">
        <v>29</v>
      </c>
      <c r="F8874" t="s">
        <v>587</v>
      </c>
    </row>
    <row r="8875" spans="1:10" x14ac:dyDescent="0.3">
      <c r="A8875" t="s">
        <v>16048</v>
      </c>
      <c r="B8875" t="s">
        <v>8950</v>
      </c>
      <c r="D8875">
        <v>2</v>
      </c>
      <c r="E8875" t="s">
        <v>23</v>
      </c>
      <c r="F8875" t="s">
        <v>8951</v>
      </c>
    </row>
    <row r="8876" spans="1:10" x14ac:dyDescent="0.3">
      <c r="A8876" t="s">
        <v>16049</v>
      </c>
      <c r="B8876" t="s">
        <v>16050</v>
      </c>
      <c r="D8876">
        <v>10</v>
      </c>
      <c r="E8876" t="s">
        <v>23</v>
      </c>
      <c r="F8876" t="s">
        <v>383</v>
      </c>
    </row>
    <row r="8877" spans="1:10" x14ac:dyDescent="0.3">
      <c r="A8877" t="s">
        <v>11032</v>
      </c>
      <c r="B8877" t="s">
        <v>3366</v>
      </c>
      <c r="F8877" t="s">
        <v>3366</v>
      </c>
    </row>
    <row r="8878" spans="1:10" x14ac:dyDescent="0.3">
      <c r="A8878" t="s">
        <v>11543</v>
      </c>
      <c r="B8878" t="s">
        <v>16051</v>
      </c>
      <c r="D8878">
        <v>1</v>
      </c>
      <c r="E8878" t="s">
        <v>37</v>
      </c>
      <c r="F8878" t="s">
        <v>16052</v>
      </c>
    </row>
    <row r="8879" spans="1:10" x14ac:dyDescent="0.3">
      <c r="A8879" t="s">
        <v>7186</v>
      </c>
      <c r="B8879" t="s">
        <v>16053</v>
      </c>
      <c r="D8879">
        <v>1</v>
      </c>
      <c r="E8879" t="s">
        <v>18</v>
      </c>
      <c r="F8879" t="s">
        <v>1043</v>
      </c>
      <c r="J8879" t="s">
        <v>289</v>
      </c>
    </row>
    <row r="8880" spans="1:10" x14ac:dyDescent="0.3">
      <c r="A8880" t="s">
        <v>3260</v>
      </c>
      <c r="B8880" t="s">
        <v>5088</v>
      </c>
      <c r="D8880">
        <v>1</v>
      </c>
      <c r="E8880" t="s">
        <v>284</v>
      </c>
      <c r="F8880" t="s">
        <v>413</v>
      </c>
      <c r="J8880" t="s">
        <v>4067</v>
      </c>
    </row>
    <row r="8881" spans="1:10" x14ac:dyDescent="0.3">
      <c r="A8881" t="s">
        <v>16054</v>
      </c>
      <c r="B8881" t="s">
        <v>16055</v>
      </c>
      <c r="D8881">
        <v>15</v>
      </c>
      <c r="E8881" t="s">
        <v>29</v>
      </c>
      <c r="F8881" t="s">
        <v>7518</v>
      </c>
    </row>
    <row r="8882" spans="1:10" x14ac:dyDescent="0.3">
      <c r="A8882" t="s">
        <v>15250</v>
      </c>
      <c r="B8882" t="s">
        <v>16056</v>
      </c>
      <c r="D8882">
        <v>1</v>
      </c>
      <c r="E8882" t="s">
        <v>91</v>
      </c>
      <c r="F8882" t="s">
        <v>16057</v>
      </c>
    </row>
    <row r="8883" spans="1:10" x14ac:dyDescent="0.3">
      <c r="A8883" t="s">
        <v>5773</v>
      </c>
      <c r="B8883" t="s">
        <v>63</v>
      </c>
      <c r="F8883" t="s">
        <v>64</v>
      </c>
      <c r="J8883" t="s">
        <v>65</v>
      </c>
    </row>
    <row r="8884" spans="1:10" x14ac:dyDescent="0.3">
      <c r="A8884" t="s">
        <v>12699</v>
      </c>
      <c r="B8884" t="s">
        <v>6019</v>
      </c>
      <c r="F8884" t="s">
        <v>413</v>
      </c>
      <c r="G8884" t="s">
        <v>1571</v>
      </c>
    </row>
    <row r="8885" spans="1:10" x14ac:dyDescent="0.3">
      <c r="A8885" t="s">
        <v>16058</v>
      </c>
      <c r="B8885" t="s">
        <v>526</v>
      </c>
      <c r="D8885">
        <v>10.5</v>
      </c>
      <c r="E8885" t="s">
        <v>91</v>
      </c>
      <c r="F8885" t="s">
        <v>281</v>
      </c>
    </row>
    <row r="8886" spans="1:10" x14ac:dyDescent="0.3">
      <c r="A8886" t="s">
        <v>8186</v>
      </c>
      <c r="B8886" t="s">
        <v>16059</v>
      </c>
      <c r="F8886" t="s">
        <v>413</v>
      </c>
      <c r="G8886" t="s">
        <v>16060</v>
      </c>
    </row>
    <row r="8887" spans="1:10" x14ac:dyDescent="0.3">
      <c r="A8887" t="s">
        <v>4315</v>
      </c>
      <c r="B8887" t="s">
        <v>3057</v>
      </c>
      <c r="D8887">
        <v>8</v>
      </c>
      <c r="E8887" t="s">
        <v>23</v>
      </c>
      <c r="F8887" t="s">
        <v>581</v>
      </c>
      <c r="I8887" t="s">
        <v>3058</v>
      </c>
    </row>
    <row r="8888" spans="1:10" x14ac:dyDescent="0.3">
      <c r="A8888" t="s">
        <v>12388</v>
      </c>
      <c r="B8888" t="s">
        <v>16061</v>
      </c>
      <c r="D8888">
        <v>1</v>
      </c>
      <c r="E8888" t="s">
        <v>91</v>
      </c>
      <c r="F8888" t="s">
        <v>81</v>
      </c>
    </row>
    <row r="8889" spans="1:10" x14ac:dyDescent="0.3">
      <c r="A8889" t="s">
        <v>8248</v>
      </c>
      <c r="B8889" t="s">
        <v>3709</v>
      </c>
      <c r="D8889">
        <v>1</v>
      </c>
      <c r="E8889" t="s">
        <v>270</v>
      </c>
      <c r="F8889" t="s">
        <v>3710</v>
      </c>
    </row>
    <row r="8890" spans="1:10" x14ac:dyDescent="0.3">
      <c r="A8890" t="s">
        <v>13678</v>
      </c>
      <c r="B8890" t="s">
        <v>16062</v>
      </c>
      <c r="D8890" t="s">
        <v>5342</v>
      </c>
      <c r="E8890" t="s">
        <v>23</v>
      </c>
      <c r="F8890" t="s">
        <v>4159</v>
      </c>
      <c r="I8890" t="s">
        <v>1078</v>
      </c>
      <c r="J8890" t="s">
        <v>16063</v>
      </c>
    </row>
    <row r="8891" spans="1:10" x14ac:dyDescent="0.3">
      <c r="A8891" t="s">
        <v>16064</v>
      </c>
      <c r="B8891" t="s">
        <v>348</v>
      </c>
      <c r="D8891">
        <v>1</v>
      </c>
      <c r="E8891" t="s">
        <v>23</v>
      </c>
      <c r="F8891" t="s">
        <v>349</v>
      </c>
    </row>
    <row r="8892" spans="1:10" x14ac:dyDescent="0.3">
      <c r="A8892" t="s">
        <v>16065</v>
      </c>
      <c r="B8892" t="s">
        <v>59</v>
      </c>
      <c r="D8892">
        <v>1</v>
      </c>
      <c r="E8892" t="s">
        <v>60</v>
      </c>
      <c r="F8892" t="s">
        <v>61</v>
      </c>
    </row>
    <row r="8893" spans="1:10" x14ac:dyDescent="0.3">
      <c r="A8893" t="s">
        <v>16066</v>
      </c>
      <c r="B8893" t="s">
        <v>5549</v>
      </c>
      <c r="D8893">
        <v>1</v>
      </c>
      <c r="E8893" t="s">
        <v>23</v>
      </c>
      <c r="F8893" t="s">
        <v>112</v>
      </c>
    </row>
    <row r="8894" spans="1:10" x14ac:dyDescent="0.3">
      <c r="A8894" t="s">
        <v>5613</v>
      </c>
      <c r="B8894" t="s">
        <v>16067</v>
      </c>
      <c r="D8894">
        <v>1</v>
      </c>
      <c r="E8894" t="s">
        <v>91</v>
      </c>
      <c r="F8894" t="s">
        <v>16068</v>
      </c>
    </row>
    <row r="8895" spans="1:10" x14ac:dyDescent="0.3">
      <c r="A8895" t="s">
        <v>12519</v>
      </c>
      <c r="B8895" t="s">
        <v>16069</v>
      </c>
      <c r="D8895">
        <v>3</v>
      </c>
      <c r="E8895" t="s">
        <v>23</v>
      </c>
      <c r="F8895" t="s">
        <v>16070</v>
      </c>
    </row>
    <row r="8896" spans="1:10" x14ac:dyDescent="0.3">
      <c r="A8896" t="s">
        <v>5401</v>
      </c>
      <c r="B8896" t="s">
        <v>16071</v>
      </c>
      <c r="D8896">
        <v>1</v>
      </c>
      <c r="E8896" t="s">
        <v>460</v>
      </c>
      <c r="F8896" t="s">
        <v>907</v>
      </c>
    </row>
    <row r="8897" spans="1:10" x14ac:dyDescent="0.3">
      <c r="A8897" t="s">
        <v>12104</v>
      </c>
      <c r="B8897" t="s">
        <v>16072</v>
      </c>
      <c r="D8897">
        <v>0.5</v>
      </c>
      <c r="E8897" t="s">
        <v>23</v>
      </c>
      <c r="F8897" t="s">
        <v>3870</v>
      </c>
      <c r="J8897" t="s">
        <v>289</v>
      </c>
    </row>
    <row r="8898" spans="1:10" x14ac:dyDescent="0.3">
      <c r="A8898" t="s">
        <v>16073</v>
      </c>
      <c r="B8898" t="s">
        <v>16074</v>
      </c>
      <c r="D8898">
        <v>0.5</v>
      </c>
      <c r="E8898" t="s">
        <v>11</v>
      </c>
      <c r="F8898" t="s">
        <v>2443</v>
      </c>
    </row>
    <row r="8899" spans="1:10" x14ac:dyDescent="0.3">
      <c r="A8899" t="s">
        <v>161</v>
      </c>
      <c r="B8899" t="s">
        <v>2110</v>
      </c>
      <c r="D8899">
        <v>12.5</v>
      </c>
      <c r="E8899" t="s">
        <v>29</v>
      </c>
      <c r="F8899" t="s">
        <v>199</v>
      </c>
    </row>
    <row r="8900" spans="1:10" x14ac:dyDescent="0.3">
      <c r="A8900" t="s">
        <v>7981</v>
      </c>
      <c r="B8900" t="s">
        <v>3496</v>
      </c>
      <c r="D8900">
        <v>2</v>
      </c>
      <c r="E8900" t="s">
        <v>23</v>
      </c>
      <c r="F8900" t="s">
        <v>281</v>
      </c>
    </row>
    <row r="8901" spans="1:10" x14ac:dyDescent="0.3">
      <c r="A8901" t="s">
        <v>5955</v>
      </c>
      <c r="B8901" t="s">
        <v>16075</v>
      </c>
      <c r="D8901">
        <v>1.75</v>
      </c>
      <c r="E8901" t="s">
        <v>284</v>
      </c>
      <c r="F8901" t="s">
        <v>16076</v>
      </c>
      <c r="J8901" t="s">
        <v>16077</v>
      </c>
    </row>
    <row r="8902" spans="1:10" x14ac:dyDescent="0.3">
      <c r="A8902" t="s">
        <v>16078</v>
      </c>
      <c r="B8902" t="s">
        <v>16079</v>
      </c>
      <c r="D8902">
        <v>2</v>
      </c>
      <c r="E8902" t="s">
        <v>686</v>
      </c>
      <c r="F8902" t="s">
        <v>16080</v>
      </c>
    </row>
    <row r="8903" spans="1:10" x14ac:dyDescent="0.3">
      <c r="A8903" t="s">
        <v>16081</v>
      </c>
      <c r="B8903" t="s">
        <v>16082</v>
      </c>
      <c r="D8903">
        <v>2</v>
      </c>
      <c r="E8903" t="s">
        <v>91</v>
      </c>
      <c r="F8903" t="s">
        <v>16083</v>
      </c>
    </row>
    <row r="8904" spans="1:10" x14ac:dyDescent="0.3">
      <c r="A8904" t="s">
        <v>16084</v>
      </c>
      <c r="B8904" t="s">
        <v>16085</v>
      </c>
      <c r="D8904">
        <v>3</v>
      </c>
      <c r="E8904" t="s">
        <v>23</v>
      </c>
      <c r="F8904" t="s">
        <v>524</v>
      </c>
    </row>
    <row r="8905" spans="1:10" x14ac:dyDescent="0.3">
      <c r="A8905" t="s">
        <v>5619</v>
      </c>
      <c r="B8905" t="s">
        <v>16086</v>
      </c>
      <c r="D8905">
        <v>45</v>
      </c>
      <c r="E8905" t="s">
        <v>29</v>
      </c>
      <c r="F8905" t="s">
        <v>16087</v>
      </c>
    </row>
    <row r="8906" spans="1:10" x14ac:dyDescent="0.3">
      <c r="A8906" t="s">
        <v>2883</v>
      </c>
      <c r="B8906" t="s">
        <v>28</v>
      </c>
      <c r="D8906">
        <v>25</v>
      </c>
      <c r="E8906" t="s">
        <v>29</v>
      </c>
      <c r="F8906" t="s">
        <v>30</v>
      </c>
    </row>
    <row r="8907" spans="1:10" x14ac:dyDescent="0.3">
      <c r="A8907" t="s">
        <v>16088</v>
      </c>
      <c r="B8907" t="s">
        <v>4492</v>
      </c>
      <c r="D8907">
        <v>1</v>
      </c>
      <c r="E8907" t="s">
        <v>23</v>
      </c>
      <c r="F8907" t="s">
        <v>3447</v>
      </c>
    </row>
    <row r="8908" spans="1:10" x14ac:dyDescent="0.3">
      <c r="A8908" t="s">
        <v>4982</v>
      </c>
      <c r="B8908" t="s">
        <v>1276</v>
      </c>
      <c r="D8908">
        <v>1</v>
      </c>
      <c r="E8908" t="s">
        <v>368</v>
      </c>
      <c r="F8908" t="s">
        <v>1097</v>
      </c>
    </row>
    <row r="8909" spans="1:10" x14ac:dyDescent="0.3">
      <c r="A8909" t="s">
        <v>16089</v>
      </c>
      <c r="B8909" t="s">
        <v>4395</v>
      </c>
      <c r="D8909">
        <v>1</v>
      </c>
      <c r="E8909" t="s">
        <v>23</v>
      </c>
      <c r="F8909" t="s">
        <v>102</v>
      </c>
    </row>
    <row r="8910" spans="1:10" x14ac:dyDescent="0.3">
      <c r="A8910" t="s">
        <v>16090</v>
      </c>
      <c r="B8910" t="s">
        <v>16091</v>
      </c>
      <c r="D8910">
        <v>1</v>
      </c>
      <c r="E8910" t="s">
        <v>23</v>
      </c>
      <c r="F8910" t="s">
        <v>16092</v>
      </c>
    </row>
    <row r="8911" spans="1:10" x14ac:dyDescent="0.3">
      <c r="A8911" t="s">
        <v>16093</v>
      </c>
      <c r="B8911" t="s">
        <v>16094</v>
      </c>
      <c r="D8911">
        <v>2</v>
      </c>
      <c r="F8911" t="s">
        <v>16095</v>
      </c>
    </row>
    <row r="8912" spans="1:10" x14ac:dyDescent="0.3">
      <c r="A8912" t="s">
        <v>11132</v>
      </c>
      <c r="B8912" t="s">
        <v>1238</v>
      </c>
      <c r="F8912" t="s">
        <v>1238</v>
      </c>
    </row>
    <row r="8913" spans="1:10" x14ac:dyDescent="0.3">
      <c r="A8913" t="s">
        <v>16096</v>
      </c>
      <c r="B8913" t="s">
        <v>16097</v>
      </c>
      <c r="D8913">
        <v>3</v>
      </c>
      <c r="E8913" t="s">
        <v>23</v>
      </c>
      <c r="F8913" t="s">
        <v>224</v>
      </c>
    </row>
    <row r="8914" spans="1:10" x14ac:dyDescent="0.3">
      <c r="A8914" t="s">
        <v>16098</v>
      </c>
      <c r="B8914" t="s">
        <v>16099</v>
      </c>
      <c r="D8914">
        <v>10</v>
      </c>
      <c r="E8914" t="s">
        <v>71</v>
      </c>
      <c r="F8914" t="s">
        <v>16100</v>
      </c>
    </row>
    <row r="8915" spans="1:10" x14ac:dyDescent="0.3">
      <c r="A8915" t="s">
        <v>16101</v>
      </c>
      <c r="B8915" t="s">
        <v>16102</v>
      </c>
      <c r="D8915">
        <v>1.5</v>
      </c>
      <c r="E8915" t="s">
        <v>23</v>
      </c>
      <c r="F8915" t="s">
        <v>112</v>
      </c>
    </row>
    <row r="8916" spans="1:10" x14ac:dyDescent="0.3">
      <c r="A8916" t="s">
        <v>1484</v>
      </c>
      <c r="B8916" t="s">
        <v>16103</v>
      </c>
      <c r="D8916">
        <v>0.5</v>
      </c>
      <c r="E8916" t="s">
        <v>37</v>
      </c>
      <c r="F8916" t="s">
        <v>16104</v>
      </c>
    </row>
    <row r="8917" spans="1:10" x14ac:dyDescent="0.3">
      <c r="A8917" t="s">
        <v>6192</v>
      </c>
      <c r="B8917" t="s">
        <v>13857</v>
      </c>
      <c r="D8917">
        <v>2</v>
      </c>
      <c r="E8917" t="s">
        <v>176</v>
      </c>
      <c r="F8917" t="s">
        <v>220</v>
      </c>
    </row>
    <row r="8918" spans="1:10" x14ac:dyDescent="0.3">
      <c r="A8918" t="s">
        <v>6618</v>
      </c>
      <c r="B8918" t="s">
        <v>16105</v>
      </c>
      <c r="D8918">
        <v>5</v>
      </c>
      <c r="F8918" t="s">
        <v>16106</v>
      </c>
    </row>
    <row r="8919" spans="1:10" x14ac:dyDescent="0.3">
      <c r="A8919" t="s">
        <v>10120</v>
      </c>
      <c r="B8919" t="s">
        <v>16107</v>
      </c>
      <c r="D8919">
        <v>1</v>
      </c>
      <c r="E8919" t="s">
        <v>37</v>
      </c>
      <c r="F8919" t="s">
        <v>741</v>
      </c>
      <c r="H8919" t="s">
        <v>68</v>
      </c>
    </row>
    <row r="8920" spans="1:10" x14ac:dyDescent="0.3">
      <c r="A8920" t="s">
        <v>16108</v>
      </c>
      <c r="B8920" t="s">
        <v>16109</v>
      </c>
      <c r="E8920" t="s">
        <v>236</v>
      </c>
      <c r="F8920" t="s">
        <v>377</v>
      </c>
      <c r="J8920" t="s">
        <v>1124</v>
      </c>
    </row>
    <row r="8921" spans="1:10" x14ac:dyDescent="0.3">
      <c r="A8921" t="s">
        <v>10397</v>
      </c>
      <c r="B8921" t="s">
        <v>14108</v>
      </c>
      <c r="D8921">
        <v>0.5</v>
      </c>
      <c r="E8921" t="s">
        <v>23</v>
      </c>
      <c r="F8921" t="s">
        <v>4670</v>
      </c>
    </row>
    <row r="8922" spans="1:10" x14ac:dyDescent="0.3">
      <c r="A8922" t="s">
        <v>16110</v>
      </c>
      <c r="B8922" t="s">
        <v>13107</v>
      </c>
      <c r="D8922">
        <v>0.5</v>
      </c>
      <c r="E8922" t="s">
        <v>23</v>
      </c>
      <c r="F8922" t="s">
        <v>233</v>
      </c>
    </row>
    <row r="8923" spans="1:10" x14ac:dyDescent="0.3">
      <c r="A8923" t="s">
        <v>7801</v>
      </c>
      <c r="B8923" t="s">
        <v>16111</v>
      </c>
      <c r="D8923">
        <v>1</v>
      </c>
      <c r="F8923" t="s">
        <v>4580</v>
      </c>
      <c r="J8923" t="s">
        <v>20</v>
      </c>
    </row>
    <row r="8924" spans="1:10" x14ac:dyDescent="0.3">
      <c r="A8924" t="s">
        <v>13054</v>
      </c>
      <c r="B8924" t="s">
        <v>3424</v>
      </c>
      <c r="D8924">
        <v>1</v>
      </c>
      <c r="E8924" t="s">
        <v>23</v>
      </c>
      <c r="F8924" t="s">
        <v>1209</v>
      </c>
    </row>
    <row r="8925" spans="1:10" x14ac:dyDescent="0.3">
      <c r="A8925" t="s">
        <v>16112</v>
      </c>
      <c r="B8925" t="s">
        <v>16113</v>
      </c>
      <c r="D8925">
        <v>0.5</v>
      </c>
      <c r="E8925" t="s">
        <v>2646</v>
      </c>
      <c r="F8925" t="s">
        <v>9450</v>
      </c>
    </row>
    <row r="8926" spans="1:10" x14ac:dyDescent="0.3">
      <c r="A8926" t="s">
        <v>6321</v>
      </c>
      <c r="B8926" t="s">
        <v>16114</v>
      </c>
      <c r="D8926">
        <v>2</v>
      </c>
      <c r="E8926" t="s">
        <v>23</v>
      </c>
      <c r="F8926" t="s">
        <v>16115</v>
      </c>
    </row>
    <row r="8927" spans="1:10" x14ac:dyDescent="0.3">
      <c r="A8927" t="s">
        <v>4385</v>
      </c>
      <c r="B8927" t="s">
        <v>16116</v>
      </c>
      <c r="D8927">
        <v>50</v>
      </c>
      <c r="E8927" t="s">
        <v>29</v>
      </c>
      <c r="F8927" t="s">
        <v>4433</v>
      </c>
    </row>
    <row r="8928" spans="1:10" x14ac:dyDescent="0.3">
      <c r="A8928" t="s">
        <v>9144</v>
      </c>
      <c r="B8928" t="s">
        <v>2154</v>
      </c>
      <c r="F8928" t="s">
        <v>333</v>
      </c>
      <c r="J8928" t="s">
        <v>2155</v>
      </c>
    </row>
    <row r="8929" spans="1:10" x14ac:dyDescent="0.3">
      <c r="A8929" t="s">
        <v>16117</v>
      </c>
      <c r="B8929" t="s">
        <v>1539</v>
      </c>
      <c r="D8929">
        <v>1</v>
      </c>
      <c r="E8929" t="s">
        <v>23</v>
      </c>
      <c r="F8929" t="s">
        <v>738</v>
      </c>
    </row>
    <row r="8930" spans="1:10" x14ac:dyDescent="0.3">
      <c r="A8930" t="s">
        <v>16118</v>
      </c>
      <c r="B8930" t="s">
        <v>743</v>
      </c>
      <c r="F8930" t="s">
        <v>743</v>
      </c>
    </row>
    <row r="8931" spans="1:10" x14ac:dyDescent="0.3">
      <c r="A8931" t="s">
        <v>16119</v>
      </c>
      <c r="B8931" t="s">
        <v>16120</v>
      </c>
      <c r="D8931">
        <v>12.5</v>
      </c>
      <c r="E8931" t="s">
        <v>29</v>
      </c>
      <c r="F8931" t="s">
        <v>5167</v>
      </c>
    </row>
    <row r="8932" spans="1:10" x14ac:dyDescent="0.3">
      <c r="A8932" t="s">
        <v>14470</v>
      </c>
      <c r="B8932" t="s">
        <v>6614</v>
      </c>
      <c r="F8932" t="s">
        <v>6614</v>
      </c>
    </row>
    <row r="8933" spans="1:10" x14ac:dyDescent="0.3">
      <c r="A8933" t="s">
        <v>16121</v>
      </c>
      <c r="B8933" t="s">
        <v>9222</v>
      </c>
      <c r="D8933">
        <v>3</v>
      </c>
      <c r="E8933" t="s">
        <v>91</v>
      </c>
      <c r="F8933" t="s">
        <v>5688</v>
      </c>
    </row>
    <row r="8934" spans="1:10" x14ac:dyDescent="0.3">
      <c r="A8934" t="s">
        <v>13719</v>
      </c>
      <c r="B8934" t="s">
        <v>16122</v>
      </c>
      <c r="D8934">
        <v>0.25</v>
      </c>
      <c r="E8934" t="s">
        <v>37</v>
      </c>
      <c r="F8934" t="s">
        <v>1445</v>
      </c>
      <c r="J8934" t="s">
        <v>16123</v>
      </c>
    </row>
    <row r="8935" spans="1:10" x14ac:dyDescent="0.3">
      <c r="A8935" t="s">
        <v>16124</v>
      </c>
      <c r="B8935" t="s">
        <v>11425</v>
      </c>
      <c r="D8935">
        <v>0.25</v>
      </c>
      <c r="E8935" t="s">
        <v>284</v>
      </c>
      <c r="F8935" t="s">
        <v>16125</v>
      </c>
    </row>
    <row r="8936" spans="1:10" x14ac:dyDescent="0.3">
      <c r="A8936" t="s">
        <v>10678</v>
      </c>
      <c r="B8936" t="s">
        <v>1618</v>
      </c>
      <c r="D8936">
        <v>1</v>
      </c>
      <c r="E8936" t="s">
        <v>23</v>
      </c>
      <c r="F8936" t="s">
        <v>1619</v>
      </c>
    </row>
    <row r="8937" spans="1:10" x14ac:dyDescent="0.3">
      <c r="A8937" t="s">
        <v>16126</v>
      </c>
      <c r="B8937" t="s">
        <v>16127</v>
      </c>
      <c r="D8937">
        <v>0.33</v>
      </c>
      <c r="E8937" t="s">
        <v>2210</v>
      </c>
      <c r="F8937" t="s">
        <v>98</v>
      </c>
      <c r="J8937" t="s">
        <v>289</v>
      </c>
    </row>
    <row r="8938" spans="1:10" x14ac:dyDescent="0.3">
      <c r="A8938" t="s">
        <v>16128</v>
      </c>
      <c r="B8938" t="s">
        <v>16129</v>
      </c>
      <c r="D8938">
        <v>2</v>
      </c>
      <c r="E8938" t="s">
        <v>227</v>
      </c>
      <c r="F8938" t="s">
        <v>2424</v>
      </c>
    </row>
    <row r="8939" spans="1:10" x14ac:dyDescent="0.3">
      <c r="A8939" t="s">
        <v>15820</v>
      </c>
      <c r="B8939" t="s">
        <v>16130</v>
      </c>
      <c r="D8939">
        <v>50</v>
      </c>
      <c r="E8939" t="s">
        <v>29</v>
      </c>
      <c r="F8939" t="s">
        <v>1867</v>
      </c>
    </row>
    <row r="8940" spans="1:10" x14ac:dyDescent="0.3">
      <c r="A8940" t="s">
        <v>16131</v>
      </c>
      <c r="B8940" t="s">
        <v>5192</v>
      </c>
      <c r="D8940">
        <v>2</v>
      </c>
      <c r="E8940" t="s">
        <v>23</v>
      </c>
      <c r="F8940" t="s">
        <v>233</v>
      </c>
    </row>
    <row r="8941" spans="1:10" x14ac:dyDescent="0.3">
      <c r="A8941" t="s">
        <v>2982</v>
      </c>
      <c r="B8941" t="s">
        <v>16132</v>
      </c>
      <c r="D8941">
        <v>1</v>
      </c>
      <c r="E8941" t="s">
        <v>23</v>
      </c>
      <c r="F8941" t="s">
        <v>16133</v>
      </c>
    </row>
    <row r="8942" spans="1:10" x14ac:dyDescent="0.3">
      <c r="A8942" t="s">
        <v>3876</v>
      </c>
      <c r="B8942" t="s">
        <v>1413</v>
      </c>
      <c r="D8942">
        <v>1</v>
      </c>
      <c r="E8942" t="s">
        <v>23</v>
      </c>
      <c r="F8942" t="s">
        <v>292</v>
      </c>
    </row>
    <row r="8943" spans="1:10" x14ac:dyDescent="0.3">
      <c r="A8943" t="s">
        <v>9491</v>
      </c>
      <c r="B8943" t="s">
        <v>16134</v>
      </c>
      <c r="D8943">
        <v>1</v>
      </c>
      <c r="E8943" t="s">
        <v>4545</v>
      </c>
      <c r="F8943" t="s">
        <v>728</v>
      </c>
    </row>
    <row r="8944" spans="1:10" x14ac:dyDescent="0.3">
      <c r="A8944" t="s">
        <v>16135</v>
      </c>
      <c r="B8944" t="s">
        <v>333</v>
      </c>
      <c r="F8944" t="s">
        <v>333</v>
      </c>
    </row>
    <row r="8945" spans="1:10" x14ac:dyDescent="0.3">
      <c r="A8945" t="s">
        <v>16136</v>
      </c>
      <c r="B8945" t="s">
        <v>16137</v>
      </c>
      <c r="D8945">
        <v>1</v>
      </c>
      <c r="E8945" t="s">
        <v>1172</v>
      </c>
      <c r="F8945" t="s">
        <v>8470</v>
      </c>
    </row>
    <row r="8946" spans="1:10" x14ac:dyDescent="0.3">
      <c r="A8946" t="s">
        <v>16138</v>
      </c>
      <c r="B8946" t="s">
        <v>16139</v>
      </c>
      <c r="D8946">
        <v>2</v>
      </c>
      <c r="E8946" t="s">
        <v>460</v>
      </c>
      <c r="F8946" t="s">
        <v>738</v>
      </c>
    </row>
    <row r="8947" spans="1:10" x14ac:dyDescent="0.3">
      <c r="A8947" t="s">
        <v>16140</v>
      </c>
      <c r="B8947" t="s">
        <v>16141</v>
      </c>
      <c r="D8947">
        <v>0.5</v>
      </c>
      <c r="E8947" t="s">
        <v>11</v>
      </c>
      <c r="F8947" t="s">
        <v>16142</v>
      </c>
    </row>
    <row r="8948" spans="1:10" x14ac:dyDescent="0.3">
      <c r="A8948" t="s">
        <v>13735</v>
      </c>
      <c r="B8948" t="s">
        <v>2884</v>
      </c>
      <c r="D8948">
        <v>0.5</v>
      </c>
      <c r="F8948" t="s">
        <v>984</v>
      </c>
      <c r="J8948" t="s">
        <v>248</v>
      </c>
    </row>
    <row r="8949" spans="1:10" x14ac:dyDescent="0.3">
      <c r="A8949" t="s">
        <v>7259</v>
      </c>
      <c r="B8949" t="s">
        <v>11044</v>
      </c>
      <c r="D8949">
        <v>3</v>
      </c>
      <c r="E8949" t="s">
        <v>176</v>
      </c>
      <c r="F8949" t="s">
        <v>516</v>
      </c>
    </row>
    <row r="8950" spans="1:10" x14ac:dyDescent="0.3">
      <c r="A8950" t="s">
        <v>16143</v>
      </c>
      <c r="B8950" t="s">
        <v>5192</v>
      </c>
      <c r="D8950">
        <v>2</v>
      </c>
      <c r="E8950" t="s">
        <v>23</v>
      </c>
      <c r="F8950" t="s">
        <v>233</v>
      </c>
    </row>
    <row r="8951" spans="1:10" x14ac:dyDescent="0.3">
      <c r="A8951" t="s">
        <v>13770</v>
      </c>
      <c r="B8951" t="s">
        <v>10594</v>
      </c>
      <c r="D8951">
        <v>0.5</v>
      </c>
      <c r="E8951" t="s">
        <v>37</v>
      </c>
      <c r="F8951" t="s">
        <v>10595</v>
      </c>
    </row>
    <row r="8952" spans="1:10" x14ac:dyDescent="0.3">
      <c r="A8952" t="s">
        <v>539</v>
      </c>
      <c r="B8952" t="s">
        <v>16144</v>
      </c>
      <c r="D8952">
        <v>1.5</v>
      </c>
      <c r="E8952" t="s">
        <v>904</v>
      </c>
      <c r="F8952" t="s">
        <v>281</v>
      </c>
    </row>
    <row r="8953" spans="1:10" x14ac:dyDescent="0.3">
      <c r="A8953" t="s">
        <v>16145</v>
      </c>
      <c r="B8953" t="s">
        <v>9490</v>
      </c>
      <c r="D8953">
        <v>10.5</v>
      </c>
      <c r="E8953" t="s">
        <v>23</v>
      </c>
      <c r="F8953" t="s">
        <v>602</v>
      </c>
    </row>
    <row r="8954" spans="1:10" x14ac:dyDescent="0.3">
      <c r="A8954" t="s">
        <v>16146</v>
      </c>
      <c r="B8954" t="s">
        <v>16147</v>
      </c>
      <c r="D8954">
        <v>1</v>
      </c>
      <c r="E8954" t="s">
        <v>23</v>
      </c>
      <c r="F8954" t="s">
        <v>16148</v>
      </c>
    </row>
    <row r="8955" spans="1:10" x14ac:dyDescent="0.3">
      <c r="A8955" t="s">
        <v>7140</v>
      </c>
      <c r="B8955" t="s">
        <v>16149</v>
      </c>
      <c r="D8955">
        <v>2</v>
      </c>
      <c r="F8955" t="s">
        <v>16150</v>
      </c>
    </row>
    <row r="8956" spans="1:10" x14ac:dyDescent="0.3">
      <c r="A8956" t="s">
        <v>16151</v>
      </c>
      <c r="B8956" t="s">
        <v>9671</v>
      </c>
      <c r="D8956">
        <v>1</v>
      </c>
      <c r="E8956" t="s">
        <v>120</v>
      </c>
      <c r="F8956" t="s">
        <v>30</v>
      </c>
    </row>
    <row r="8957" spans="1:10" x14ac:dyDescent="0.3">
      <c r="A8957" t="s">
        <v>13481</v>
      </c>
      <c r="B8957" t="s">
        <v>16152</v>
      </c>
      <c r="D8957">
        <v>1</v>
      </c>
      <c r="E8957" t="s">
        <v>469</v>
      </c>
      <c r="F8957" t="s">
        <v>932</v>
      </c>
      <c r="J8957" t="s">
        <v>289</v>
      </c>
    </row>
    <row r="8958" spans="1:10" x14ac:dyDescent="0.3">
      <c r="A8958" t="s">
        <v>12376</v>
      </c>
      <c r="B8958" t="s">
        <v>262</v>
      </c>
      <c r="F8958" t="s">
        <v>262</v>
      </c>
    </row>
    <row r="8959" spans="1:10" x14ac:dyDescent="0.3">
      <c r="A8959" t="s">
        <v>9211</v>
      </c>
      <c r="B8959" t="s">
        <v>16153</v>
      </c>
      <c r="D8959">
        <v>6</v>
      </c>
      <c r="E8959" t="s">
        <v>23</v>
      </c>
      <c r="F8959" t="s">
        <v>1416</v>
      </c>
    </row>
    <row r="8960" spans="1:10" x14ac:dyDescent="0.3">
      <c r="A8960" t="s">
        <v>16154</v>
      </c>
      <c r="B8960" t="s">
        <v>59</v>
      </c>
      <c r="D8960">
        <v>1</v>
      </c>
      <c r="E8960" t="s">
        <v>60</v>
      </c>
      <c r="F8960" t="s">
        <v>61</v>
      </c>
    </row>
    <row r="8961" spans="1:10" x14ac:dyDescent="0.3">
      <c r="A8961" t="s">
        <v>16155</v>
      </c>
      <c r="B8961" t="s">
        <v>16156</v>
      </c>
      <c r="D8961">
        <v>1</v>
      </c>
      <c r="E8961" t="s">
        <v>11</v>
      </c>
      <c r="F8961" t="s">
        <v>2197</v>
      </c>
      <c r="G8961" t="s">
        <v>16157</v>
      </c>
    </row>
    <row r="8962" spans="1:10" x14ac:dyDescent="0.3">
      <c r="A8962" t="s">
        <v>7786</v>
      </c>
      <c r="B8962" t="s">
        <v>3153</v>
      </c>
      <c r="D8962">
        <v>2</v>
      </c>
      <c r="E8962" t="s">
        <v>345</v>
      </c>
      <c r="F8962" t="s">
        <v>220</v>
      </c>
    </row>
    <row r="8963" spans="1:10" x14ac:dyDescent="0.3">
      <c r="A8963" t="s">
        <v>16158</v>
      </c>
      <c r="B8963" t="s">
        <v>2846</v>
      </c>
      <c r="D8963">
        <v>1</v>
      </c>
      <c r="F8963" t="s">
        <v>1440</v>
      </c>
    </row>
    <row r="8964" spans="1:10" x14ac:dyDescent="0.3">
      <c r="A8964" t="s">
        <v>12927</v>
      </c>
      <c r="B8964" t="s">
        <v>16159</v>
      </c>
      <c r="D8964">
        <v>1.25</v>
      </c>
      <c r="E8964" t="s">
        <v>37</v>
      </c>
      <c r="F8964" t="s">
        <v>220</v>
      </c>
      <c r="J8964" t="s">
        <v>16160</v>
      </c>
    </row>
    <row r="8965" spans="1:10" x14ac:dyDescent="0.3">
      <c r="A8965" t="s">
        <v>3411</v>
      </c>
      <c r="B8965" t="s">
        <v>1519</v>
      </c>
      <c r="D8965">
        <v>0.5</v>
      </c>
      <c r="E8965" t="s">
        <v>37</v>
      </c>
      <c r="F8965" t="s">
        <v>38</v>
      </c>
      <c r="G8965" t="s">
        <v>167</v>
      </c>
      <c r="H8965" t="s">
        <v>168</v>
      </c>
      <c r="J8965" t="s">
        <v>325</v>
      </c>
    </row>
    <row r="8966" spans="1:10" x14ac:dyDescent="0.3">
      <c r="A8966" t="s">
        <v>408</v>
      </c>
      <c r="B8966" t="s">
        <v>16161</v>
      </c>
      <c r="D8966">
        <v>0.75</v>
      </c>
      <c r="E8966" t="s">
        <v>23</v>
      </c>
      <c r="F8966" t="s">
        <v>4996</v>
      </c>
    </row>
    <row r="8967" spans="1:10" x14ac:dyDescent="0.3">
      <c r="A8967" t="s">
        <v>16162</v>
      </c>
      <c r="B8967" t="s">
        <v>2805</v>
      </c>
      <c r="D8967">
        <v>1</v>
      </c>
      <c r="E8967" t="s">
        <v>23</v>
      </c>
      <c r="F8967" t="s">
        <v>2496</v>
      </c>
    </row>
    <row r="8968" spans="1:10" x14ac:dyDescent="0.3">
      <c r="A8968" t="s">
        <v>16163</v>
      </c>
      <c r="B8968" t="s">
        <v>16164</v>
      </c>
      <c r="D8968">
        <v>4</v>
      </c>
      <c r="E8968" t="s">
        <v>91</v>
      </c>
      <c r="F8968" t="s">
        <v>1030</v>
      </c>
    </row>
    <row r="8969" spans="1:10" x14ac:dyDescent="0.3">
      <c r="A8969" t="s">
        <v>2891</v>
      </c>
      <c r="B8969" t="s">
        <v>16165</v>
      </c>
      <c r="D8969">
        <v>0.5</v>
      </c>
      <c r="E8969" t="s">
        <v>23</v>
      </c>
      <c r="F8969" t="s">
        <v>10505</v>
      </c>
    </row>
    <row r="8970" spans="1:10" x14ac:dyDescent="0.3">
      <c r="A8970" t="s">
        <v>9580</v>
      </c>
      <c r="B8970" t="s">
        <v>16166</v>
      </c>
      <c r="D8970">
        <v>1.5</v>
      </c>
      <c r="E8970" t="s">
        <v>23</v>
      </c>
      <c r="F8970" t="s">
        <v>11994</v>
      </c>
      <c r="J8970" t="s">
        <v>289</v>
      </c>
    </row>
    <row r="8971" spans="1:10" x14ac:dyDescent="0.3">
      <c r="A8971" t="s">
        <v>16167</v>
      </c>
      <c r="B8971" t="s">
        <v>5192</v>
      </c>
      <c r="D8971">
        <v>2</v>
      </c>
      <c r="E8971" t="s">
        <v>23</v>
      </c>
      <c r="F8971" t="s">
        <v>233</v>
      </c>
    </row>
    <row r="8972" spans="1:10" x14ac:dyDescent="0.3">
      <c r="A8972" t="s">
        <v>16168</v>
      </c>
      <c r="B8972" t="s">
        <v>6227</v>
      </c>
      <c r="D8972">
        <v>2</v>
      </c>
      <c r="E8972" t="s">
        <v>23</v>
      </c>
      <c r="F8972" t="s">
        <v>712</v>
      </c>
    </row>
    <row r="8973" spans="1:10" x14ac:dyDescent="0.3">
      <c r="A8973" t="s">
        <v>3489</v>
      </c>
      <c r="B8973" t="s">
        <v>16169</v>
      </c>
      <c r="D8973">
        <v>0.75</v>
      </c>
      <c r="E8973" t="s">
        <v>23</v>
      </c>
      <c r="F8973" t="s">
        <v>2522</v>
      </c>
    </row>
    <row r="8974" spans="1:10" x14ac:dyDescent="0.3">
      <c r="A8974" t="s">
        <v>16170</v>
      </c>
      <c r="B8974" t="s">
        <v>16171</v>
      </c>
      <c r="D8974">
        <v>0.25</v>
      </c>
      <c r="E8974" t="s">
        <v>23</v>
      </c>
      <c r="F8974" t="s">
        <v>738</v>
      </c>
    </row>
    <row r="8975" spans="1:10" x14ac:dyDescent="0.3">
      <c r="A8975" t="s">
        <v>6969</v>
      </c>
      <c r="B8975" t="s">
        <v>591</v>
      </c>
      <c r="F8975" t="s">
        <v>591</v>
      </c>
    </row>
    <row r="8976" spans="1:10" x14ac:dyDescent="0.3">
      <c r="A8976" t="s">
        <v>2481</v>
      </c>
      <c r="B8976" t="s">
        <v>16172</v>
      </c>
      <c r="D8976">
        <v>25</v>
      </c>
      <c r="E8976" t="s">
        <v>29</v>
      </c>
      <c r="F8976" t="s">
        <v>199</v>
      </c>
    </row>
    <row r="8977" spans="1:6" x14ac:dyDescent="0.3">
      <c r="A8977" t="s">
        <v>12530</v>
      </c>
      <c r="B8977" t="s">
        <v>16173</v>
      </c>
      <c r="D8977">
        <v>1</v>
      </c>
      <c r="F8977" t="s">
        <v>16174</v>
      </c>
    </row>
    <row r="8978" spans="1:6" x14ac:dyDescent="0.3">
      <c r="A8978" t="s">
        <v>10215</v>
      </c>
      <c r="B8978" t="s">
        <v>3977</v>
      </c>
      <c r="F8978" t="s">
        <v>3977</v>
      </c>
    </row>
    <row r="8979" spans="1:6" x14ac:dyDescent="0.3">
      <c r="A8979" t="s">
        <v>16175</v>
      </c>
      <c r="B8979" t="s">
        <v>1190</v>
      </c>
      <c r="D8979">
        <v>0.5</v>
      </c>
      <c r="E8979" t="s">
        <v>23</v>
      </c>
      <c r="F8979" t="s">
        <v>199</v>
      </c>
    </row>
    <row r="8980" spans="1:6" x14ac:dyDescent="0.3">
      <c r="A8980" t="s">
        <v>16176</v>
      </c>
      <c r="B8980" t="s">
        <v>14438</v>
      </c>
      <c r="D8980">
        <v>2</v>
      </c>
      <c r="E8980" t="s">
        <v>23</v>
      </c>
      <c r="F8980" t="s">
        <v>6276</v>
      </c>
    </row>
    <row r="8981" spans="1:6" x14ac:dyDescent="0.3">
      <c r="A8981" t="s">
        <v>4081</v>
      </c>
      <c r="B8981" t="s">
        <v>2171</v>
      </c>
      <c r="D8981">
        <v>75</v>
      </c>
      <c r="E8981" t="s">
        <v>29</v>
      </c>
      <c r="F8981" t="s">
        <v>1204</v>
      </c>
    </row>
    <row r="8982" spans="1:6" x14ac:dyDescent="0.3">
      <c r="A8982" t="s">
        <v>16177</v>
      </c>
      <c r="B8982" t="s">
        <v>16178</v>
      </c>
      <c r="D8982">
        <v>20</v>
      </c>
      <c r="E8982" t="s">
        <v>29</v>
      </c>
      <c r="F8982" t="s">
        <v>16179</v>
      </c>
    </row>
    <row r="8983" spans="1:6" x14ac:dyDescent="0.3">
      <c r="A8983" t="s">
        <v>16180</v>
      </c>
      <c r="B8983" t="s">
        <v>16181</v>
      </c>
      <c r="D8983">
        <v>4.5</v>
      </c>
      <c r="E8983" t="s">
        <v>345</v>
      </c>
      <c r="F8983" t="s">
        <v>16182</v>
      </c>
    </row>
    <row r="8984" spans="1:6" x14ac:dyDescent="0.3">
      <c r="A8984" t="s">
        <v>16183</v>
      </c>
      <c r="B8984" t="s">
        <v>6801</v>
      </c>
      <c r="D8984">
        <v>1</v>
      </c>
      <c r="E8984" t="s">
        <v>23</v>
      </c>
      <c r="F8984" t="s">
        <v>2211</v>
      </c>
    </row>
    <row r="8985" spans="1:6" x14ac:dyDescent="0.3">
      <c r="A8985" t="s">
        <v>16184</v>
      </c>
      <c r="B8985" t="s">
        <v>16185</v>
      </c>
      <c r="D8985">
        <v>2</v>
      </c>
      <c r="E8985" t="s">
        <v>23</v>
      </c>
      <c r="F8985" t="s">
        <v>10006</v>
      </c>
    </row>
    <row r="8986" spans="1:6" x14ac:dyDescent="0.3">
      <c r="A8986" t="s">
        <v>8423</v>
      </c>
      <c r="B8986" t="s">
        <v>16186</v>
      </c>
      <c r="D8986">
        <v>1</v>
      </c>
      <c r="E8986" t="s">
        <v>18</v>
      </c>
      <c r="F8986" t="s">
        <v>140</v>
      </c>
    </row>
    <row r="8987" spans="1:6" x14ac:dyDescent="0.3">
      <c r="A8987" t="s">
        <v>16187</v>
      </c>
      <c r="B8987" t="s">
        <v>3424</v>
      </c>
      <c r="D8987">
        <v>1</v>
      </c>
      <c r="E8987" t="s">
        <v>23</v>
      </c>
      <c r="F8987" t="s">
        <v>1209</v>
      </c>
    </row>
    <row r="8988" spans="1:6" x14ac:dyDescent="0.3">
      <c r="A8988" t="s">
        <v>5377</v>
      </c>
      <c r="B8988" t="s">
        <v>6392</v>
      </c>
      <c r="D8988">
        <v>2</v>
      </c>
      <c r="E8988" t="s">
        <v>189</v>
      </c>
      <c r="F8988" t="s">
        <v>2214</v>
      </c>
    </row>
    <row r="8989" spans="1:6" x14ac:dyDescent="0.3">
      <c r="A8989" t="s">
        <v>16188</v>
      </c>
      <c r="B8989" t="s">
        <v>13015</v>
      </c>
      <c r="D8989">
        <v>20</v>
      </c>
      <c r="E8989" t="s">
        <v>23</v>
      </c>
      <c r="F8989" t="s">
        <v>2355</v>
      </c>
    </row>
    <row r="8990" spans="1:6" x14ac:dyDescent="0.3">
      <c r="A8990" t="s">
        <v>11113</v>
      </c>
      <c r="B8990" t="s">
        <v>16189</v>
      </c>
      <c r="D8990">
        <v>0.75</v>
      </c>
      <c r="E8990" t="s">
        <v>23</v>
      </c>
      <c r="F8990" t="s">
        <v>1416</v>
      </c>
    </row>
    <row r="8991" spans="1:6" x14ac:dyDescent="0.3">
      <c r="A8991" t="s">
        <v>13485</v>
      </c>
      <c r="B8991" t="s">
        <v>310</v>
      </c>
      <c r="D8991">
        <v>45</v>
      </c>
      <c r="E8991" t="s">
        <v>29</v>
      </c>
      <c r="F8991" t="s">
        <v>311</v>
      </c>
    </row>
    <row r="8992" spans="1:6" x14ac:dyDescent="0.3">
      <c r="A8992" t="s">
        <v>16190</v>
      </c>
      <c r="B8992" t="s">
        <v>1390</v>
      </c>
      <c r="D8992">
        <v>1</v>
      </c>
      <c r="E8992" t="s">
        <v>426</v>
      </c>
      <c r="F8992" t="s">
        <v>64</v>
      </c>
    </row>
    <row r="8993" spans="1:10" x14ac:dyDescent="0.3">
      <c r="A8993" t="s">
        <v>14516</v>
      </c>
      <c r="B8993" t="s">
        <v>16191</v>
      </c>
      <c r="D8993">
        <v>1</v>
      </c>
      <c r="E8993" t="s">
        <v>361</v>
      </c>
      <c r="F8993" t="s">
        <v>2178</v>
      </c>
      <c r="J8993" t="s">
        <v>16192</v>
      </c>
    </row>
    <row r="8994" spans="1:10" x14ac:dyDescent="0.3">
      <c r="A8994" t="s">
        <v>16193</v>
      </c>
      <c r="B8994" t="s">
        <v>16194</v>
      </c>
      <c r="D8994">
        <v>1</v>
      </c>
      <c r="E8994" t="s">
        <v>2646</v>
      </c>
      <c r="F8994" t="s">
        <v>16195</v>
      </c>
      <c r="J8994" t="s">
        <v>16196</v>
      </c>
    </row>
    <row r="8995" spans="1:10" x14ac:dyDescent="0.3">
      <c r="A8995" t="s">
        <v>16197</v>
      </c>
      <c r="B8995" t="s">
        <v>3697</v>
      </c>
      <c r="D8995">
        <v>1</v>
      </c>
      <c r="E8995" t="s">
        <v>11</v>
      </c>
      <c r="F8995" t="s">
        <v>605</v>
      </c>
      <c r="J8995" t="s">
        <v>20</v>
      </c>
    </row>
    <row r="8996" spans="1:10" x14ac:dyDescent="0.3">
      <c r="A8996" t="s">
        <v>16198</v>
      </c>
      <c r="B8996" t="s">
        <v>2524</v>
      </c>
      <c r="D8996">
        <v>1</v>
      </c>
      <c r="E8996" t="s">
        <v>23</v>
      </c>
      <c r="F8996" t="s">
        <v>265</v>
      </c>
    </row>
    <row r="8997" spans="1:10" x14ac:dyDescent="0.3">
      <c r="A8997" t="s">
        <v>16199</v>
      </c>
      <c r="B8997" t="s">
        <v>16200</v>
      </c>
      <c r="D8997">
        <v>50</v>
      </c>
      <c r="E8997" t="s">
        <v>29</v>
      </c>
      <c r="F8997" t="s">
        <v>16201</v>
      </c>
    </row>
    <row r="8998" spans="1:10" x14ac:dyDescent="0.3">
      <c r="A8998" t="s">
        <v>16202</v>
      </c>
      <c r="B8998" t="s">
        <v>16203</v>
      </c>
      <c r="D8998">
        <v>0.5</v>
      </c>
      <c r="F8998" t="s">
        <v>16204</v>
      </c>
      <c r="J8998" t="s">
        <v>289</v>
      </c>
    </row>
    <row r="8999" spans="1:10" x14ac:dyDescent="0.3">
      <c r="A8999" t="s">
        <v>16205</v>
      </c>
      <c r="B8999" t="s">
        <v>825</v>
      </c>
      <c r="F8999" t="s">
        <v>825</v>
      </c>
    </row>
    <row r="9000" spans="1:10" x14ac:dyDescent="0.3">
      <c r="A9000" t="s">
        <v>12227</v>
      </c>
      <c r="B9000" t="s">
        <v>1056</v>
      </c>
      <c r="F9000" t="s">
        <v>1056</v>
      </c>
    </row>
    <row r="9001" spans="1:10" x14ac:dyDescent="0.3">
      <c r="A9001" t="s">
        <v>16206</v>
      </c>
      <c r="B9001" t="s">
        <v>16207</v>
      </c>
      <c r="D9001">
        <v>1</v>
      </c>
      <c r="E9001" t="s">
        <v>37</v>
      </c>
      <c r="F9001" t="s">
        <v>16208</v>
      </c>
    </row>
    <row r="9002" spans="1:10" x14ac:dyDescent="0.3">
      <c r="A9002" t="s">
        <v>13975</v>
      </c>
      <c r="B9002" t="s">
        <v>16209</v>
      </c>
      <c r="D9002">
        <v>10</v>
      </c>
      <c r="E9002" t="s">
        <v>29</v>
      </c>
      <c r="F9002" t="s">
        <v>5277</v>
      </c>
    </row>
    <row r="9003" spans="1:10" x14ac:dyDescent="0.3">
      <c r="A9003" t="s">
        <v>1001</v>
      </c>
      <c r="B9003" t="s">
        <v>16210</v>
      </c>
      <c r="D9003" t="s">
        <v>16211</v>
      </c>
      <c r="E9003" t="s">
        <v>189</v>
      </c>
      <c r="F9003" t="s">
        <v>10747</v>
      </c>
    </row>
    <row r="9004" spans="1:10" x14ac:dyDescent="0.3">
      <c r="A9004" t="s">
        <v>8468</v>
      </c>
      <c r="B9004" t="s">
        <v>16212</v>
      </c>
      <c r="D9004">
        <v>12.5</v>
      </c>
      <c r="E9004" t="s">
        <v>29</v>
      </c>
      <c r="F9004" t="s">
        <v>16213</v>
      </c>
    </row>
    <row r="9005" spans="1:10" x14ac:dyDescent="0.3">
      <c r="A9005" t="s">
        <v>8090</v>
      </c>
      <c r="B9005" t="s">
        <v>16214</v>
      </c>
      <c r="D9005">
        <v>12</v>
      </c>
      <c r="E9005" t="s">
        <v>91</v>
      </c>
      <c r="F9005" t="s">
        <v>8869</v>
      </c>
      <c r="J9005" t="s">
        <v>16215</v>
      </c>
    </row>
    <row r="9006" spans="1:10" x14ac:dyDescent="0.3">
      <c r="A9006" t="s">
        <v>16216</v>
      </c>
      <c r="B9006" t="s">
        <v>16217</v>
      </c>
      <c r="D9006">
        <v>2</v>
      </c>
      <c r="E9006" t="s">
        <v>1785</v>
      </c>
      <c r="F9006" t="s">
        <v>320</v>
      </c>
    </row>
    <row r="9007" spans="1:10" x14ac:dyDescent="0.3">
      <c r="A9007" t="s">
        <v>16218</v>
      </c>
      <c r="B9007" t="s">
        <v>13394</v>
      </c>
      <c r="D9007">
        <v>2</v>
      </c>
      <c r="E9007" t="s">
        <v>23</v>
      </c>
      <c r="F9007" t="s">
        <v>1059</v>
      </c>
    </row>
    <row r="9008" spans="1:10" x14ac:dyDescent="0.3">
      <c r="A9008" t="s">
        <v>5804</v>
      </c>
      <c r="B9008" t="s">
        <v>16219</v>
      </c>
      <c r="D9008">
        <v>1</v>
      </c>
      <c r="E9008" t="s">
        <v>361</v>
      </c>
      <c r="F9008" t="s">
        <v>11158</v>
      </c>
      <c r="J9008" t="s">
        <v>662</v>
      </c>
    </row>
    <row r="9009" spans="1:10" x14ac:dyDescent="0.3">
      <c r="A9009" t="s">
        <v>11927</v>
      </c>
      <c r="B9009" t="s">
        <v>16220</v>
      </c>
      <c r="D9009">
        <v>1</v>
      </c>
      <c r="E9009" t="s">
        <v>11</v>
      </c>
      <c r="F9009" t="s">
        <v>2972</v>
      </c>
    </row>
    <row r="9010" spans="1:10" x14ac:dyDescent="0.3">
      <c r="A9010" t="s">
        <v>16221</v>
      </c>
      <c r="B9010" t="s">
        <v>11143</v>
      </c>
      <c r="E9010" t="s">
        <v>33</v>
      </c>
      <c r="F9010" t="s">
        <v>377</v>
      </c>
      <c r="J9010" t="s">
        <v>1124</v>
      </c>
    </row>
    <row r="9011" spans="1:10" x14ac:dyDescent="0.3">
      <c r="A9011" t="s">
        <v>16222</v>
      </c>
      <c r="B9011" t="s">
        <v>16223</v>
      </c>
      <c r="D9011">
        <v>10</v>
      </c>
      <c r="E9011" t="s">
        <v>4211</v>
      </c>
      <c r="F9011" t="s">
        <v>115</v>
      </c>
    </row>
    <row r="9012" spans="1:10" x14ac:dyDescent="0.3">
      <c r="A9012" t="s">
        <v>2540</v>
      </c>
      <c r="B9012" t="s">
        <v>16224</v>
      </c>
      <c r="D9012">
        <v>2.5</v>
      </c>
      <c r="E9012" t="s">
        <v>91</v>
      </c>
      <c r="F9012" t="s">
        <v>16225</v>
      </c>
    </row>
    <row r="9013" spans="1:10" x14ac:dyDescent="0.3">
      <c r="A9013" t="s">
        <v>16226</v>
      </c>
      <c r="B9013" t="s">
        <v>4926</v>
      </c>
      <c r="D9013">
        <v>2</v>
      </c>
      <c r="E9013" t="s">
        <v>23</v>
      </c>
      <c r="F9013" t="s">
        <v>880</v>
      </c>
    </row>
    <row r="9014" spans="1:10" x14ac:dyDescent="0.3">
      <c r="A9014" t="s">
        <v>16227</v>
      </c>
      <c r="B9014" t="s">
        <v>16228</v>
      </c>
      <c r="D9014" t="s">
        <v>16229</v>
      </c>
      <c r="E9014" t="s">
        <v>37</v>
      </c>
      <c r="F9014" t="s">
        <v>16230</v>
      </c>
      <c r="J9014" t="s">
        <v>16231</v>
      </c>
    </row>
    <row r="9015" spans="1:10" x14ac:dyDescent="0.3">
      <c r="A9015" t="s">
        <v>296</v>
      </c>
      <c r="B9015" t="s">
        <v>14265</v>
      </c>
      <c r="D9015">
        <v>0.25</v>
      </c>
      <c r="E9015" t="s">
        <v>23</v>
      </c>
      <c r="F9015" t="s">
        <v>331</v>
      </c>
    </row>
    <row r="9016" spans="1:10" x14ac:dyDescent="0.3">
      <c r="A9016" t="s">
        <v>16232</v>
      </c>
      <c r="B9016" t="s">
        <v>16233</v>
      </c>
      <c r="F9016" t="s">
        <v>333</v>
      </c>
      <c r="G9016" t="s">
        <v>1014</v>
      </c>
    </row>
    <row r="9017" spans="1:10" x14ac:dyDescent="0.3">
      <c r="A9017" t="s">
        <v>4537</v>
      </c>
      <c r="B9017" t="s">
        <v>4903</v>
      </c>
      <c r="D9017">
        <v>0.5</v>
      </c>
      <c r="E9017" t="s">
        <v>37</v>
      </c>
      <c r="F9017" t="s">
        <v>4904</v>
      </c>
    </row>
    <row r="9018" spans="1:10" x14ac:dyDescent="0.3">
      <c r="A9018" t="s">
        <v>244</v>
      </c>
      <c r="B9018" t="s">
        <v>5769</v>
      </c>
      <c r="D9018">
        <v>50</v>
      </c>
      <c r="E9018" t="s">
        <v>29</v>
      </c>
      <c r="F9018" t="s">
        <v>16234</v>
      </c>
    </row>
    <row r="9019" spans="1:10" x14ac:dyDescent="0.3">
      <c r="A9019" t="s">
        <v>16235</v>
      </c>
      <c r="B9019" t="s">
        <v>2222</v>
      </c>
      <c r="D9019">
        <v>1.5</v>
      </c>
      <c r="E9019" t="s">
        <v>23</v>
      </c>
      <c r="F9019" t="s">
        <v>41</v>
      </c>
    </row>
    <row r="9020" spans="1:10" x14ac:dyDescent="0.3">
      <c r="A9020" t="s">
        <v>16236</v>
      </c>
      <c r="B9020" t="s">
        <v>12457</v>
      </c>
      <c r="D9020">
        <v>1</v>
      </c>
      <c r="E9020" t="s">
        <v>23</v>
      </c>
      <c r="F9020" t="s">
        <v>292</v>
      </c>
    </row>
    <row r="9021" spans="1:10" x14ac:dyDescent="0.3">
      <c r="A9021" t="s">
        <v>16237</v>
      </c>
      <c r="B9021" t="s">
        <v>6283</v>
      </c>
      <c r="D9021">
        <v>1.5</v>
      </c>
      <c r="E9021" t="s">
        <v>23</v>
      </c>
      <c r="F9021" t="s">
        <v>292</v>
      </c>
    </row>
    <row r="9022" spans="1:10" x14ac:dyDescent="0.3">
      <c r="A9022" t="s">
        <v>16238</v>
      </c>
      <c r="B9022" t="s">
        <v>2613</v>
      </c>
      <c r="D9022">
        <v>1</v>
      </c>
      <c r="E9022" t="s">
        <v>23</v>
      </c>
      <c r="F9022" t="s">
        <v>2614</v>
      </c>
    </row>
    <row r="9023" spans="1:10" x14ac:dyDescent="0.3">
      <c r="A9023" t="s">
        <v>16239</v>
      </c>
      <c r="B9023" t="s">
        <v>935</v>
      </c>
      <c r="D9023">
        <v>1</v>
      </c>
      <c r="E9023" t="s">
        <v>23</v>
      </c>
      <c r="F9023" t="s">
        <v>936</v>
      </c>
    </row>
    <row r="9024" spans="1:10" x14ac:dyDescent="0.3">
      <c r="A9024" t="s">
        <v>9903</v>
      </c>
      <c r="B9024" t="s">
        <v>9772</v>
      </c>
      <c r="D9024">
        <v>2</v>
      </c>
      <c r="E9024" t="s">
        <v>345</v>
      </c>
      <c r="F9024" t="s">
        <v>456</v>
      </c>
    </row>
    <row r="9025" spans="1:10" x14ac:dyDescent="0.3">
      <c r="A9025" t="s">
        <v>5868</v>
      </c>
      <c r="B9025" t="s">
        <v>3628</v>
      </c>
      <c r="D9025">
        <v>0.5</v>
      </c>
      <c r="E9025" t="s">
        <v>23</v>
      </c>
      <c r="F9025" t="s">
        <v>328</v>
      </c>
    </row>
    <row r="9026" spans="1:10" x14ac:dyDescent="0.3">
      <c r="A9026" t="s">
        <v>16240</v>
      </c>
      <c r="B9026" t="s">
        <v>607</v>
      </c>
      <c r="D9026">
        <v>0.5</v>
      </c>
      <c r="E9026" t="s">
        <v>23</v>
      </c>
      <c r="F9026" t="s">
        <v>292</v>
      </c>
    </row>
    <row r="9027" spans="1:10" x14ac:dyDescent="0.3">
      <c r="A9027" t="s">
        <v>16241</v>
      </c>
      <c r="B9027" t="s">
        <v>16242</v>
      </c>
      <c r="D9027">
        <v>8</v>
      </c>
      <c r="F9027" t="s">
        <v>413</v>
      </c>
      <c r="G9027" t="s">
        <v>1571</v>
      </c>
    </row>
    <row r="9028" spans="1:10" x14ac:dyDescent="0.3">
      <c r="A9028" t="s">
        <v>16243</v>
      </c>
      <c r="B9028" t="s">
        <v>16244</v>
      </c>
      <c r="D9028">
        <v>1</v>
      </c>
      <c r="E9028" t="s">
        <v>120</v>
      </c>
      <c r="F9028" t="s">
        <v>16245</v>
      </c>
    </row>
    <row r="9029" spans="1:10" x14ac:dyDescent="0.3">
      <c r="A9029" t="s">
        <v>16246</v>
      </c>
      <c r="B9029" t="s">
        <v>1545</v>
      </c>
      <c r="F9029" t="s">
        <v>333</v>
      </c>
      <c r="G9029" t="s">
        <v>1247</v>
      </c>
    </row>
    <row r="9030" spans="1:10" x14ac:dyDescent="0.3">
      <c r="A9030" t="s">
        <v>16247</v>
      </c>
      <c r="B9030" t="s">
        <v>16248</v>
      </c>
      <c r="D9030">
        <v>2</v>
      </c>
      <c r="E9030" t="s">
        <v>189</v>
      </c>
      <c r="F9030" t="s">
        <v>1739</v>
      </c>
      <c r="I9030" t="s">
        <v>3945</v>
      </c>
    </row>
    <row r="9031" spans="1:10" x14ac:dyDescent="0.3">
      <c r="A9031" t="s">
        <v>16249</v>
      </c>
      <c r="B9031" t="s">
        <v>16250</v>
      </c>
      <c r="D9031">
        <v>2.5</v>
      </c>
      <c r="E9031" t="s">
        <v>23</v>
      </c>
      <c r="F9031" t="s">
        <v>716</v>
      </c>
    </row>
    <row r="9032" spans="1:10" x14ac:dyDescent="0.3">
      <c r="A9032" t="s">
        <v>2032</v>
      </c>
      <c r="B9032" t="s">
        <v>3737</v>
      </c>
      <c r="D9032">
        <v>1</v>
      </c>
      <c r="E9032" t="s">
        <v>111</v>
      </c>
      <c r="F9032" t="s">
        <v>716</v>
      </c>
    </row>
    <row r="9033" spans="1:10" x14ac:dyDescent="0.3">
      <c r="A9033" t="s">
        <v>16251</v>
      </c>
      <c r="B9033" t="s">
        <v>16252</v>
      </c>
      <c r="D9033">
        <v>1</v>
      </c>
      <c r="E9033" t="s">
        <v>37</v>
      </c>
      <c r="F9033" t="s">
        <v>16253</v>
      </c>
      <c r="J9033" t="s">
        <v>2028</v>
      </c>
    </row>
    <row r="9034" spans="1:10" x14ac:dyDescent="0.3">
      <c r="A9034" t="s">
        <v>16254</v>
      </c>
      <c r="B9034" t="s">
        <v>216</v>
      </c>
      <c r="D9034">
        <v>1</v>
      </c>
      <c r="E9034" t="s">
        <v>23</v>
      </c>
      <c r="F9034" t="s">
        <v>217</v>
      </c>
    </row>
    <row r="9035" spans="1:10" x14ac:dyDescent="0.3">
      <c r="A9035" t="s">
        <v>16255</v>
      </c>
      <c r="B9035" t="s">
        <v>16256</v>
      </c>
      <c r="F9035" t="s">
        <v>16257</v>
      </c>
      <c r="J9035" t="s">
        <v>5605</v>
      </c>
    </row>
    <row r="9036" spans="1:10" x14ac:dyDescent="0.3">
      <c r="A9036" t="s">
        <v>16258</v>
      </c>
      <c r="B9036" t="s">
        <v>2047</v>
      </c>
      <c r="D9036">
        <v>0.5</v>
      </c>
      <c r="E9036" t="s">
        <v>23</v>
      </c>
      <c r="F9036" t="s">
        <v>349</v>
      </c>
    </row>
    <row r="9037" spans="1:10" x14ac:dyDescent="0.3">
      <c r="A9037" t="s">
        <v>16259</v>
      </c>
      <c r="B9037" t="s">
        <v>16260</v>
      </c>
      <c r="D9037">
        <v>1.5</v>
      </c>
      <c r="E9037" t="s">
        <v>345</v>
      </c>
      <c r="F9037" t="s">
        <v>602</v>
      </c>
      <c r="J9037" t="s">
        <v>16261</v>
      </c>
    </row>
    <row r="9038" spans="1:10" x14ac:dyDescent="0.3">
      <c r="A9038" t="s">
        <v>16262</v>
      </c>
      <c r="B9038" t="s">
        <v>15202</v>
      </c>
      <c r="D9038">
        <v>1</v>
      </c>
      <c r="E9038" t="s">
        <v>23</v>
      </c>
      <c r="F9038" t="s">
        <v>2785</v>
      </c>
    </row>
    <row r="9039" spans="1:10" x14ac:dyDescent="0.3">
      <c r="A9039" t="s">
        <v>5670</v>
      </c>
      <c r="B9039" t="s">
        <v>12949</v>
      </c>
      <c r="D9039">
        <v>1</v>
      </c>
      <c r="E9039" t="s">
        <v>23</v>
      </c>
      <c r="F9039" t="s">
        <v>16263</v>
      </c>
    </row>
    <row r="9040" spans="1:10" x14ac:dyDescent="0.3">
      <c r="A9040" t="s">
        <v>8109</v>
      </c>
      <c r="B9040" t="s">
        <v>857</v>
      </c>
      <c r="F9040" t="s">
        <v>857</v>
      </c>
    </row>
    <row r="9041" spans="1:10" x14ac:dyDescent="0.3">
      <c r="A9041" t="s">
        <v>16264</v>
      </c>
      <c r="B9041" t="s">
        <v>6153</v>
      </c>
      <c r="D9041">
        <v>3</v>
      </c>
      <c r="E9041" t="s">
        <v>23</v>
      </c>
      <c r="F9041" t="s">
        <v>102</v>
      </c>
    </row>
    <row r="9042" spans="1:10" x14ac:dyDescent="0.3">
      <c r="A9042" t="s">
        <v>14878</v>
      </c>
      <c r="B9042" t="s">
        <v>11120</v>
      </c>
      <c r="D9042">
        <v>12.5</v>
      </c>
      <c r="E9042" t="s">
        <v>29</v>
      </c>
      <c r="F9042" t="s">
        <v>199</v>
      </c>
    </row>
    <row r="9043" spans="1:10" x14ac:dyDescent="0.3">
      <c r="A9043" t="s">
        <v>16265</v>
      </c>
      <c r="B9043" t="s">
        <v>16266</v>
      </c>
      <c r="D9043">
        <v>3</v>
      </c>
      <c r="E9043" t="s">
        <v>23</v>
      </c>
      <c r="F9043" t="s">
        <v>262</v>
      </c>
    </row>
    <row r="9044" spans="1:10" x14ac:dyDescent="0.3">
      <c r="A9044" t="s">
        <v>16267</v>
      </c>
      <c r="B9044" t="s">
        <v>16268</v>
      </c>
      <c r="D9044">
        <v>1.5</v>
      </c>
      <c r="E9044" t="s">
        <v>23</v>
      </c>
      <c r="F9044" t="s">
        <v>1445</v>
      </c>
      <c r="J9044" t="s">
        <v>289</v>
      </c>
    </row>
    <row r="9045" spans="1:10" x14ac:dyDescent="0.3">
      <c r="A9045" t="s">
        <v>10279</v>
      </c>
      <c r="B9045" t="s">
        <v>4793</v>
      </c>
      <c r="D9045">
        <v>1.5</v>
      </c>
      <c r="E9045" t="s">
        <v>23</v>
      </c>
      <c r="F9045" t="s">
        <v>1003</v>
      </c>
    </row>
    <row r="9046" spans="1:10" x14ac:dyDescent="0.3">
      <c r="A9046" t="s">
        <v>16269</v>
      </c>
      <c r="B9046" t="s">
        <v>16270</v>
      </c>
      <c r="D9046">
        <v>4</v>
      </c>
      <c r="E9046" t="s">
        <v>23</v>
      </c>
      <c r="F9046" t="s">
        <v>2305</v>
      </c>
    </row>
    <row r="9047" spans="1:10" x14ac:dyDescent="0.3">
      <c r="A9047" t="s">
        <v>16271</v>
      </c>
      <c r="B9047" t="s">
        <v>16272</v>
      </c>
      <c r="D9047">
        <v>1.5</v>
      </c>
      <c r="E9047" t="s">
        <v>345</v>
      </c>
      <c r="F9047" t="s">
        <v>16273</v>
      </c>
    </row>
    <row r="9048" spans="1:10" x14ac:dyDescent="0.3">
      <c r="A9048" t="s">
        <v>6238</v>
      </c>
      <c r="B9048" t="s">
        <v>16274</v>
      </c>
      <c r="D9048">
        <v>1</v>
      </c>
      <c r="E9048" t="s">
        <v>23</v>
      </c>
      <c r="F9048" t="s">
        <v>1204</v>
      </c>
    </row>
    <row r="9049" spans="1:10" x14ac:dyDescent="0.3">
      <c r="A9049" t="s">
        <v>14554</v>
      </c>
      <c r="B9049" t="s">
        <v>1011</v>
      </c>
      <c r="F9049" t="s">
        <v>1011</v>
      </c>
    </row>
    <row r="9050" spans="1:10" x14ac:dyDescent="0.3">
      <c r="A9050" t="s">
        <v>6387</v>
      </c>
      <c r="B9050" t="s">
        <v>16275</v>
      </c>
      <c r="D9050">
        <v>1</v>
      </c>
      <c r="E9050" t="s">
        <v>23</v>
      </c>
      <c r="F9050" t="s">
        <v>57</v>
      </c>
    </row>
    <row r="9051" spans="1:10" x14ac:dyDescent="0.3">
      <c r="A9051" t="s">
        <v>8843</v>
      </c>
      <c r="B9051" t="s">
        <v>16276</v>
      </c>
      <c r="D9051">
        <v>3</v>
      </c>
      <c r="E9051" t="s">
        <v>345</v>
      </c>
      <c r="F9051" t="s">
        <v>5481</v>
      </c>
      <c r="J9051" t="s">
        <v>16277</v>
      </c>
    </row>
    <row r="9052" spans="1:10" x14ac:dyDescent="0.3">
      <c r="A9052" t="s">
        <v>2084</v>
      </c>
      <c r="B9052" t="s">
        <v>7747</v>
      </c>
      <c r="D9052">
        <v>1</v>
      </c>
      <c r="E9052" t="s">
        <v>18</v>
      </c>
      <c r="F9052" t="s">
        <v>3353</v>
      </c>
    </row>
    <row r="9053" spans="1:10" x14ac:dyDescent="0.3">
      <c r="A9053" t="s">
        <v>16278</v>
      </c>
      <c r="B9053" t="s">
        <v>2154</v>
      </c>
      <c r="F9053" t="s">
        <v>333</v>
      </c>
      <c r="J9053" t="s">
        <v>2155</v>
      </c>
    </row>
    <row r="9054" spans="1:10" x14ac:dyDescent="0.3">
      <c r="A9054" t="s">
        <v>16279</v>
      </c>
      <c r="B9054" t="s">
        <v>7777</v>
      </c>
      <c r="D9054">
        <v>15</v>
      </c>
      <c r="E9054" t="s">
        <v>29</v>
      </c>
      <c r="F9054" t="s">
        <v>4142</v>
      </c>
    </row>
    <row r="9055" spans="1:10" x14ac:dyDescent="0.3">
      <c r="A9055" t="s">
        <v>13529</v>
      </c>
      <c r="B9055" t="s">
        <v>16280</v>
      </c>
      <c r="D9055">
        <v>25</v>
      </c>
      <c r="E9055" t="s">
        <v>29</v>
      </c>
      <c r="F9055" t="s">
        <v>115</v>
      </c>
      <c r="J9055" t="s">
        <v>16281</v>
      </c>
    </row>
    <row r="9056" spans="1:10" x14ac:dyDescent="0.3">
      <c r="A9056" t="s">
        <v>9081</v>
      </c>
      <c r="B9056" t="s">
        <v>10943</v>
      </c>
      <c r="D9056">
        <v>1</v>
      </c>
      <c r="E9056" t="s">
        <v>23</v>
      </c>
      <c r="F9056" t="s">
        <v>402</v>
      </c>
    </row>
    <row r="9057" spans="1:10" x14ac:dyDescent="0.3">
      <c r="A9057" t="s">
        <v>2325</v>
      </c>
      <c r="B9057" t="s">
        <v>16282</v>
      </c>
      <c r="D9057">
        <v>6</v>
      </c>
      <c r="E9057" t="s">
        <v>1983</v>
      </c>
      <c r="F9057" t="s">
        <v>377</v>
      </c>
    </row>
    <row r="9058" spans="1:10" x14ac:dyDescent="0.3">
      <c r="A9058" t="s">
        <v>16283</v>
      </c>
      <c r="B9058" t="s">
        <v>16284</v>
      </c>
      <c r="D9058" t="s">
        <v>1577</v>
      </c>
      <c r="E9058" t="s">
        <v>835</v>
      </c>
      <c r="F9058" t="s">
        <v>16285</v>
      </c>
      <c r="J9058" t="s">
        <v>1177</v>
      </c>
    </row>
    <row r="9059" spans="1:10" x14ac:dyDescent="0.3">
      <c r="A9059" t="s">
        <v>6916</v>
      </c>
      <c r="B9059" t="s">
        <v>1235</v>
      </c>
      <c r="D9059">
        <v>0.5</v>
      </c>
      <c r="E9059" t="s">
        <v>11</v>
      </c>
      <c r="F9059" t="s">
        <v>88</v>
      </c>
    </row>
    <row r="9060" spans="1:10" x14ac:dyDescent="0.3">
      <c r="A9060" t="s">
        <v>16286</v>
      </c>
      <c r="B9060" t="s">
        <v>3845</v>
      </c>
      <c r="D9060">
        <v>0.5</v>
      </c>
      <c r="E9060" t="s">
        <v>23</v>
      </c>
      <c r="F9060" t="s">
        <v>241</v>
      </c>
    </row>
    <row r="9061" spans="1:10" x14ac:dyDescent="0.3">
      <c r="A9061" t="s">
        <v>495</v>
      </c>
      <c r="B9061" t="s">
        <v>2007</v>
      </c>
      <c r="F9061" t="s">
        <v>2007</v>
      </c>
    </row>
    <row r="9062" spans="1:10" x14ac:dyDescent="0.3">
      <c r="A9062" t="s">
        <v>16287</v>
      </c>
      <c r="B9062" t="s">
        <v>16288</v>
      </c>
      <c r="D9062">
        <v>1</v>
      </c>
      <c r="E9062" t="s">
        <v>23</v>
      </c>
      <c r="F9062" t="s">
        <v>1558</v>
      </c>
    </row>
    <row r="9063" spans="1:10" x14ac:dyDescent="0.3">
      <c r="A9063" t="s">
        <v>16289</v>
      </c>
      <c r="B9063" t="s">
        <v>16290</v>
      </c>
      <c r="F9063" t="s">
        <v>16291</v>
      </c>
      <c r="J9063" t="s">
        <v>16292</v>
      </c>
    </row>
    <row r="9064" spans="1:10" x14ac:dyDescent="0.3">
      <c r="A9064" t="s">
        <v>1082</v>
      </c>
      <c r="B9064" t="s">
        <v>16293</v>
      </c>
      <c r="D9064">
        <v>10.5</v>
      </c>
      <c r="E9064" t="s">
        <v>91</v>
      </c>
      <c r="F9064" t="s">
        <v>5277</v>
      </c>
    </row>
    <row r="9065" spans="1:10" x14ac:dyDescent="0.3">
      <c r="A9065" t="s">
        <v>16294</v>
      </c>
      <c r="B9065" t="s">
        <v>10958</v>
      </c>
      <c r="D9065">
        <v>1</v>
      </c>
      <c r="E9065" t="s">
        <v>111</v>
      </c>
      <c r="F9065" t="s">
        <v>738</v>
      </c>
    </row>
    <row r="9066" spans="1:10" x14ac:dyDescent="0.3">
      <c r="A9066" t="s">
        <v>16295</v>
      </c>
      <c r="B9066" t="s">
        <v>2362</v>
      </c>
      <c r="D9066">
        <v>1.5</v>
      </c>
      <c r="E9066" t="s">
        <v>23</v>
      </c>
      <c r="F9066" t="s">
        <v>1003</v>
      </c>
    </row>
    <row r="9067" spans="1:10" x14ac:dyDescent="0.3">
      <c r="A9067" t="s">
        <v>16296</v>
      </c>
      <c r="B9067" t="s">
        <v>16297</v>
      </c>
      <c r="D9067">
        <v>2</v>
      </c>
      <c r="E9067" t="s">
        <v>23</v>
      </c>
      <c r="F9067" t="s">
        <v>281</v>
      </c>
    </row>
    <row r="9068" spans="1:10" x14ac:dyDescent="0.3">
      <c r="A9068" t="s">
        <v>16298</v>
      </c>
      <c r="B9068" t="s">
        <v>15161</v>
      </c>
      <c r="D9068">
        <v>3</v>
      </c>
      <c r="E9068" t="s">
        <v>189</v>
      </c>
      <c r="F9068" t="s">
        <v>2214</v>
      </c>
    </row>
    <row r="9069" spans="1:10" x14ac:dyDescent="0.3">
      <c r="A9069" t="s">
        <v>4388</v>
      </c>
      <c r="B9069" t="s">
        <v>16299</v>
      </c>
      <c r="F9069" t="s">
        <v>591</v>
      </c>
      <c r="J9069" t="s">
        <v>4390</v>
      </c>
    </row>
    <row r="9070" spans="1:10" x14ac:dyDescent="0.3">
      <c r="A9070" t="s">
        <v>2545</v>
      </c>
      <c r="B9070" t="s">
        <v>6227</v>
      </c>
      <c r="D9070">
        <v>2</v>
      </c>
      <c r="E9070" t="s">
        <v>23</v>
      </c>
      <c r="F9070" t="s">
        <v>712</v>
      </c>
    </row>
    <row r="9071" spans="1:10" x14ac:dyDescent="0.3">
      <c r="A9071" t="s">
        <v>16300</v>
      </c>
      <c r="B9071" t="s">
        <v>3434</v>
      </c>
      <c r="D9071">
        <v>1.5</v>
      </c>
      <c r="E9071" t="s">
        <v>23</v>
      </c>
      <c r="F9071" t="s">
        <v>281</v>
      </c>
    </row>
    <row r="9072" spans="1:10" x14ac:dyDescent="0.3">
      <c r="A9072" t="s">
        <v>16301</v>
      </c>
      <c r="B9072" t="s">
        <v>16302</v>
      </c>
      <c r="D9072">
        <v>1.5</v>
      </c>
      <c r="E9072" t="s">
        <v>23</v>
      </c>
      <c r="F9072" t="s">
        <v>563</v>
      </c>
    </row>
    <row r="9073" spans="1:10" x14ac:dyDescent="0.3">
      <c r="A9073" t="s">
        <v>16303</v>
      </c>
      <c r="B9073" t="s">
        <v>16304</v>
      </c>
      <c r="D9073">
        <v>1</v>
      </c>
      <c r="F9073" t="s">
        <v>16305</v>
      </c>
      <c r="H9073" t="s">
        <v>814</v>
      </c>
      <c r="J9073" t="s">
        <v>3287</v>
      </c>
    </row>
    <row r="9074" spans="1:10" x14ac:dyDescent="0.3">
      <c r="A9074" t="s">
        <v>13861</v>
      </c>
      <c r="B9074" t="s">
        <v>4467</v>
      </c>
      <c r="D9074">
        <v>0.5</v>
      </c>
      <c r="E9074" t="s">
        <v>23</v>
      </c>
      <c r="F9074" t="s">
        <v>936</v>
      </c>
    </row>
    <row r="9075" spans="1:10" x14ac:dyDescent="0.3">
      <c r="A9075" t="s">
        <v>13058</v>
      </c>
      <c r="B9075" t="s">
        <v>16306</v>
      </c>
      <c r="D9075">
        <v>25</v>
      </c>
      <c r="E9075" t="s">
        <v>29</v>
      </c>
      <c r="F9075" t="s">
        <v>380</v>
      </c>
    </row>
    <row r="9076" spans="1:10" x14ac:dyDescent="0.3">
      <c r="A9076" t="s">
        <v>5583</v>
      </c>
      <c r="B9076" t="s">
        <v>371</v>
      </c>
      <c r="D9076">
        <v>1</v>
      </c>
      <c r="F9076" t="s">
        <v>295</v>
      </c>
    </row>
    <row r="9077" spans="1:10" x14ac:dyDescent="0.3">
      <c r="A9077" t="s">
        <v>6071</v>
      </c>
      <c r="B9077" t="s">
        <v>16307</v>
      </c>
      <c r="D9077">
        <v>1</v>
      </c>
      <c r="E9077" t="s">
        <v>120</v>
      </c>
      <c r="F9077" t="s">
        <v>1457</v>
      </c>
    </row>
    <row r="9078" spans="1:10" x14ac:dyDescent="0.3">
      <c r="A9078" t="s">
        <v>16308</v>
      </c>
      <c r="B9078" t="s">
        <v>5077</v>
      </c>
      <c r="D9078">
        <v>1</v>
      </c>
      <c r="E9078" t="s">
        <v>23</v>
      </c>
      <c r="F9078" t="s">
        <v>3163</v>
      </c>
    </row>
    <row r="9079" spans="1:10" x14ac:dyDescent="0.3">
      <c r="A9079" t="s">
        <v>16309</v>
      </c>
      <c r="B9079" t="s">
        <v>16310</v>
      </c>
      <c r="D9079">
        <v>1</v>
      </c>
      <c r="E9079" t="s">
        <v>3648</v>
      </c>
      <c r="F9079" t="s">
        <v>4510</v>
      </c>
    </row>
    <row r="9080" spans="1:10" x14ac:dyDescent="0.3">
      <c r="A9080" t="s">
        <v>12680</v>
      </c>
      <c r="B9080" t="s">
        <v>16311</v>
      </c>
      <c r="D9080">
        <v>1</v>
      </c>
      <c r="E9080" t="s">
        <v>11</v>
      </c>
      <c r="F9080" t="s">
        <v>16312</v>
      </c>
    </row>
    <row r="9081" spans="1:10" x14ac:dyDescent="0.3">
      <c r="A9081" t="s">
        <v>13280</v>
      </c>
      <c r="B9081" t="s">
        <v>7005</v>
      </c>
      <c r="D9081">
        <v>2</v>
      </c>
      <c r="E9081" t="s">
        <v>23</v>
      </c>
      <c r="F9081" t="s">
        <v>262</v>
      </c>
    </row>
    <row r="9082" spans="1:10" x14ac:dyDescent="0.3">
      <c r="A9082" t="s">
        <v>6260</v>
      </c>
      <c r="B9082" t="s">
        <v>16313</v>
      </c>
      <c r="D9082">
        <v>1</v>
      </c>
      <c r="E9082" t="s">
        <v>361</v>
      </c>
      <c r="F9082" t="s">
        <v>16314</v>
      </c>
    </row>
    <row r="9083" spans="1:10" x14ac:dyDescent="0.3">
      <c r="A9083" t="s">
        <v>5710</v>
      </c>
      <c r="B9083" t="s">
        <v>16315</v>
      </c>
      <c r="D9083">
        <v>0.5</v>
      </c>
      <c r="E9083" t="s">
        <v>23</v>
      </c>
      <c r="F9083" t="s">
        <v>5205</v>
      </c>
    </row>
    <row r="9084" spans="1:10" x14ac:dyDescent="0.3">
      <c r="A9084" t="s">
        <v>820</v>
      </c>
      <c r="B9084" t="s">
        <v>299</v>
      </c>
      <c r="F9084" t="s">
        <v>299</v>
      </c>
    </row>
    <row r="9085" spans="1:10" x14ac:dyDescent="0.3">
      <c r="A9085" t="s">
        <v>8502</v>
      </c>
      <c r="B9085" t="s">
        <v>317</v>
      </c>
      <c r="F9085" t="s">
        <v>317</v>
      </c>
    </row>
    <row r="9086" spans="1:10" x14ac:dyDescent="0.3">
      <c r="A9086" t="s">
        <v>16316</v>
      </c>
      <c r="B9086" t="s">
        <v>8537</v>
      </c>
      <c r="D9086">
        <v>0.75</v>
      </c>
      <c r="E9086" t="s">
        <v>23</v>
      </c>
      <c r="F9086" t="s">
        <v>712</v>
      </c>
    </row>
    <row r="9087" spans="1:10" x14ac:dyDescent="0.3">
      <c r="A9087" t="s">
        <v>16317</v>
      </c>
      <c r="B9087" t="s">
        <v>16318</v>
      </c>
      <c r="D9087">
        <v>2</v>
      </c>
      <c r="E9087" t="s">
        <v>686</v>
      </c>
      <c r="F9087" t="s">
        <v>3576</v>
      </c>
    </row>
    <row r="9088" spans="1:10" x14ac:dyDescent="0.3">
      <c r="A9088" t="s">
        <v>8616</v>
      </c>
      <c r="B9088" t="s">
        <v>16319</v>
      </c>
      <c r="D9088">
        <v>2</v>
      </c>
      <c r="E9088" t="s">
        <v>23</v>
      </c>
      <c r="F9088" t="s">
        <v>4826</v>
      </c>
    </row>
    <row r="9089" spans="1:10" x14ac:dyDescent="0.3">
      <c r="A9089" t="s">
        <v>16320</v>
      </c>
      <c r="B9089" t="s">
        <v>4002</v>
      </c>
      <c r="D9089">
        <v>1</v>
      </c>
      <c r="E9089" t="s">
        <v>23</v>
      </c>
      <c r="F9089" t="s">
        <v>1003</v>
      </c>
    </row>
    <row r="9090" spans="1:10" x14ac:dyDescent="0.3">
      <c r="A9090" t="s">
        <v>16321</v>
      </c>
      <c r="B9090" t="s">
        <v>16322</v>
      </c>
      <c r="D9090">
        <v>2</v>
      </c>
      <c r="E9090" t="s">
        <v>345</v>
      </c>
      <c r="F9090" t="s">
        <v>16013</v>
      </c>
      <c r="J9090" t="s">
        <v>16323</v>
      </c>
    </row>
    <row r="9091" spans="1:10" x14ac:dyDescent="0.3">
      <c r="A9091" t="s">
        <v>11557</v>
      </c>
      <c r="B9091" t="s">
        <v>16324</v>
      </c>
      <c r="D9091">
        <v>0.75</v>
      </c>
      <c r="E9091" t="s">
        <v>23</v>
      </c>
      <c r="F9091" t="s">
        <v>4580</v>
      </c>
      <c r="H9091" t="s">
        <v>68</v>
      </c>
      <c r="J9091" t="s">
        <v>289</v>
      </c>
    </row>
    <row r="9092" spans="1:10" x14ac:dyDescent="0.3">
      <c r="A9092" t="s">
        <v>16325</v>
      </c>
      <c r="B9092" t="s">
        <v>16326</v>
      </c>
      <c r="D9092">
        <v>0.5</v>
      </c>
      <c r="E9092" t="s">
        <v>23</v>
      </c>
      <c r="F9092" t="s">
        <v>2292</v>
      </c>
      <c r="J9092" t="s">
        <v>289</v>
      </c>
    </row>
    <row r="9093" spans="1:10" x14ac:dyDescent="0.3">
      <c r="A9093" t="s">
        <v>16327</v>
      </c>
      <c r="B9093" t="s">
        <v>1354</v>
      </c>
      <c r="D9093">
        <v>1.5</v>
      </c>
      <c r="E9093" t="s">
        <v>23</v>
      </c>
      <c r="F9093" t="s">
        <v>220</v>
      </c>
    </row>
    <row r="9094" spans="1:10" x14ac:dyDescent="0.3">
      <c r="A9094" t="s">
        <v>9903</v>
      </c>
      <c r="B9094" t="s">
        <v>7293</v>
      </c>
      <c r="D9094">
        <v>0.5</v>
      </c>
      <c r="E9094" t="s">
        <v>37</v>
      </c>
      <c r="F9094" t="s">
        <v>1009</v>
      </c>
    </row>
    <row r="9095" spans="1:10" x14ac:dyDescent="0.3">
      <c r="A9095" t="s">
        <v>14142</v>
      </c>
      <c r="B9095" t="s">
        <v>139</v>
      </c>
      <c r="D9095">
        <v>0.5</v>
      </c>
      <c r="E9095" t="s">
        <v>11</v>
      </c>
      <c r="F9095" t="s">
        <v>140</v>
      </c>
    </row>
    <row r="9096" spans="1:10" x14ac:dyDescent="0.3">
      <c r="A9096" t="s">
        <v>16328</v>
      </c>
      <c r="B9096" t="s">
        <v>16329</v>
      </c>
      <c r="D9096">
        <v>4</v>
      </c>
      <c r="F9096" t="s">
        <v>538</v>
      </c>
    </row>
    <row r="9097" spans="1:10" x14ac:dyDescent="0.3">
      <c r="A9097" t="s">
        <v>16330</v>
      </c>
      <c r="B9097" t="s">
        <v>16331</v>
      </c>
      <c r="D9097">
        <v>0.5</v>
      </c>
      <c r="F9097" t="s">
        <v>14133</v>
      </c>
      <c r="J9097" t="s">
        <v>248</v>
      </c>
    </row>
    <row r="9098" spans="1:10" x14ac:dyDescent="0.3">
      <c r="A9098" t="s">
        <v>15555</v>
      </c>
      <c r="B9098" t="s">
        <v>16332</v>
      </c>
      <c r="D9098">
        <v>0.5</v>
      </c>
      <c r="E9098" t="s">
        <v>23</v>
      </c>
      <c r="F9098" t="s">
        <v>1093</v>
      </c>
      <c r="J9098" t="s">
        <v>289</v>
      </c>
    </row>
    <row r="9099" spans="1:10" x14ac:dyDescent="0.3">
      <c r="A9099" t="s">
        <v>11692</v>
      </c>
      <c r="B9099" t="s">
        <v>7576</v>
      </c>
      <c r="D9099">
        <v>1</v>
      </c>
      <c r="E9099" t="s">
        <v>426</v>
      </c>
      <c r="F9099" t="s">
        <v>3981</v>
      </c>
    </row>
    <row r="9100" spans="1:10" x14ac:dyDescent="0.3">
      <c r="A9100" t="s">
        <v>2300</v>
      </c>
      <c r="B9100" t="s">
        <v>16333</v>
      </c>
      <c r="D9100">
        <v>0.5</v>
      </c>
      <c r="E9100" t="s">
        <v>284</v>
      </c>
      <c r="F9100" t="s">
        <v>160</v>
      </c>
    </row>
    <row r="9101" spans="1:10" x14ac:dyDescent="0.3">
      <c r="A9101" t="s">
        <v>16334</v>
      </c>
      <c r="B9101" t="s">
        <v>16335</v>
      </c>
      <c r="D9101">
        <v>1</v>
      </c>
      <c r="F9101" t="s">
        <v>16336</v>
      </c>
      <c r="J9101" t="s">
        <v>248</v>
      </c>
    </row>
    <row r="9102" spans="1:10" x14ac:dyDescent="0.3">
      <c r="A9102" t="s">
        <v>7618</v>
      </c>
      <c r="B9102" t="s">
        <v>333</v>
      </c>
      <c r="F9102" t="s">
        <v>333</v>
      </c>
    </row>
    <row r="9103" spans="1:10" x14ac:dyDescent="0.3">
      <c r="A9103" t="s">
        <v>13901</v>
      </c>
      <c r="B9103" t="s">
        <v>16337</v>
      </c>
      <c r="D9103">
        <v>0.75</v>
      </c>
      <c r="E9103" t="s">
        <v>23</v>
      </c>
      <c r="F9103" t="s">
        <v>6948</v>
      </c>
    </row>
    <row r="9104" spans="1:10" x14ac:dyDescent="0.3">
      <c r="A9104" t="s">
        <v>16338</v>
      </c>
      <c r="B9104" t="s">
        <v>3554</v>
      </c>
      <c r="D9104">
        <v>0.5</v>
      </c>
      <c r="E9104" t="s">
        <v>23</v>
      </c>
      <c r="F9104" t="s">
        <v>160</v>
      </c>
      <c r="H9104" t="s">
        <v>68</v>
      </c>
    </row>
    <row r="9105" spans="1:10" x14ac:dyDescent="0.3">
      <c r="A9105" t="s">
        <v>6307</v>
      </c>
      <c r="B9105" t="s">
        <v>16339</v>
      </c>
      <c r="D9105">
        <v>40</v>
      </c>
      <c r="E9105" t="s">
        <v>29</v>
      </c>
      <c r="F9105" t="s">
        <v>16340</v>
      </c>
    </row>
    <row r="9106" spans="1:10" x14ac:dyDescent="0.3">
      <c r="A9106" t="s">
        <v>16341</v>
      </c>
      <c r="B9106" t="s">
        <v>16342</v>
      </c>
      <c r="D9106">
        <v>0.5</v>
      </c>
      <c r="E9106" t="s">
        <v>23</v>
      </c>
      <c r="F9106" t="s">
        <v>1589</v>
      </c>
    </row>
    <row r="9107" spans="1:10" x14ac:dyDescent="0.3">
      <c r="A9107" t="s">
        <v>16343</v>
      </c>
      <c r="B9107" t="s">
        <v>16344</v>
      </c>
      <c r="D9107">
        <v>0.25</v>
      </c>
      <c r="E9107" t="s">
        <v>23</v>
      </c>
      <c r="F9107" t="s">
        <v>6249</v>
      </c>
    </row>
    <row r="9108" spans="1:10" x14ac:dyDescent="0.3">
      <c r="A9108" t="s">
        <v>16345</v>
      </c>
      <c r="B9108" t="s">
        <v>16346</v>
      </c>
      <c r="D9108">
        <v>1</v>
      </c>
      <c r="E9108" t="s">
        <v>7249</v>
      </c>
      <c r="F9108" t="s">
        <v>2138</v>
      </c>
    </row>
    <row r="9109" spans="1:10" x14ac:dyDescent="0.3">
      <c r="A9109" t="s">
        <v>16347</v>
      </c>
      <c r="B9109" t="s">
        <v>6950</v>
      </c>
      <c r="D9109">
        <v>1</v>
      </c>
      <c r="E9109" t="s">
        <v>11</v>
      </c>
      <c r="F9109" t="s">
        <v>6951</v>
      </c>
    </row>
    <row r="9110" spans="1:10" x14ac:dyDescent="0.3">
      <c r="A9110" t="s">
        <v>2695</v>
      </c>
      <c r="B9110" t="s">
        <v>7713</v>
      </c>
      <c r="D9110">
        <v>0.5</v>
      </c>
      <c r="E9110" t="s">
        <v>23</v>
      </c>
      <c r="F9110" t="s">
        <v>7714</v>
      </c>
    </row>
    <row r="9111" spans="1:10" x14ac:dyDescent="0.3">
      <c r="A9111" t="s">
        <v>16348</v>
      </c>
      <c r="B9111" t="s">
        <v>4940</v>
      </c>
      <c r="D9111">
        <v>2</v>
      </c>
      <c r="E9111" t="s">
        <v>345</v>
      </c>
      <c r="F9111" t="s">
        <v>2385</v>
      </c>
    </row>
    <row r="9112" spans="1:10" x14ac:dyDescent="0.3">
      <c r="A9112" t="s">
        <v>16349</v>
      </c>
      <c r="B9112" t="s">
        <v>16350</v>
      </c>
      <c r="D9112">
        <v>70</v>
      </c>
      <c r="E9112" t="s">
        <v>29</v>
      </c>
      <c r="F9112" t="s">
        <v>16351</v>
      </c>
    </row>
    <row r="9113" spans="1:10" x14ac:dyDescent="0.3">
      <c r="A9113" t="s">
        <v>6190</v>
      </c>
      <c r="B9113" t="s">
        <v>16352</v>
      </c>
      <c r="D9113">
        <v>0.25</v>
      </c>
      <c r="E9113" t="s">
        <v>361</v>
      </c>
      <c r="F9113" t="s">
        <v>3985</v>
      </c>
      <c r="G9113" t="s">
        <v>3326</v>
      </c>
    </row>
    <row r="9114" spans="1:10" x14ac:dyDescent="0.3">
      <c r="A9114" t="s">
        <v>10084</v>
      </c>
      <c r="B9114" t="s">
        <v>333</v>
      </c>
      <c r="F9114" t="s">
        <v>333</v>
      </c>
    </row>
    <row r="9115" spans="1:10" x14ac:dyDescent="0.3">
      <c r="A9115" t="s">
        <v>16353</v>
      </c>
      <c r="B9115" t="s">
        <v>16354</v>
      </c>
      <c r="D9115">
        <v>0.75</v>
      </c>
      <c r="E9115" t="s">
        <v>206</v>
      </c>
      <c r="F9115" t="s">
        <v>516</v>
      </c>
    </row>
    <row r="9116" spans="1:10" x14ac:dyDescent="0.3">
      <c r="A9116" t="s">
        <v>3363</v>
      </c>
      <c r="B9116" t="s">
        <v>1692</v>
      </c>
      <c r="D9116">
        <v>0.75</v>
      </c>
      <c r="E9116" t="s">
        <v>11</v>
      </c>
      <c r="F9116" t="s">
        <v>423</v>
      </c>
    </row>
    <row r="9117" spans="1:10" x14ac:dyDescent="0.3">
      <c r="A9117" t="s">
        <v>307</v>
      </c>
      <c r="B9117" t="s">
        <v>16355</v>
      </c>
      <c r="D9117">
        <v>1.5</v>
      </c>
      <c r="E9117" t="s">
        <v>91</v>
      </c>
      <c r="F9117" t="s">
        <v>16356</v>
      </c>
    </row>
    <row r="9118" spans="1:10" x14ac:dyDescent="0.3">
      <c r="A9118" t="s">
        <v>16357</v>
      </c>
      <c r="B9118" t="s">
        <v>16358</v>
      </c>
      <c r="D9118">
        <v>1.5</v>
      </c>
      <c r="E9118" t="s">
        <v>146</v>
      </c>
      <c r="F9118" t="s">
        <v>3071</v>
      </c>
    </row>
    <row r="9119" spans="1:10" x14ac:dyDescent="0.3">
      <c r="A9119" t="s">
        <v>16359</v>
      </c>
      <c r="B9119" t="s">
        <v>16360</v>
      </c>
      <c r="D9119">
        <v>4</v>
      </c>
      <c r="E9119" t="s">
        <v>23</v>
      </c>
      <c r="F9119" t="s">
        <v>177</v>
      </c>
      <c r="J9119" t="s">
        <v>289</v>
      </c>
    </row>
    <row r="9120" spans="1:10" x14ac:dyDescent="0.3">
      <c r="A9120" t="s">
        <v>13551</v>
      </c>
      <c r="B9120" t="s">
        <v>841</v>
      </c>
      <c r="D9120">
        <v>1</v>
      </c>
      <c r="E9120" t="s">
        <v>23</v>
      </c>
      <c r="F9120" t="s">
        <v>793</v>
      </c>
    </row>
    <row r="9121" spans="1:10" x14ac:dyDescent="0.3">
      <c r="A9121" t="s">
        <v>7115</v>
      </c>
      <c r="B9121" t="s">
        <v>16361</v>
      </c>
      <c r="D9121">
        <v>750</v>
      </c>
      <c r="E9121" t="s">
        <v>4211</v>
      </c>
      <c r="F9121" t="s">
        <v>9103</v>
      </c>
      <c r="J9121" t="s">
        <v>16362</v>
      </c>
    </row>
    <row r="9122" spans="1:10" x14ac:dyDescent="0.3">
      <c r="A9122" t="s">
        <v>16363</v>
      </c>
      <c r="B9122" t="s">
        <v>5276</v>
      </c>
      <c r="D9122">
        <v>0.25</v>
      </c>
      <c r="E9122" t="s">
        <v>11</v>
      </c>
      <c r="F9122" t="s">
        <v>5277</v>
      </c>
    </row>
    <row r="9123" spans="1:10" x14ac:dyDescent="0.3">
      <c r="A9123" t="s">
        <v>16364</v>
      </c>
      <c r="B9123" t="s">
        <v>51</v>
      </c>
      <c r="F9123" t="s">
        <v>51</v>
      </c>
    </row>
    <row r="9124" spans="1:10" x14ac:dyDescent="0.3">
      <c r="A9124" t="s">
        <v>16365</v>
      </c>
      <c r="B9124" t="s">
        <v>16366</v>
      </c>
      <c r="D9124">
        <v>0.5</v>
      </c>
      <c r="E9124" t="s">
        <v>23</v>
      </c>
      <c r="F9124" t="s">
        <v>13176</v>
      </c>
      <c r="J9124" t="s">
        <v>16367</v>
      </c>
    </row>
    <row r="9125" spans="1:10" x14ac:dyDescent="0.3">
      <c r="A9125" t="s">
        <v>16368</v>
      </c>
      <c r="B9125" t="s">
        <v>9131</v>
      </c>
      <c r="F9125" t="s">
        <v>413</v>
      </c>
      <c r="G9125" t="s">
        <v>3102</v>
      </c>
      <c r="J9125" t="s">
        <v>16369</v>
      </c>
    </row>
    <row r="9126" spans="1:10" x14ac:dyDescent="0.3">
      <c r="A9126" t="s">
        <v>16370</v>
      </c>
      <c r="B9126" t="s">
        <v>5366</v>
      </c>
      <c r="D9126">
        <v>1</v>
      </c>
      <c r="E9126" t="s">
        <v>23</v>
      </c>
      <c r="F9126" t="s">
        <v>857</v>
      </c>
    </row>
    <row r="9127" spans="1:10" x14ac:dyDescent="0.3">
      <c r="A9127" t="s">
        <v>16371</v>
      </c>
      <c r="B9127" t="s">
        <v>16372</v>
      </c>
      <c r="D9127">
        <v>0.5</v>
      </c>
      <c r="E9127" t="s">
        <v>11</v>
      </c>
      <c r="F9127" t="s">
        <v>7398</v>
      </c>
    </row>
    <row r="9128" spans="1:10" x14ac:dyDescent="0.3">
      <c r="A9128" t="s">
        <v>16373</v>
      </c>
      <c r="B9128" t="s">
        <v>868</v>
      </c>
      <c r="D9128">
        <v>1</v>
      </c>
      <c r="E9128" t="s">
        <v>23</v>
      </c>
      <c r="F9128" t="s">
        <v>399</v>
      </c>
    </row>
    <row r="9129" spans="1:10" x14ac:dyDescent="0.3">
      <c r="A9129" t="s">
        <v>15923</v>
      </c>
      <c r="B9129" t="s">
        <v>16374</v>
      </c>
      <c r="D9129">
        <v>6</v>
      </c>
      <c r="E9129" t="s">
        <v>1212</v>
      </c>
      <c r="F9129" t="s">
        <v>11934</v>
      </c>
      <c r="J9129" t="s">
        <v>16375</v>
      </c>
    </row>
    <row r="9130" spans="1:10" x14ac:dyDescent="0.3">
      <c r="A9130" t="s">
        <v>16376</v>
      </c>
      <c r="B9130" t="s">
        <v>16377</v>
      </c>
      <c r="D9130">
        <v>4</v>
      </c>
      <c r="E9130" t="s">
        <v>23</v>
      </c>
      <c r="F9130" t="s">
        <v>16378</v>
      </c>
    </row>
    <row r="9131" spans="1:10" x14ac:dyDescent="0.3">
      <c r="A9131" t="s">
        <v>14071</v>
      </c>
      <c r="B9131" t="s">
        <v>16379</v>
      </c>
      <c r="D9131">
        <v>0.75</v>
      </c>
      <c r="E9131" t="s">
        <v>23</v>
      </c>
      <c r="F9131" t="s">
        <v>16380</v>
      </c>
    </row>
    <row r="9132" spans="1:10" x14ac:dyDescent="0.3">
      <c r="A9132" t="s">
        <v>14256</v>
      </c>
      <c r="B9132" t="s">
        <v>16381</v>
      </c>
      <c r="D9132">
        <v>3</v>
      </c>
      <c r="E9132" t="s">
        <v>23</v>
      </c>
      <c r="F9132" t="s">
        <v>16382</v>
      </c>
    </row>
    <row r="9133" spans="1:10" x14ac:dyDescent="0.3">
      <c r="A9133" t="s">
        <v>16383</v>
      </c>
      <c r="B9133" t="s">
        <v>16384</v>
      </c>
      <c r="D9133">
        <v>1.33</v>
      </c>
      <c r="E9133" t="s">
        <v>23</v>
      </c>
      <c r="F9133" t="s">
        <v>9813</v>
      </c>
    </row>
    <row r="9134" spans="1:10" x14ac:dyDescent="0.3">
      <c r="A9134" t="s">
        <v>11338</v>
      </c>
      <c r="B9134" t="s">
        <v>16385</v>
      </c>
      <c r="D9134">
        <v>6</v>
      </c>
      <c r="F9134" t="s">
        <v>538</v>
      </c>
      <c r="H9134" t="s">
        <v>68</v>
      </c>
      <c r="J9134" t="s">
        <v>555</v>
      </c>
    </row>
    <row r="9135" spans="1:10" x14ac:dyDescent="0.3">
      <c r="A9135" t="s">
        <v>11829</v>
      </c>
      <c r="B9135" t="s">
        <v>16386</v>
      </c>
      <c r="D9135">
        <v>19</v>
      </c>
      <c r="F9135" t="s">
        <v>173</v>
      </c>
    </row>
    <row r="9136" spans="1:10" x14ac:dyDescent="0.3">
      <c r="A9136" t="s">
        <v>16387</v>
      </c>
      <c r="B9136" t="s">
        <v>333</v>
      </c>
      <c r="F9136" t="s">
        <v>333</v>
      </c>
    </row>
    <row r="9137" spans="1:10" x14ac:dyDescent="0.3">
      <c r="A9137" t="s">
        <v>16388</v>
      </c>
      <c r="B9137" t="s">
        <v>182</v>
      </c>
      <c r="D9137">
        <v>0.75</v>
      </c>
      <c r="E9137" t="s">
        <v>23</v>
      </c>
      <c r="F9137" t="s">
        <v>183</v>
      </c>
    </row>
    <row r="9138" spans="1:10" x14ac:dyDescent="0.3">
      <c r="A9138" t="s">
        <v>9325</v>
      </c>
      <c r="B9138" t="s">
        <v>6925</v>
      </c>
      <c r="D9138">
        <v>1</v>
      </c>
      <c r="E9138" t="s">
        <v>1785</v>
      </c>
      <c r="F9138" t="s">
        <v>936</v>
      </c>
    </row>
    <row r="9139" spans="1:10" x14ac:dyDescent="0.3">
      <c r="A9139" t="s">
        <v>16389</v>
      </c>
      <c r="B9139" t="s">
        <v>16390</v>
      </c>
      <c r="D9139">
        <v>6</v>
      </c>
      <c r="E9139" t="s">
        <v>2006</v>
      </c>
      <c r="F9139" t="s">
        <v>16391</v>
      </c>
    </row>
    <row r="9140" spans="1:10" x14ac:dyDescent="0.3">
      <c r="A9140" t="s">
        <v>7773</v>
      </c>
      <c r="B9140" t="s">
        <v>16392</v>
      </c>
      <c r="D9140">
        <v>3</v>
      </c>
      <c r="E9140" t="s">
        <v>176</v>
      </c>
      <c r="F9140" t="s">
        <v>41</v>
      </c>
    </row>
    <row r="9141" spans="1:10" x14ac:dyDescent="0.3">
      <c r="A9141" t="s">
        <v>5278</v>
      </c>
      <c r="B9141" t="s">
        <v>907</v>
      </c>
      <c r="F9141" t="s">
        <v>907</v>
      </c>
    </row>
    <row r="9142" spans="1:10" x14ac:dyDescent="0.3">
      <c r="A9142" t="s">
        <v>16393</v>
      </c>
      <c r="B9142" t="s">
        <v>16394</v>
      </c>
      <c r="D9142">
        <v>70</v>
      </c>
      <c r="E9142" t="s">
        <v>29</v>
      </c>
      <c r="F9142" t="s">
        <v>16395</v>
      </c>
    </row>
    <row r="9143" spans="1:10" x14ac:dyDescent="0.3">
      <c r="A9143" t="s">
        <v>16396</v>
      </c>
      <c r="B9143" t="s">
        <v>16397</v>
      </c>
      <c r="D9143">
        <v>0.5</v>
      </c>
      <c r="E9143" t="s">
        <v>37</v>
      </c>
      <c r="F9143" t="s">
        <v>16398</v>
      </c>
    </row>
    <row r="9144" spans="1:10" x14ac:dyDescent="0.3">
      <c r="A9144" t="s">
        <v>2125</v>
      </c>
      <c r="B9144" t="s">
        <v>16399</v>
      </c>
      <c r="D9144">
        <v>2</v>
      </c>
      <c r="E9144" t="s">
        <v>91</v>
      </c>
      <c r="F9144" t="s">
        <v>16400</v>
      </c>
    </row>
    <row r="9145" spans="1:10" x14ac:dyDescent="0.3">
      <c r="A9145" t="s">
        <v>12523</v>
      </c>
      <c r="B9145" t="s">
        <v>4412</v>
      </c>
      <c r="D9145">
        <v>0.75</v>
      </c>
      <c r="E9145" t="s">
        <v>23</v>
      </c>
      <c r="F9145" t="s">
        <v>233</v>
      </c>
    </row>
    <row r="9146" spans="1:10" x14ac:dyDescent="0.3">
      <c r="A9146" t="s">
        <v>12294</v>
      </c>
      <c r="B9146" t="s">
        <v>1179</v>
      </c>
      <c r="D9146">
        <v>1</v>
      </c>
      <c r="E9146" t="s">
        <v>23</v>
      </c>
      <c r="F9146" t="s">
        <v>233</v>
      </c>
    </row>
    <row r="9147" spans="1:10" x14ac:dyDescent="0.3">
      <c r="A9147" t="s">
        <v>16401</v>
      </c>
      <c r="B9147" t="s">
        <v>16402</v>
      </c>
      <c r="D9147">
        <v>1</v>
      </c>
      <c r="E9147" t="s">
        <v>23</v>
      </c>
      <c r="F9147" t="s">
        <v>16403</v>
      </c>
      <c r="J9147" t="s">
        <v>289</v>
      </c>
    </row>
    <row r="9148" spans="1:10" x14ac:dyDescent="0.3">
      <c r="A9148" t="s">
        <v>2695</v>
      </c>
      <c r="B9148" t="s">
        <v>333</v>
      </c>
      <c r="F9148" t="s">
        <v>333</v>
      </c>
    </row>
    <row r="9149" spans="1:10" x14ac:dyDescent="0.3">
      <c r="A9149" t="s">
        <v>16404</v>
      </c>
      <c r="B9149" t="s">
        <v>16405</v>
      </c>
      <c r="D9149">
        <v>1.5</v>
      </c>
      <c r="E9149" t="s">
        <v>345</v>
      </c>
      <c r="F9149" t="s">
        <v>41</v>
      </c>
      <c r="I9149" t="s">
        <v>1078</v>
      </c>
    </row>
    <row r="9150" spans="1:10" x14ac:dyDescent="0.3">
      <c r="A9150" t="s">
        <v>16406</v>
      </c>
      <c r="B9150" t="s">
        <v>3496</v>
      </c>
      <c r="D9150">
        <v>2</v>
      </c>
      <c r="E9150" t="s">
        <v>23</v>
      </c>
      <c r="F9150" t="s">
        <v>281</v>
      </c>
    </row>
    <row r="9151" spans="1:10" x14ac:dyDescent="0.3">
      <c r="A9151" t="s">
        <v>3470</v>
      </c>
      <c r="B9151" t="s">
        <v>152</v>
      </c>
      <c r="F9151" t="s">
        <v>152</v>
      </c>
    </row>
    <row r="9152" spans="1:10" x14ac:dyDescent="0.3">
      <c r="A9152" t="s">
        <v>16407</v>
      </c>
      <c r="B9152" t="s">
        <v>4689</v>
      </c>
      <c r="D9152">
        <v>2</v>
      </c>
      <c r="E9152" t="s">
        <v>23</v>
      </c>
      <c r="F9152" t="s">
        <v>171</v>
      </c>
    </row>
    <row r="9153" spans="1:10" x14ac:dyDescent="0.3">
      <c r="A9153" t="s">
        <v>16408</v>
      </c>
      <c r="B9153" t="s">
        <v>16409</v>
      </c>
      <c r="D9153">
        <v>1.5</v>
      </c>
      <c r="E9153" t="s">
        <v>23</v>
      </c>
      <c r="F9153" t="s">
        <v>649</v>
      </c>
    </row>
    <row r="9154" spans="1:10" x14ac:dyDescent="0.3">
      <c r="A9154" t="s">
        <v>1403</v>
      </c>
      <c r="B9154" t="s">
        <v>16410</v>
      </c>
      <c r="D9154">
        <v>4</v>
      </c>
      <c r="E9154" t="s">
        <v>23</v>
      </c>
      <c r="F9154" t="s">
        <v>3403</v>
      </c>
    </row>
    <row r="9155" spans="1:10" x14ac:dyDescent="0.3">
      <c r="A9155" t="s">
        <v>16411</v>
      </c>
      <c r="B9155" t="s">
        <v>14391</v>
      </c>
      <c r="D9155">
        <v>1</v>
      </c>
      <c r="E9155" t="s">
        <v>23</v>
      </c>
      <c r="F9155" t="s">
        <v>1589</v>
      </c>
    </row>
    <row r="9156" spans="1:10" x14ac:dyDescent="0.3">
      <c r="A9156" t="s">
        <v>16412</v>
      </c>
      <c r="B9156" t="s">
        <v>16413</v>
      </c>
      <c r="D9156">
        <v>0.5</v>
      </c>
      <c r="E9156" t="s">
        <v>37</v>
      </c>
      <c r="F9156" t="s">
        <v>657</v>
      </c>
      <c r="J9156" t="s">
        <v>16414</v>
      </c>
    </row>
    <row r="9157" spans="1:10" x14ac:dyDescent="0.3">
      <c r="A9157" t="s">
        <v>5061</v>
      </c>
      <c r="B9157" t="s">
        <v>16415</v>
      </c>
      <c r="D9157">
        <v>0.5</v>
      </c>
      <c r="E9157" t="s">
        <v>11</v>
      </c>
      <c r="F9157" t="s">
        <v>4433</v>
      </c>
    </row>
    <row r="9158" spans="1:10" x14ac:dyDescent="0.3">
      <c r="A9158" t="s">
        <v>16416</v>
      </c>
      <c r="B9158" t="s">
        <v>9164</v>
      </c>
      <c r="D9158">
        <v>1</v>
      </c>
      <c r="E9158" t="s">
        <v>111</v>
      </c>
      <c r="F9158" t="s">
        <v>241</v>
      </c>
    </row>
    <row r="9159" spans="1:10" x14ac:dyDescent="0.3">
      <c r="A9159" t="s">
        <v>2261</v>
      </c>
      <c r="B9159" t="s">
        <v>14725</v>
      </c>
      <c r="D9159">
        <v>8</v>
      </c>
      <c r="E9159" t="s">
        <v>23</v>
      </c>
      <c r="F9159" t="s">
        <v>1003</v>
      </c>
    </row>
    <row r="9160" spans="1:10" x14ac:dyDescent="0.3">
      <c r="A9160" t="s">
        <v>16417</v>
      </c>
      <c r="B9160" t="s">
        <v>841</v>
      </c>
      <c r="D9160">
        <v>1</v>
      </c>
      <c r="E9160" t="s">
        <v>23</v>
      </c>
      <c r="F9160" t="s">
        <v>793</v>
      </c>
    </row>
    <row r="9161" spans="1:10" x14ac:dyDescent="0.3">
      <c r="A9161" t="s">
        <v>16243</v>
      </c>
      <c r="B9161" t="s">
        <v>743</v>
      </c>
      <c r="F9161" t="s">
        <v>743</v>
      </c>
    </row>
    <row r="9162" spans="1:10" x14ac:dyDescent="0.3">
      <c r="A9162" t="s">
        <v>9211</v>
      </c>
      <c r="B9162" t="s">
        <v>16418</v>
      </c>
      <c r="D9162">
        <v>8</v>
      </c>
      <c r="E9162" t="s">
        <v>23</v>
      </c>
      <c r="F9162" t="s">
        <v>497</v>
      </c>
    </row>
    <row r="9163" spans="1:10" x14ac:dyDescent="0.3">
      <c r="A9163" t="s">
        <v>10196</v>
      </c>
      <c r="B9163" t="s">
        <v>16419</v>
      </c>
      <c r="F9163" t="s">
        <v>16419</v>
      </c>
    </row>
    <row r="9164" spans="1:10" x14ac:dyDescent="0.3">
      <c r="A9164" t="s">
        <v>16420</v>
      </c>
      <c r="B9164" t="s">
        <v>3582</v>
      </c>
      <c r="D9164">
        <v>6</v>
      </c>
      <c r="E9164" t="s">
        <v>23</v>
      </c>
      <c r="F9164" t="s">
        <v>738</v>
      </c>
    </row>
    <row r="9165" spans="1:10" x14ac:dyDescent="0.3">
      <c r="A9165" t="s">
        <v>15520</v>
      </c>
      <c r="B9165" t="s">
        <v>16421</v>
      </c>
      <c r="D9165">
        <v>0.5</v>
      </c>
      <c r="E9165" t="s">
        <v>23</v>
      </c>
      <c r="F9165" t="s">
        <v>7327</v>
      </c>
    </row>
    <row r="9166" spans="1:10" x14ac:dyDescent="0.3">
      <c r="A9166" t="s">
        <v>3819</v>
      </c>
      <c r="B9166" t="s">
        <v>16422</v>
      </c>
      <c r="D9166">
        <v>100</v>
      </c>
      <c r="E9166" t="s">
        <v>29</v>
      </c>
      <c r="F9166" t="s">
        <v>262</v>
      </c>
    </row>
    <row r="9167" spans="1:10" x14ac:dyDescent="0.3">
      <c r="A9167" t="s">
        <v>583</v>
      </c>
      <c r="B9167" t="s">
        <v>16423</v>
      </c>
      <c r="D9167">
        <v>1</v>
      </c>
      <c r="E9167" t="s">
        <v>11</v>
      </c>
      <c r="F9167" t="s">
        <v>16424</v>
      </c>
    </row>
    <row r="9168" spans="1:10" x14ac:dyDescent="0.3">
      <c r="A9168" t="s">
        <v>7675</v>
      </c>
      <c r="B9168" t="s">
        <v>16425</v>
      </c>
      <c r="D9168">
        <v>0.75</v>
      </c>
      <c r="E9168" t="s">
        <v>37</v>
      </c>
      <c r="F9168" t="s">
        <v>16426</v>
      </c>
      <c r="J9168" t="s">
        <v>16427</v>
      </c>
    </row>
    <row r="9169" spans="1:10" x14ac:dyDescent="0.3">
      <c r="A9169" t="s">
        <v>16428</v>
      </c>
      <c r="B9169" t="s">
        <v>4919</v>
      </c>
      <c r="D9169">
        <v>0.5</v>
      </c>
      <c r="E9169" t="s">
        <v>23</v>
      </c>
      <c r="F9169" t="s">
        <v>30</v>
      </c>
    </row>
    <row r="9170" spans="1:10" x14ac:dyDescent="0.3">
      <c r="A9170" t="s">
        <v>16429</v>
      </c>
      <c r="B9170" t="s">
        <v>16430</v>
      </c>
      <c r="D9170">
        <v>2</v>
      </c>
      <c r="E9170" t="s">
        <v>91</v>
      </c>
      <c r="F9170" t="s">
        <v>793</v>
      </c>
    </row>
    <row r="9171" spans="1:10" x14ac:dyDescent="0.3">
      <c r="A9171" t="s">
        <v>1603</v>
      </c>
      <c r="B9171" t="s">
        <v>780</v>
      </c>
      <c r="D9171">
        <v>2</v>
      </c>
      <c r="E9171" t="s">
        <v>23</v>
      </c>
      <c r="F9171" t="s">
        <v>781</v>
      </c>
      <c r="J9171" t="s">
        <v>289</v>
      </c>
    </row>
    <row r="9172" spans="1:10" x14ac:dyDescent="0.3">
      <c r="A9172" t="s">
        <v>296</v>
      </c>
      <c r="B9172" t="s">
        <v>1539</v>
      </c>
      <c r="D9172">
        <v>1</v>
      </c>
      <c r="E9172" t="s">
        <v>23</v>
      </c>
      <c r="F9172" t="s">
        <v>738</v>
      </c>
    </row>
    <row r="9173" spans="1:10" x14ac:dyDescent="0.3">
      <c r="A9173" t="s">
        <v>16431</v>
      </c>
      <c r="B9173" t="s">
        <v>388</v>
      </c>
      <c r="D9173">
        <v>0.5</v>
      </c>
      <c r="E9173" t="s">
        <v>23</v>
      </c>
      <c r="F9173" t="s">
        <v>331</v>
      </c>
    </row>
    <row r="9174" spans="1:10" x14ac:dyDescent="0.3">
      <c r="A9174" t="s">
        <v>2619</v>
      </c>
      <c r="B9174" t="s">
        <v>2844</v>
      </c>
      <c r="D9174">
        <v>25</v>
      </c>
      <c r="E9174" t="s">
        <v>29</v>
      </c>
      <c r="F9174" t="s">
        <v>183</v>
      </c>
    </row>
    <row r="9175" spans="1:10" x14ac:dyDescent="0.3">
      <c r="A9175" t="s">
        <v>1134</v>
      </c>
      <c r="B9175" t="s">
        <v>1959</v>
      </c>
      <c r="D9175">
        <v>1</v>
      </c>
      <c r="E9175" t="s">
        <v>18</v>
      </c>
      <c r="F9175" t="s">
        <v>1223</v>
      </c>
    </row>
    <row r="9176" spans="1:10" x14ac:dyDescent="0.3">
      <c r="A9176" t="s">
        <v>9165</v>
      </c>
      <c r="B9176" t="s">
        <v>16432</v>
      </c>
      <c r="D9176">
        <v>0.25</v>
      </c>
      <c r="E9176" t="s">
        <v>37</v>
      </c>
      <c r="F9176" t="s">
        <v>7646</v>
      </c>
    </row>
    <row r="9177" spans="1:10" x14ac:dyDescent="0.3">
      <c r="A9177" t="s">
        <v>16433</v>
      </c>
      <c r="B9177" t="s">
        <v>8752</v>
      </c>
      <c r="D9177">
        <v>0.75</v>
      </c>
      <c r="E9177" t="s">
        <v>23</v>
      </c>
      <c r="F9177" t="s">
        <v>1328</v>
      </c>
    </row>
    <row r="9178" spans="1:10" x14ac:dyDescent="0.3">
      <c r="A9178" t="s">
        <v>16434</v>
      </c>
      <c r="B9178" t="s">
        <v>923</v>
      </c>
      <c r="D9178">
        <v>1.5</v>
      </c>
      <c r="E9178" t="s">
        <v>23</v>
      </c>
      <c r="F9178" t="s">
        <v>233</v>
      </c>
    </row>
    <row r="9179" spans="1:10" x14ac:dyDescent="0.3">
      <c r="A9179" t="s">
        <v>16435</v>
      </c>
      <c r="B9179" t="s">
        <v>16436</v>
      </c>
      <c r="D9179">
        <v>1</v>
      </c>
      <c r="E9179" t="s">
        <v>60</v>
      </c>
      <c r="F9179" t="s">
        <v>16437</v>
      </c>
      <c r="J9179" t="s">
        <v>289</v>
      </c>
    </row>
    <row r="9180" spans="1:10" x14ac:dyDescent="0.3">
      <c r="A9180" t="s">
        <v>777</v>
      </c>
      <c r="B9180" t="s">
        <v>6233</v>
      </c>
      <c r="D9180">
        <v>2</v>
      </c>
      <c r="E9180" t="s">
        <v>23</v>
      </c>
      <c r="F9180" t="s">
        <v>9662</v>
      </c>
      <c r="J9180" t="s">
        <v>289</v>
      </c>
    </row>
    <row r="9181" spans="1:10" x14ac:dyDescent="0.3">
      <c r="A9181" t="s">
        <v>16438</v>
      </c>
      <c r="B9181" t="s">
        <v>80</v>
      </c>
      <c r="D9181">
        <v>0.5</v>
      </c>
      <c r="E9181" t="s">
        <v>37</v>
      </c>
      <c r="F9181" t="s">
        <v>81</v>
      </c>
    </row>
    <row r="9182" spans="1:10" x14ac:dyDescent="0.3">
      <c r="A9182" t="s">
        <v>16439</v>
      </c>
      <c r="B9182" t="s">
        <v>16440</v>
      </c>
      <c r="D9182">
        <v>8</v>
      </c>
      <c r="E9182" t="s">
        <v>23</v>
      </c>
      <c r="F9182" t="s">
        <v>75</v>
      </c>
    </row>
    <row r="9183" spans="1:10" x14ac:dyDescent="0.3">
      <c r="A9183" t="s">
        <v>16441</v>
      </c>
      <c r="B9183" t="s">
        <v>16442</v>
      </c>
      <c r="D9183">
        <v>3</v>
      </c>
      <c r="E9183" t="s">
        <v>4110</v>
      </c>
      <c r="F9183" t="s">
        <v>16443</v>
      </c>
      <c r="J9183" t="s">
        <v>16444</v>
      </c>
    </row>
    <row r="9184" spans="1:10" x14ac:dyDescent="0.3">
      <c r="A9184" t="s">
        <v>4991</v>
      </c>
      <c r="B9184" t="s">
        <v>16445</v>
      </c>
      <c r="D9184">
        <v>5</v>
      </c>
      <c r="F9184" t="s">
        <v>16446</v>
      </c>
      <c r="G9184" t="s">
        <v>908</v>
      </c>
      <c r="J9184" t="s">
        <v>289</v>
      </c>
    </row>
    <row r="9185" spans="1:10" x14ac:dyDescent="0.3">
      <c r="A9185" t="s">
        <v>1580</v>
      </c>
      <c r="B9185" t="s">
        <v>16447</v>
      </c>
      <c r="D9185">
        <v>2</v>
      </c>
      <c r="E9185" t="s">
        <v>23</v>
      </c>
      <c r="F9185" t="s">
        <v>16448</v>
      </c>
    </row>
    <row r="9186" spans="1:10" x14ac:dyDescent="0.3">
      <c r="A9186" t="s">
        <v>7525</v>
      </c>
      <c r="B9186" t="s">
        <v>16449</v>
      </c>
      <c r="D9186">
        <v>2</v>
      </c>
      <c r="E9186" t="s">
        <v>23</v>
      </c>
      <c r="F9186" t="s">
        <v>399</v>
      </c>
    </row>
    <row r="9187" spans="1:10" x14ac:dyDescent="0.3">
      <c r="A9187" t="s">
        <v>16450</v>
      </c>
      <c r="B9187" t="s">
        <v>868</v>
      </c>
      <c r="D9187">
        <v>1</v>
      </c>
      <c r="E9187" t="s">
        <v>23</v>
      </c>
      <c r="F9187" t="s">
        <v>399</v>
      </c>
    </row>
    <row r="9188" spans="1:10" x14ac:dyDescent="0.3">
      <c r="A9188" t="s">
        <v>16451</v>
      </c>
      <c r="B9188" t="s">
        <v>2262</v>
      </c>
      <c r="D9188">
        <v>4</v>
      </c>
      <c r="E9188" t="s">
        <v>23</v>
      </c>
      <c r="F9188" t="s">
        <v>793</v>
      </c>
    </row>
    <row r="9189" spans="1:10" x14ac:dyDescent="0.3">
      <c r="A9189" t="s">
        <v>6413</v>
      </c>
      <c r="B9189" t="s">
        <v>16452</v>
      </c>
      <c r="D9189">
        <v>15</v>
      </c>
      <c r="E9189" t="s">
        <v>29</v>
      </c>
      <c r="F9189" t="s">
        <v>38</v>
      </c>
      <c r="H9189" t="s">
        <v>814</v>
      </c>
    </row>
    <row r="9190" spans="1:10" x14ac:dyDescent="0.3">
      <c r="A9190" t="s">
        <v>16453</v>
      </c>
      <c r="B9190" t="s">
        <v>16454</v>
      </c>
      <c r="D9190">
        <v>2</v>
      </c>
      <c r="E9190" t="s">
        <v>345</v>
      </c>
      <c r="F9190" t="s">
        <v>16455</v>
      </c>
      <c r="J9190" t="s">
        <v>1931</v>
      </c>
    </row>
    <row r="9191" spans="1:10" x14ac:dyDescent="0.3">
      <c r="A9191" t="s">
        <v>12113</v>
      </c>
      <c r="B9191" t="s">
        <v>16456</v>
      </c>
      <c r="D9191">
        <v>2</v>
      </c>
      <c r="E9191" t="s">
        <v>23</v>
      </c>
      <c r="F9191" t="s">
        <v>781</v>
      </c>
    </row>
    <row r="9192" spans="1:10" x14ac:dyDescent="0.3">
      <c r="A9192" t="s">
        <v>16457</v>
      </c>
      <c r="B9192" t="s">
        <v>16458</v>
      </c>
      <c r="D9192">
        <v>1</v>
      </c>
      <c r="E9192" t="s">
        <v>11</v>
      </c>
      <c r="F9192" t="s">
        <v>7684</v>
      </c>
    </row>
    <row r="9193" spans="1:10" x14ac:dyDescent="0.3">
      <c r="A9193" t="s">
        <v>6148</v>
      </c>
      <c r="B9193" t="s">
        <v>3085</v>
      </c>
      <c r="D9193">
        <v>1</v>
      </c>
      <c r="E9193" t="s">
        <v>23</v>
      </c>
      <c r="F9193" t="s">
        <v>1059</v>
      </c>
    </row>
    <row r="9194" spans="1:10" x14ac:dyDescent="0.3">
      <c r="A9194" t="s">
        <v>16459</v>
      </c>
      <c r="B9194" t="s">
        <v>16460</v>
      </c>
      <c r="D9194">
        <v>50</v>
      </c>
      <c r="E9194" t="s">
        <v>29</v>
      </c>
      <c r="F9194" t="s">
        <v>16461</v>
      </c>
    </row>
    <row r="9195" spans="1:10" x14ac:dyDescent="0.3">
      <c r="A9195" t="s">
        <v>8224</v>
      </c>
      <c r="B9195" t="s">
        <v>2674</v>
      </c>
      <c r="D9195">
        <v>0.5</v>
      </c>
      <c r="E9195" t="s">
        <v>11</v>
      </c>
      <c r="F9195" t="s">
        <v>2675</v>
      </c>
    </row>
    <row r="9196" spans="1:10" x14ac:dyDescent="0.3">
      <c r="A9196" t="s">
        <v>2438</v>
      </c>
      <c r="B9196" t="s">
        <v>15103</v>
      </c>
      <c r="D9196">
        <v>2</v>
      </c>
      <c r="E9196" t="s">
        <v>23</v>
      </c>
      <c r="F9196" t="s">
        <v>292</v>
      </c>
    </row>
    <row r="9197" spans="1:10" x14ac:dyDescent="0.3">
      <c r="A9197" t="s">
        <v>16462</v>
      </c>
      <c r="B9197" t="s">
        <v>1303</v>
      </c>
      <c r="D9197">
        <v>2</v>
      </c>
      <c r="E9197" t="s">
        <v>227</v>
      </c>
      <c r="F9197" t="s">
        <v>581</v>
      </c>
    </row>
    <row r="9198" spans="1:10" x14ac:dyDescent="0.3">
      <c r="A9198" t="s">
        <v>16463</v>
      </c>
      <c r="B9198" t="s">
        <v>8969</v>
      </c>
      <c r="D9198">
        <v>3</v>
      </c>
      <c r="F9198" t="s">
        <v>8970</v>
      </c>
      <c r="J9198" t="s">
        <v>248</v>
      </c>
    </row>
    <row r="9199" spans="1:10" x14ac:dyDescent="0.3">
      <c r="A9199" t="s">
        <v>16464</v>
      </c>
      <c r="B9199" t="s">
        <v>16465</v>
      </c>
      <c r="D9199">
        <v>2</v>
      </c>
      <c r="E9199" t="s">
        <v>23</v>
      </c>
      <c r="F9199" t="s">
        <v>741</v>
      </c>
    </row>
    <row r="9200" spans="1:10" x14ac:dyDescent="0.3">
      <c r="A9200" t="s">
        <v>16466</v>
      </c>
      <c r="B9200" t="s">
        <v>16467</v>
      </c>
      <c r="D9200">
        <v>1</v>
      </c>
      <c r="E9200" t="s">
        <v>426</v>
      </c>
      <c r="F9200" t="s">
        <v>716</v>
      </c>
      <c r="J9200" t="s">
        <v>289</v>
      </c>
    </row>
    <row r="9201" spans="1:10" x14ac:dyDescent="0.3">
      <c r="A9201" t="s">
        <v>5208</v>
      </c>
      <c r="B9201" t="s">
        <v>8110</v>
      </c>
      <c r="D9201">
        <v>0.5</v>
      </c>
      <c r="E9201" t="s">
        <v>37</v>
      </c>
      <c r="F9201" t="s">
        <v>38</v>
      </c>
      <c r="G9201" t="s">
        <v>167</v>
      </c>
      <c r="H9201" t="s">
        <v>168</v>
      </c>
    </row>
    <row r="9202" spans="1:10" x14ac:dyDescent="0.3">
      <c r="A9202" t="s">
        <v>14640</v>
      </c>
      <c r="B9202" t="s">
        <v>16468</v>
      </c>
      <c r="D9202">
        <v>1</v>
      </c>
      <c r="F9202" t="s">
        <v>237</v>
      </c>
      <c r="G9202" t="s">
        <v>16469</v>
      </c>
      <c r="J9202" t="s">
        <v>4954</v>
      </c>
    </row>
    <row r="9203" spans="1:10" x14ac:dyDescent="0.3">
      <c r="A9203" t="s">
        <v>4750</v>
      </c>
      <c r="B9203" t="s">
        <v>16470</v>
      </c>
      <c r="D9203">
        <v>1</v>
      </c>
      <c r="E9203" t="s">
        <v>12290</v>
      </c>
      <c r="F9203" t="s">
        <v>16471</v>
      </c>
      <c r="I9203" t="s">
        <v>3945</v>
      </c>
      <c r="J9203" t="s">
        <v>16472</v>
      </c>
    </row>
    <row r="9204" spans="1:10" x14ac:dyDescent="0.3">
      <c r="A9204" t="s">
        <v>7780</v>
      </c>
      <c r="B9204" t="s">
        <v>2934</v>
      </c>
      <c r="D9204">
        <v>1</v>
      </c>
      <c r="E9204" t="s">
        <v>23</v>
      </c>
      <c r="F9204" t="s">
        <v>1328</v>
      </c>
    </row>
    <row r="9205" spans="1:10" x14ac:dyDescent="0.3">
      <c r="A9205" t="s">
        <v>16473</v>
      </c>
      <c r="B9205" t="s">
        <v>16474</v>
      </c>
      <c r="D9205">
        <v>0.5</v>
      </c>
      <c r="E9205" t="s">
        <v>37</v>
      </c>
      <c r="F9205" t="s">
        <v>5010</v>
      </c>
    </row>
    <row r="9206" spans="1:10" x14ac:dyDescent="0.3">
      <c r="A9206" t="s">
        <v>16018</v>
      </c>
      <c r="B9206" t="s">
        <v>14469</v>
      </c>
      <c r="D9206">
        <v>1.5</v>
      </c>
      <c r="E9206" t="s">
        <v>23</v>
      </c>
      <c r="F9206" t="s">
        <v>2446</v>
      </c>
    </row>
    <row r="9207" spans="1:10" x14ac:dyDescent="0.3">
      <c r="A9207" t="s">
        <v>2571</v>
      </c>
      <c r="B9207" t="s">
        <v>16475</v>
      </c>
      <c r="D9207">
        <v>1</v>
      </c>
      <c r="E9207" t="s">
        <v>23</v>
      </c>
      <c r="F9207" t="s">
        <v>487</v>
      </c>
      <c r="J9207" t="s">
        <v>16476</v>
      </c>
    </row>
    <row r="9208" spans="1:10" x14ac:dyDescent="0.3">
      <c r="A9208" t="s">
        <v>16477</v>
      </c>
      <c r="B9208" t="s">
        <v>16478</v>
      </c>
      <c r="D9208">
        <v>0.75</v>
      </c>
      <c r="E9208" t="s">
        <v>11</v>
      </c>
      <c r="F9208" t="s">
        <v>1126</v>
      </c>
    </row>
    <row r="9209" spans="1:10" x14ac:dyDescent="0.3">
      <c r="A9209" t="s">
        <v>7472</v>
      </c>
      <c r="B9209" t="s">
        <v>16479</v>
      </c>
      <c r="D9209">
        <v>1</v>
      </c>
      <c r="E9209" t="s">
        <v>2689</v>
      </c>
      <c r="F9209" t="s">
        <v>997</v>
      </c>
    </row>
    <row r="9210" spans="1:10" x14ac:dyDescent="0.3">
      <c r="A9210" t="s">
        <v>16480</v>
      </c>
      <c r="B9210" t="s">
        <v>16481</v>
      </c>
      <c r="D9210">
        <v>1</v>
      </c>
      <c r="E9210" t="s">
        <v>37</v>
      </c>
      <c r="F9210" t="s">
        <v>2599</v>
      </c>
      <c r="J9210" t="s">
        <v>16482</v>
      </c>
    </row>
    <row r="9211" spans="1:10" x14ac:dyDescent="0.3">
      <c r="A9211" t="s">
        <v>13643</v>
      </c>
      <c r="B9211" t="s">
        <v>16483</v>
      </c>
      <c r="D9211">
        <v>2</v>
      </c>
      <c r="E9211" t="s">
        <v>835</v>
      </c>
      <c r="F9211" t="s">
        <v>16484</v>
      </c>
    </row>
    <row r="9212" spans="1:10" x14ac:dyDescent="0.3">
      <c r="A9212" t="s">
        <v>544</v>
      </c>
      <c r="B9212" t="s">
        <v>10950</v>
      </c>
      <c r="D9212">
        <v>6</v>
      </c>
      <c r="F9212" t="s">
        <v>538</v>
      </c>
      <c r="J9212" t="s">
        <v>10951</v>
      </c>
    </row>
    <row r="9213" spans="1:10" x14ac:dyDescent="0.3">
      <c r="A9213" t="s">
        <v>9492</v>
      </c>
      <c r="B9213" t="s">
        <v>16485</v>
      </c>
      <c r="D9213">
        <v>1</v>
      </c>
      <c r="E9213" t="s">
        <v>11</v>
      </c>
      <c r="F9213" t="s">
        <v>16486</v>
      </c>
    </row>
    <row r="9214" spans="1:10" x14ac:dyDescent="0.3">
      <c r="A9214" t="s">
        <v>16487</v>
      </c>
      <c r="B9214" t="s">
        <v>16488</v>
      </c>
      <c r="D9214">
        <v>0.25</v>
      </c>
      <c r="E9214" t="s">
        <v>37</v>
      </c>
      <c r="F9214" t="s">
        <v>38</v>
      </c>
      <c r="G9214" t="s">
        <v>167</v>
      </c>
      <c r="H9214" t="s">
        <v>168</v>
      </c>
      <c r="J9214" t="s">
        <v>325</v>
      </c>
    </row>
    <row r="9215" spans="1:10" x14ac:dyDescent="0.3">
      <c r="A9215" t="s">
        <v>16489</v>
      </c>
      <c r="B9215" t="s">
        <v>876</v>
      </c>
      <c r="D9215">
        <v>2</v>
      </c>
      <c r="E9215" t="s">
        <v>345</v>
      </c>
      <c r="F9215" t="s">
        <v>877</v>
      </c>
    </row>
    <row r="9216" spans="1:10" x14ac:dyDescent="0.3">
      <c r="A9216" t="s">
        <v>16490</v>
      </c>
      <c r="B9216" t="s">
        <v>1235</v>
      </c>
      <c r="D9216">
        <v>0.5</v>
      </c>
      <c r="E9216" t="s">
        <v>11</v>
      </c>
      <c r="F9216" t="s">
        <v>88</v>
      </c>
    </row>
    <row r="9217" spans="1:10" x14ac:dyDescent="0.3">
      <c r="A9217" t="s">
        <v>3918</v>
      </c>
      <c r="B9217" t="s">
        <v>16491</v>
      </c>
      <c r="F9217" t="s">
        <v>16491</v>
      </c>
    </row>
    <row r="9218" spans="1:10" x14ac:dyDescent="0.3">
      <c r="A9218" t="s">
        <v>10828</v>
      </c>
      <c r="B9218" t="s">
        <v>16492</v>
      </c>
      <c r="D9218">
        <v>0.25</v>
      </c>
      <c r="E9218" t="s">
        <v>23</v>
      </c>
      <c r="F9218" t="s">
        <v>16493</v>
      </c>
    </row>
    <row r="9219" spans="1:10" x14ac:dyDescent="0.3">
      <c r="A9219" t="s">
        <v>16494</v>
      </c>
      <c r="B9219" t="s">
        <v>16495</v>
      </c>
      <c r="E9219" t="s">
        <v>435</v>
      </c>
      <c r="F9219" t="s">
        <v>16496</v>
      </c>
      <c r="J9219" t="s">
        <v>4230</v>
      </c>
    </row>
    <row r="9220" spans="1:10" x14ac:dyDescent="0.3">
      <c r="A9220" t="s">
        <v>4611</v>
      </c>
      <c r="B9220" t="s">
        <v>1179</v>
      </c>
      <c r="D9220">
        <v>1</v>
      </c>
      <c r="E9220" t="s">
        <v>23</v>
      </c>
      <c r="F9220" t="s">
        <v>233</v>
      </c>
    </row>
    <row r="9221" spans="1:10" x14ac:dyDescent="0.3">
      <c r="A9221" t="s">
        <v>16497</v>
      </c>
      <c r="B9221" t="s">
        <v>16498</v>
      </c>
      <c r="D9221">
        <v>3</v>
      </c>
      <c r="E9221" t="s">
        <v>71</v>
      </c>
      <c r="F9221" t="s">
        <v>3870</v>
      </c>
      <c r="J9221" t="e">
        <f>- I used Bols</f>
        <v>#NAME?</v>
      </c>
    </row>
    <row r="9222" spans="1:10" x14ac:dyDescent="0.3">
      <c r="A9222" t="s">
        <v>16499</v>
      </c>
      <c r="B9222" t="s">
        <v>16500</v>
      </c>
      <c r="D9222">
        <v>8</v>
      </c>
      <c r="E9222" t="s">
        <v>23</v>
      </c>
      <c r="F9222" t="s">
        <v>444</v>
      </c>
    </row>
    <row r="9223" spans="1:10" x14ac:dyDescent="0.3">
      <c r="A9223" t="s">
        <v>16501</v>
      </c>
      <c r="B9223" t="s">
        <v>16502</v>
      </c>
      <c r="D9223">
        <v>1.5</v>
      </c>
      <c r="E9223" t="s">
        <v>23</v>
      </c>
      <c r="F9223" t="s">
        <v>16503</v>
      </c>
      <c r="J9223" t="s">
        <v>289</v>
      </c>
    </row>
    <row r="9224" spans="1:10" x14ac:dyDescent="0.3">
      <c r="A9224" t="s">
        <v>16504</v>
      </c>
      <c r="B9224" t="s">
        <v>16505</v>
      </c>
      <c r="D9224">
        <v>0.5</v>
      </c>
      <c r="E9224" t="s">
        <v>23</v>
      </c>
      <c r="F9224" t="s">
        <v>16506</v>
      </c>
    </row>
    <row r="9225" spans="1:10" x14ac:dyDescent="0.3">
      <c r="A9225" t="s">
        <v>16507</v>
      </c>
      <c r="B9225" t="s">
        <v>5098</v>
      </c>
      <c r="D9225">
        <v>1</v>
      </c>
      <c r="E9225" t="s">
        <v>469</v>
      </c>
      <c r="F9225" t="s">
        <v>1097</v>
      </c>
    </row>
    <row r="9226" spans="1:10" x14ac:dyDescent="0.3">
      <c r="A9226" t="s">
        <v>4755</v>
      </c>
      <c r="B9226" t="s">
        <v>16508</v>
      </c>
      <c r="F9226" t="s">
        <v>16509</v>
      </c>
      <c r="J9226" t="s">
        <v>16510</v>
      </c>
    </row>
    <row r="9227" spans="1:10" x14ac:dyDescent="0.3">
      <c r="A9227" t="s">
        <v>5337</v>
      </c>
      <c r="B9227" t="s">
        <v>16511</v>
      </c>
      <c r="D9227">
        <v>1.5</v>
      </c>
      <c r="E9227" t="s">
        <v>23</v>
      </c>
      <c r="F9227" t="s">
        <v>16512</v>
      </c>
    </row>
    <row r="9228" spans="1:10" x14ac:dyDescent="0.3">
      <c r="A9228" t="s">
        <v>14082</v>
      </c>
      <c r="B9228" t="s">
        <v>16513</v>
      </c>
      <c r="D9228">
        <v>0.75</v>
      </c>
      <c r="E9228" t="s">
        <v>284</v>
      </c>
      <c r="F9228" t="s">
        <v>16514</v>
      </c>
    </row>
    <row r="9229" spans="1:10" x14ac:dyDescent="0.3">
      <c r="A9229" t="s">
        <v>16515</v>
      </c>
      <c r="B9229" t="s">
        <v>16516</v>
      </c>
      <c r="D9229">
        <v>1.67</v>
      </c>
      <c r="E9229" t="s">
        <v>23</v>
      </c>
      <c r="F9229" t="s">
        <v>847</v>
      </c>
    </row>
    <row r="9230" spans="1:10" x14ac:dyDescent="0.3">
      <c r="A9230" t="s">
        <v>16517</v>
      </c>
      <c r="B9230" t="s">
        <v>8862</v>
      </c>
      <c r="D9230">
        <v>1</v>
      </c>
      <c r="E9230" t="s">
        <v>1785</v>
      </c>
      <c r="F9230" t="s">
        <v>712</v>
      </c>
    </row>
    <row r="9231" spans="1:10" x14ac:dyDescent="0.3">
      <c r="A9231" t="s">
        <v>16518</v>
      </c>
      <c r="B9231" t="s">
        <v>8401</v>
      </c>
      <c r="D9231">
        <v>0.75</v>
      </c>
      <c r="E9231" t="s">
        <v>23</v>
      </c>
      <c r="F9231" t="s">
        <v>349</v>
      </c>
    </row>
    <row r="9232" spans="1:10" x14ac:dyDescent="0.3">
      <c r="A9232" t="s">
        <v>16519</v>
      </c>
      <c r="B9232" t="s">
        <v>8917</v>
      </c>
      <c r="D9232">
        <v>1</v>
      </c>
      <c r="E9232" t="s">
        <v>11</v>
      </c>
      <c r="F9232" t="s">
        <v>8918</v>
      </c>
    </row>
    <row r="9233" spans="1:10" x14ac:dyDescent="0.3">
      <c r="A9233" t="s">
        <v>8912</v>
      </c>
      <c r="B9233" t="s">
        <v>1609</v>
      </c>
      <c r="E9233" t="s">
        <v>151</v>
      </c>
      <c r="F9233" t="s">
        <v>1568</v>
      </c>
    </row>
    <row r="9234" spans="1:10" x14ac:dyDescent="0.3">
      <c r="A9234" t="s">
        <v>7773</v>
      </c>
      <c r="B9234" t="s">
        <v>16520</v>
      </c>
      <c r="D9234">
        <v>1</v>
      </c>
      <c r="F9234" t="s">
        <v>16521</v>
      </c>
      <c r="G9234" t="s">
        <v>1571</v>
      </c>
      <c r="J9234" t="s">
        <v>4954</v>
      </c>
    </row>
    <row r="9235" spans="1:10" x14ac:dyDescent="0.3">
      <c r="A9235" t="s">
        <v>5955</v>
      </c>
      <c r="B9235" t="s">
        <v>16522</v>
      </c>
      <c r="D9235">
        <v>0.75</v>
      </c>
      <c r="E9235" t="s">
        <v>284</v>
      </c>
      <c r="F9235" t="s">
        <v>16523</v>
      </c>
    </row>
    <row r="9236" spans="1:10" x14ac:dyDescent="0.3">
      <c r="A9236" t="s">
        <v>16524</v>
      </c>
      <c r="B9236" t="s">
        <v>16525</v>
      </c>
      <c r="D9236">
        <v>2</v>
      </c>
      <c r="E9236" t="s">
        <v>345</v>
      </c>
      <c r="F9236" t="s">
        <v>16526</v>
      </c>
      <c r="J9236" t="s">
        <v>16527</v>
      </c>
    </row>
    <row r="9237" spans="1:10" x14ac:dyDescent="0.3">
      <c r="A9237" t="s">
        <v>16528</v>
      </c>
      <c r="B9237" t="s">
        <v>8170</v>
      </c>
      <c r="D9237">
        <v>4</v>
      </c>
      <c r="E9237" t="s">
        <v>23</v>
      </c>
      <c r="F9237" t="s">
        <v>738</v>
      </c>
    </row>
    <row r="9238" spans="1:10" x14ac:dyDescent="0.3">
      <c r="A9238" t="s">
        <v>1756</v>
      </c>
      <c r="B9238" t="s">
        <v>16529</v>
      </c>
      <c r="D9238">
        <v>8</v>
      </c>
      <c r="E9238" t="s">
        <v>71</v>
      </c>
      <c r="F9238" t="s">
        <v>16530</v>
      </c>
    </row>
    <row r="9239" spans="1:10" x14ac:dyDescent="0.3">
      <c r="A9239" t="s">
        <v>14429</v>
      </c>
      <c r="B9239" t="s">
        <v>16531</v>
      </c>
      <c r="D9239">
        <v>3</v>
      </c>
      <c r="E9239" t="s">
        <v>23</v>
      </c>
      <c r="F9239" t="s">
        <v>57</v>
      </c>
    </row>
    <row r="9240" spans="1:10" x14ac:dyDescent="0.3">
      <c r="A9240" t="s">
        <v>16532</v>
      </c>
      <c r="B9240" t="s">
        <v>16533</v>
      </c>
      <c r="D9240">
        <v>1.5</v>
      </c>
      <c r="E9240" t="s">
        <v>176</v>
      </c>
      <c r="F9240" t="s">
        <v>6683</v>
      </c>
    </row>
    <row r="9241" spans="1:10" x14ac:dyDescent="0.3">
      <c r="A9241" t="s">
        <v>16534</v>
      </c>
      <c r="B9241" t="s">
        <v>10148</v>
      </c>
      <c r="D9241">
        <v>2</v>
      </c>
      <c r="E9241" t="s">
        <v>23</v>
      </c>
      <c r="F9241" t="s">
        <v>374</v>
      </c>
    </row>
    <row r="9242" spans="1:10" x14ac:dyDescent="0.3">
      <c r="A9242" t="s">
        <v>16535</v>
      </c>
      <c r="B9242" t="s">
        <v>16536</v>
      </c>
      <c r="F9242" t="s">
        <v>16537</v>
      </c>
      <c r="J9242" t="s">
        <v>164</v>
      </c>
    </row>
    <row r="9243" spans="1:10" x14ac:dyDescent="0.3">
      <c r="A9243" t="s">
        <v>6838</v>
      </c>
      <c r="B9243" t="s">
        <v>16538</v>
      </c>
      <c r="D9243">
        <v>1</v>
      </c>
      <c r="E9243" t="s">
        <v>3323</v>
      </c>
      <c r="F9243" t="s">
        <v>115</v>
      </c>
      <c r="J9243" t="s">
        <v>289</v>
      </c>
    </row>
    <row r="9244" spans="1:10" x14ac:dyDescent="0.3">
      <c r="A9244" t="s">
        <v>9920</v>
      </c>
      <c r="B9244" t="s">
        <v>16539</v>
      </c>
      <c r="D9244" t="s">
        <v>16540</v>
      </c>
      <c r="F9244" t="s">
        <v>997</v>
      </c>
      <c r="J9244" t="s">
        <v>289</v>
      </c>
    </row>
    <row r="9245" spans="1:10" x14ac:dyDescent="0.3">
      <c r="A9245" t="s">
        <v>2611</v>
      </c>
      <c r="B9245" t="s">
        <v>15411</v>
      </c>
      <c r="D9245">
        <v>1</v>
      </c>
      <c r="E9245" t="s">
        <v>37</v>
      </c>
      <c r="F9245" t="s">
        <v>220</v>
      </c>
    </row>
    <row r="9246" spans="1:10" x14ac:dyDescent="0.3">
      <c r="A9246" t="s">
        <v>10392</v>
      </c>
      <c r="B9246" t="s">
        <v>16541</v>
      </c>
      <c r="D9246">
        <v>1</v>
      </c>
      <c r="E9246" t="s">
        <v>368</v>
      </c>
      <c r="F9246" t="s">
        <v>16542</v>
      </c>
      <c r="J9246" t="s">
        <v>16543</v>
      </c>
    </row>
    <row r="9247" spans="1:10" x14ac:dyDescent="0.3">
      <c r="A9247" t="s">
        <v>16544</v>
      </c>
      <c r="B9247" t="s">
        <v>14337</v>
      </c>
      <c r="D9247">
        <v>2</v>
      </c>
      <c r="E9247" t="s">
        <v>1338</v>
      </c>
      <c r="F9247" t="s">
        <v>190</v>
      </c>
    </row>
    <row r="9248" spans="1:10" x14ac:dyDescent="0.3">
      <c r="A9248" t="s">
        <v>7655</v>
      </c>
      <c r="B9248" t="s">
        <v>3134</v>
      </c>
      <c r="D9248">
        <v>2</v>
      </c>
      <c r="E9248" t="s">
        <v>23</v>
      </c>
      <c r="F9248" t="s">
        <v>1209</v>
      </c>
    </row>
    <row r="9249" spans="1:10" x14ac:dyDescent="0.3">
      <c r="A9249" t="s">
        <v>9177</v>
      </c>
      <c r="B9249" t="s">
        <v>879</v>
      </c>
      <c r="D9249">
        <v>1</v>
      </c>
      <c r="E9249" t="s">
        <v>23</v>
      </c>
      <c r="F9249" t="s">
        <v>880</v>
      </c>
    </row>
    <row r="9250" spans="1:10" x14ac:dyDescent="0.3">
      <c r="A9250" t="s">
        <v>3871</v>
      </c>
      <c r="B9250" t="s">
        <v>16545</v>
      </c>
      <c r="D9250">
        <v>1</v>
      </c>
      <c r="E9250" t="s">
        <v>23</v>
      </c>
      <c r="F9250" t="s">
        <v>16546</v>
      </c>
    </row>
    <row r="9251" spans="1:10" x14ac:dyDescent="0.3">
      <c r="A9251" t="s">
        <v>16547</v>
      </c>
      <c r="B9251" t="s">
        <v>16548</v>
      </c>
      <c r="D9251">
        <v>3</v>
      </c>
      <c r="E9251" t="s">
        <v>835</v>
      </c>
      <c r="F9251" t="s">
        <v>16549</v>
      </c>
    </row>
    <row r="9252" spans="1:10" x14ac:dyDescent="0.3">
      <c r="A9252" t="s">
        <v>16550</v>
      </c>
      <c r="B9252" t="s">
        <v>4442</v>
      </c>
      <c r="D9252">
        <v>1</v>
      </c>
      <c r="E9252" t="s">
        <v>23</v>
      </c>
      <c r="F9252" t="s">
        <v>30</v>
      </c>
    </row>
    <row r="9253" spans="1:10" x14ac:dyDescent="0.3">
      <c r="A9253" t="s">
        <v>3254</v>
      </c>
      <c r="B9253" t="s">
        <v>1894</v>
      </c>
      <c r="D9253">
        <v>3</v>
      </c>
      <c r="E9253" t="s">
        <v>189</v>
      </c>
      <c r="F9253" t="s">
        <v>1895</v>
      </c>
    </row>
    <row r="9254" spans="1:10" x14ac:dyDescent="0.3">
      <c r="A9254" t="s">
        <v>16551</v>
      </c>
      <c r="B9254" t="s">
        <v>16552</v>
      </c>
      <c r="D9254">
        <v>1</v>
      </c>
      <c r="E9254" t="s">
        <v>23</v>
      </c>
      <c r="F9254" t="s">
        <v>64</v>
      </c>
    </row>
    <row r="9255" spans="1:10" x14ac:dyDescent="0.3">
      <c r="A9255" t="s">
        <v>16553</v>
      </c>
      <c r="B9255" t="s">
        <v>3263</v>
      </c>
      <c r="D9255">
        <v>0.5</v>
      </c>
      <c r="E9255" t="s">
        <v>23</v>
      </c>
      <c r="F9255" t="s">
        <v>1867</v>
      </c>
    </row>
    <row r="9256" spans="1:10" x14ac:dyDescent="0.3">
      <c r="A9256" t="s">
        <v>16554</v>
      </c>
      <c r="B9256" t="s">
        <v>10300</v>
      </c>
      <c r="D9256">
        <v>75</v>
      </c>
      <c r="E9256" t="s">
        <v>29</v>
      </c>
      <c r="F9256" t="s">
        <v>262</v>
      </c>
    </row>
    <row r="9257" spans="1:10" x14ac:dyDescent="0.3">
      <c r="A9257" t="s">
        <v>11009</v>
      </c>
      <c r="B9257" t="s">
        <v>16555</v>
      </c>
      <c r="D9257">
        <v>1</v>
      </c>
      <c r="E9257" t="s">
        <v>11</v>
      </c>
      <c r="F9257" t="s">
        <v>5448</v>
      </c>
    </row>
    <row r="9258" spans="1:10" x14ac:dyDescent="0.3">
      <c r="A9258" t="s">
        <v>2959</v>
      </c>
      <c r="B9258" t="s">
        <v>16556</v>
      </c>
      <c r="D9258">
        <v>1</v>
      </c>
      <c r="E9258" t="s">
        <v>16557</v>
      </c>
      <c r="F9258" t="s">
        <v>7819</v>
      </c>
      <c r="J9258" t="s">
        <v>289</v>
      </c>
    </row>
    <row r="9259" spans="1:10" x14ac:dyDescent="0.3">
      <c r="A9259" t="s">
        <v>15023</v>
      </c>
      <c r="B9259" t="s">
        <v>16558</v>
      </c>
      <c r="F9259" t="s">
        <v>16559</v>
      </c>
      <c r="J9259" t="s">
        <v>2995</v>
      </c>
    </row>
    <row r="9260" spans="1:10" x14ac:dyDescent="0.3">
      <c r="A9260" t="s">
        <v>16560</v>
      </c>
      <c r="B9260" t="s">
        <v>2138</v>
      </c>
      <c r="F9260" t="s">
        <v>2138</v>
      </c>
    </row>
    <row r="9261" spans="1:10" x14ac:dyDescent="0.3">
      <c r="A9261" t="s">
        <v>5886</v>
      </c>
      <c r="B9261" t="s">
        <v>16561</v>
      </c>
      <c r="F9261" t="s">
        <v>16562</v>
      </c>
      <c r="J9261" t="s">
        <v>164</v>
      </c>
    </row>
    <row r="9262" spans="1:10" x14ac:dyDescent="0.3">
      <c r="A9262" t="s">
        <v>16563</v>
      </c>
      <c r="B9262" t="s">
        <v>825</v>
      </c>
      <c r="F9262" t="s">
        <v>825</v>
      </c>
    </row>
    <row r="9263" spans="1:10" x14ac:dyDescent="0.3">
      <c r="A9263" t="s">
        <v>16564</v>
      </c>
      <c r="B9263" t="s">
        <v>5954</v>
      </c>
      <c r="D9263">
        <v>2</v>
      </c>
      <c r="E9263" t="s">
        <v>23</v>
      </c>
      <c r="F9263" t="s">
        <v>524</v>
      </c>
    </row>
    <row r="9264" spans="1:10" x14ac:dyDescent="0.3">
      <c r="A9264" t="s">
        <v>3385</v>
      </c>
      <c r="B9264" t="s">
        <v>16565</v>
      </c>
      <c r="D9264">
        <v>1</v>
      </c>
      <c r="F9264" t="s">
        <v>16566</v>
      </c>
      <c r="J9264" t="s">
        <v>248</v>
      </c>
    </row>
    <row r="9265" spans="1:8" x14ac:dyDescent="0.3">
      <c r="A9265" t="s">
        <v>7706</v>
      </c>
      <c r="B9265" t="s">
        <v>11548</v>
      </c>
      <c r="D9265">
        <v>1.5</v>
      </c>
      <c r="E9265" t="s">
        <v>345</v>
      </c>
      <c r="F9265" t="s">
        <v>4337</v>
      </c>
    </row>
    <row r="9266" spans="1:8" x14ac:dyDescent="0.3">
      <c r="A9266" t="s">
        <v>16567</v>
      </c>
      <c r="B9266" t="s">
        <v>16568</v>
      </c>
      <c r="D9266">
        <v>0.75</v>
      </c>
      <c r="E9266" t="s">
        <v>23</v>
      </c>
      <c r="F9266" t="s">
        <v>16569</v>
      </c>
    </row>
    <row r="9267" spans="1:8" x14ac:dyDescent="0.3">
      <c r="A9267" t="s">
        <v>13084</v>
      </c>
      <c r="B9267" t="s">
        <v>211</v>
      </c>
      <c r="D9267">
        <v>1</v>
      </c>
      <c r="E9267" t="s">
        <v>11</v>
      </c>
      <c r="F9267" t="s">
        <v>57</v>
      </c>
    </row>
    <row r="9268" spans="1:8" x14ac:dyDescent="0.3">
      <c r="A9268" t="s">
        <v>16570</v>
      </c>
      <c r="B9268" t="s">
        <v>16571</v>
      </c>
      <c r="E9268" t="s">
        <v>33</v>
      </c>
      <c r="F9268" t="s">
        <v>152</v>
      </c>
    </row>
    <row r="9269" spans="1:8" x14ac:dyDescent="0.3">
      <c r="A9269" t="s">
        <v>13280</v>
      </c>
      <c r="B9269" t="s">
        <v>9337</v>
      </c>
      <c r="D9269">
        <v>1</v>
      </c>
      <c r="E9269" t="s">
        <v>23</v>
      </c>
      <c r="F9269" t="s">
        <v>281</v>
      </c>
    </row>
    <row r="9270" spans="1:8" x14ac:dyDescent="0.3">
      <c r="A9270" t="s">
        <v>16572</v>
      </c>
      <c r="B9270" t="s">
        <v>16573</v>
      </c>
      <c r="D9270">
        <v>2</v>
      </c>
      <c r="E9270" t="s">
        <v>2826</v>
      </c>
      <c r="F9270" t="s">
        <v>16574</v>
      </c>
    </row>
    <row r="9271" spans="1:8" x14ac:dyDescent="0.3">
      <c r="A9271" t="s">
        <v>9054</v>
      </c>
      <c r="B9271" t="s">
        <v>16575</v>
      </c>
      <c r="D9271">
        <v>0.75</v>
      </c>
      <c r="F9271" t="s">
        <v>81</v>
      </c>
    </row>
    <row r="9272" spans="1:8" x14ac:dyDescent="0.3">
      <c r="A9272" t="s">
        <v>16576</v>
      </c>
      <c r="B9272" t="s">
        <v>11433</v>
      </c>
      <c r="D9272">
        <v>2</v>
      </c>
      <c r="E9272" t="s">
        <v>1338</v>
      </c>
      <c r="F9272" t="s">
        <v>1043</v>
      </c>
    </row>
    <row r="9273" spans="1:8" x14ac:dyDescent="0.3">
      <c r="A9273" t="s">
        <v>16577</v>
      </c>
      <c r="B9273" t="s">
        <v>16578</v>
      </c>
      <c r="D9273">
        <v>35</v>
      </c>
      <c r="E9273" t="s">
        <v>29</v>
      </c>
      <c r="F9273" t="s">
        <v>16579</v>
      </c>
    </row>
    <row r="9274" spans="1:8" x14ac:dyDescent="0.3">
      <c r="A9274" t="s">
        <v>3644</v>
      </c>
      <c r="B9274" t="s">
        <v>3216</v>
      </c>
      <c r="D9274">
        <v>0.75</v>
      </c>
      <c r="E9274" t="s">
        <v>23</v>
      </c>
      <c r="F9274" t="s">
        <v>38</v>
      </c>
      <c r="H9274" t="s">
        <v>68</v>
      </c>
    </row>
    <row r="9275" spans="1:8" x14ac:dyDescent="0.3">
      <c r="A9275" t="s">
        <v>16580</v>
      </c>
      <c r="B9275" t="s">
        <v>1179</v>
      </c>
      <c r="D9275">
        <v>1</v>
      </c>
      <c r="E9275" t="s">
        <v>23</v>
      </c>
      <c r="F9275" t="s">
        <v>233</v>
      </c>
    </row>
    <row r="9276" spans="1:8" x14ac:dyDescent="0.3">
      <c r="A9276" t="s">
        <v>16581</v>
      </c>
      <c r="B9276" t="s">
        <v>16582</v>
      </c>
      <c r="D9276">
        <v>125</v>
      </c>
      <c r="E9276" t="s">
        <v>29</v>
      </c>
      <c r="F9276" t="s">
        <v>8780</v>
      </c>
    </row>
    <row r="9277" spans="1:8" x14ac:dyDescent="0.3">
      <c r="A9277" t="s">
        <v>16408</v>
      </c>
      <c r="B9277" t="s">
        <v>16583</v>
      </c>
      <c r="D9277">
        <v>3</v>
      </c>
      <c r="E9277" t="s">
        <v>473</v>
      </c>
      <c r="F9277" t="s">
        <v>220</v>
      </c>
    </row>
    <row r="9278" spans="1:8" x14ac:dyDescent="0.3">
      <c r="A9278" t="s">
        <v>16584</v>
      </c>
      <c r="B9278" t="s">
        <v>16585</v>
      </c>
      <c r="D9278">
        <v>5</v>
      </c>
      <c r="E9278" t="s">
        <v>189</v>
      </c>
      <c r="F9278" t="s">
        <v>10747</v>
      </c>
    </row>
    <row r="9279" spans="1:8" x14ac:dyDescent="0.3">
      <c r="A9279" t="s">
        <v>2057</v>
      </c>
      <c r="B9279" t="s">
        <v>16586</v>
      </c>
      <c r="D9279">
        <v>1.66</v>
      </c>
      <c r="E9279" t="s">
        <v>23</v>
      </c>
      <c r="F9279" t="s">
        <v>9106</v>
      </c>
    </row>
    <row r="9280" spans="1:8" x14ac:dyDescent="0.3">
      <c r="A9280" t="s">
        <v>10094</v>
      </c>
      <c r="B9280" t="s">
        <v>16587</v>
      </c>
      <c r="D9280">
        <v>2</v>
      </c>
      <c r="E9280" t="s">
        <v>1983</v>
      </c>
      <c r="F9280" t="s">
        <v>1056</v>
      </c>
    </row>
    <row r="9281" spans="1:10" x14ac:dyDescent="0.3">
      <c r="A9281" t="s">
        <v>16588</v>
      </c>
      <c r="B9281" t="s">
        <v>16589</v>
      </c>
      <c r="D9281">
        <v>1</v>
      </c>
      <c r="E9281" t="s">
        <v>23</v>
      </c>
      <c r="F9281" t="s">
        <v>3879</v>
      </c>
    </row>
    <row r="9282" spans="1:10" x14ac:dyDescent="0.3">
      <c r="A9282" t="s">
        <v>7707</v>
      </c>
      <c r="B9282" t="s">
        <v>4602</v>
      </c>
      <c r="D9282">
        <v>1</v>
      </c>
      <c r="E9282" t="s">
        <v>1990</v>
      </c>
      <c r="F9282" t="s">
        <v>1056</v>
      </c>
      <c r="J9282" t="s">
        <v>248</v>
      </c>
    </row>
    <row r="9283" spans="1:10" x14ac:dyDescent="0.3">
      <c r="A9283" t="s">
        <v>16590</v>
      </c>
      <c r="B9283" t="s">
        <v>11200</v>
      </c>
      <c r="D9283">
        <v>5</v>
      </c>
      <c r="E9283" t="s">
        <v>23</v>
      </c>
      <c r="F9283" t="s">
        <v>716</v>
      </c>
    </row>
    <row r="9284" spans="1:10" x14ac:dyDescent="0.3">
      <c r="A9284" t="s">
        <v>7388</v>
      </c>
      <c r="B9284" t="s">
        <v>16591</v>
      </c>
      <c r="D9284">
        <v>1</v>
      </c>
      <c r="F9284" t="s">
        <v>5478</v>
      </c>
      <c r="J9284" t="s">
        <v>16592</v>
      </c>
    </row>
    <row r="9285" spans="1:10" x14ac:dyDescent="0.3">
      <c r="A9285" t="s">
        <v>16593</v>
      </c>
      <c r="B9285" t="s">
        <v>16594</v>
      </c>
      <c r="D9285">
        <v>0.33</v>
      </c>
      <c r="E9285" t="s">
        <v>227</v>
      </c>
      <c r="F9285" t="s">
        <v>64</v>
      </c>
    </row>
    <row r="9286" spans="1:10" x14ac:dyDescent="0.3">
      <c r="A9286" t="s">
        <v>16595</v>
      </c>
      <c r="B9286" t="s">
        <v>16596</v>
      </c>
      <c r="D9286">
        <v>0.25</v>
      </c>
      <c r="E9286" t="s">
        <v>23</v>
      </c>
      <c r="F9286" t="s">
        <v>529</v>
      </c>
    </row>
    <row r="9287" spans="1:10" x14ac:dyDescent="0.3">
      <c r="A9287" t="s">
        <v>16597</v>
      </c>
      <c r="B9287" t="s">
        <v>5549</v>
      </c>
      <c r="D9287">
        <v>1</v>
      </c>
      <c r="E9287" t="s">
        <v>23</v>
      </c>
      <c r="F9287" t="s">
        <v>112</v>
      </c>
    </row>
    <row r="9288" spans="1:10" x14ac:dyDescent="0.3">
      <c r="A9288" t="s">
        <v>5520</v>
      </c>
      <c r="B9288" t="s">
        <v>5060</v>
      </c>
      <c r="D9288">
        <v>1</v>
      </c>
      <c r="E9288" t="s">
        <v>23</v>
      </c>
      <c r="F9288" t="s">
        <v>5036</v>
      </c>
    </row>
    <row r="9289" spans="1:10" x14ac:dyDescent="0.3">
      <c r="A9289" t="s">
        <v>5118</v>
      </c>
      <c r="B9289" t="s">
        <v>16598</v>
      </c>
      <c r="F9289" t="s">
        <v>16598</v>
      </c>
    </row>
    <row r="9290" spans="1:10" x14ac:dyDescent="0.3">
      <c r="A9290" t="s">
        <v>16599</v>
      </c>
      <c r="B9290" t="s">
        <v>16600</v>
      </c>
      <c r="D9290">
        <v>2</v>
      </c>
      <c r="E9290" t="s">
        <v>189</v>
      </c>
      <c r="F9290" t="s">
        <v>16601</v>
      </c>
    </row>
    <row r="9291" spans="1:10" x14ac:dyDescent="0.3">
      <c r="A9291" t="s">
        <v>16602</v>
      </c>
      <c r="B9291" t="s">
        <v>2609</v>
      </c>
      <c r="D9291">
        <v>1.5</v>
      </c>
      <c r="E9291" t="s">
        <v>345</v>
      </c>
      <c r="F9291" t="s">
        <v>220</v>
      </c>
    </row>
    <row r="9292" spans="1:10" x14ac:dyDescent="0.3">
      <c r="A9292" t="s">
        <v>16603</v>
      </c>
      <c r="B9292" t="s">
        <v>16604</v>
      </c>
      <c r="D9292">
        <v>10.5</v>
      </c>
      <c r="E9292" t="s">
        <v>11</v>
      </c>
      <c r="F9292" t="s">
        <v>16605</v>
      </c>
    </row>
    <row r="9293" spans="1:10" x14ac:dyDescent="0.3">
      <c r="A9293" t="s">
        <v>5345</v>
      </c>
      <c r="B9293" t="s">
        <v>16606</v>
      </c>
      <c r="D9293">
        <v>1.5</v>
      </c>
      <c r="E9293" t="s">
        <v>345</v>
      </c>
      <c r="F9293" t="s">
        <v>7646</v>
      </c>
    </row>
    <row r="9294" spans="1:10" x14ac:dyDescent="0.3">
      <c r="A9294" t="s">
        <v>14431</v>
      </c>
      <c r="B9294" t="s">
        <v>1858</v>
      </c>
      <c r="D9294">
        <v>1</v>
      </c>
      <c r="E9294" t="s">
        <v>1785</v>
      </c>
      <c r="F9294" t="s">
        <v>233</v>
      </c>
    </row>
    <row r="9295" spans="1:10" x14ac:dyDescent="0.3">
      <c r="A9295" t="s">
        <v>16607</v>
      </c>
      <c r="B9295" t="s">
        <v>16608</v>
      </c>
      <c r="F9295" t="s">
        <v>16609</v>
      </c>
      <c r="H9295" t="s">
        <v>68</v>
      </c>
      <c r="J9295" t="s">
        <v>16610</v>
      </c>
    </row>
    <row r="9296" spans="1:10" x14ac:dyDescent="0.3">
      <c r="A9296" t="s">
        <v>16611</v>
      </c>
      <c r="B9296" t="s">
        <v>16612</v>
      </c>
      <c r="D9296">
        <v>0.75</v>
      </c>
      <c r="E9296" t="s">
        <v>23</v>
      </c>
      <c r="F9296" t="s">
        <v>4826</v>
      </c>
    </row>
    <row r="9297" spans="1:10" x14ac:dyDescent="0.3">
      <c r="A9297" t="s">
        <v>16613</v>
      </c>
      <c r="B9297" t="s">
        <v>6023</v>
      </c>
      <c r="D9297">
        <v>50</v>
      </c>
      <c r="E9297" t="s">
        <v>29</v>
      </c>
      <c r="F9297" t="s">
        <v>6155</v>
      </c>
    </row>
    <row r="9298" spans="1:10" x14ac:dyDescent="0.3">
      <c r="A9298" t="s">
        <v>2921</v>
      </c>
      <c r="B9298" t="s">
        <v>16614</v>
      </c>
      <c r="D9298">
        <v>1</v>
      </c>
      <c r="F9298" t="s">
        <v>2376</v>
      </c>
      <c r="G9298" t="s">
        <v>2377</v>
      </c>
      <c r="J9298" t="s">
        <v>325</v>
      </c>
    </row>
    <row r="9299" spans="1:10" x14ac:dyDescent="0.3">
      <c r="A9299" t="s">
        <v>12941</v>
      </c>
      <c r="B9299" t="s">
        <v>692</v>
      </c>
      <c r="D9299">
        <v>2</v>
      </c>
      <c r="E9299" t="s">
        <v>91</v>
      </c>
      <c r="F9299" t="s">
        <v>233</v>
      </c>
    </row>
    <row r="9300" spans="1:10" x14ac:dyDescent="0.3">
      <c r="A9300" t="s">
        <v>16615</v>
      </c>
      <c r="B9300" t="s">
        <v>16616</v>
      </c>
      <c r="D9300">
        <v>1</v>
      </c>
      <c r="E9300" t="s">
        <v>23</v>
      </c>
      <c r="F9300" t="s">
        <v>16617</v>
      </c>
    </row>
    <row r="9301" spans="1:10" x14ac:dyDescent="0.3">
      <c r="A9301" t="s">
        <v>16618</v>
      </c>
      <c r="B9301" t="s">
        <v>16619</v>
      </c>
      <c r="E9301" t="s">
        <v>111</v>
      </c>
      <c r="F9301" t="s">
        <v>1204</v>
      </c>
      <c r="J9301" t="s">
        <v>289</v>
      </c>
    </row>
    <row r="9302" spans="1:10" x14ac:dyDescent="0.3">
      <c r="A9302" t="s">
        <v>16620</v>
      </c>
      <c r="B9302" t="s">
        <v>1349</v>
      </c>
      <c r="D9302">
        <v>2</v>
      </c>
      <c r="E9302" t="s">
        <v>23</v>
      </c>
      <c r="F9302" t="s">
        <v>328</v>
      </c>
    </row>
    <row r="9303" spans="1:10" x14ac:dyDescent="0.3">
      <c r="A9303" t="s">
        <v>10353</v>
      </c>
      <c r="B9303" t="s">
        <v>3019</v>
      </c>
      <c r="D9303">
        <v>1.5</v>
      </c>
      <c r="E9303" t="s">
        <v>23</v>
      </c>
      <c r="F9303" t="s">
        <v>1209</v>
      </c>
    </row>
    <row r="9304" spans="1:10" x14ac:dyDescent="0.3">
      <c r="A9304" t="s">
        <v>16621</v>
      </c>
      <c r="B9304" t="s">
        <v>16622</v>
      </c>
      <c r="D9304">
        <v>0.5</v>
      </c>
      <c r="E9304" t="s">
        <v>11</v>
      </c>
      <c r="F9304" t="s">
        <v>16623</v>
      </c>
    </row>
    <row r="9305" spans="1:10" x14ac:dyDescent="0.3">
      <c r="A9305" t="s">
        <v>16624</v>
      </c>
      <c r="B9305" t="s">
        <v>16625</v>
      </c>
      <c r="D9305">
        <v>0.25</v>
      </c>
      <c r="E9305" t="s">
        <v>37</v>
      </c>
      <c r="F9305" t="s">
        <v>1006</v>
      </c>
    </row>
    <row r="9306" spans="1:10" x14ac:dyDescent="0.3">
      <c r="A9306" t="s">
        <v>10317</v>
      </c>
      <c r="B9306" t="s">
        <v>16626</v>
      </c>
      <c r="D9306">
        <v>1.67</v>
      </c>
      <c r="E9306" t="s">
        <v>227</v>
      </c>
      <c r="F9306" t="s">
        <v>497</v>
      </c>
    </row>
    <row r="9307" spans="1:10" x14ac:dyDescent="0.3">
      <c r="A9307" t="s">
        <v>16627</v>
      </c>
      <c r="B9307" t="s">
        <v>16628</v>
      </c>
      <c r="D9307">
        <v>10</v>
      </c>
      <c r="E9307" t="s">
        <v>23</v>
      </c>
      <c r="F9307" t="s">
        <v>16629</v>
      </c>
    </row>
    <row r="9308" spans="1:10" x14ac:dyDescent="0.3">
      <c r="A9308" t="s">
        <v>4255</v>
      </c>
      <c r="B9308" t="s">
        <v>16630</v>
      </c>
      <c r="D9308">
        <v>1</v>
      </c>
      <c r="E9308" t="s">
        <v>37</v>
      </c>
      <c r="F9308" t="s">
        <v>160</v>
      </c>
      <c r="G9308" t="s">
        <v>167</v>
      </c>
      <c r="H9308" t="s">
        <v>168</v>
      </c>
      <c r="J9308" t="s">
        <v>325</v>
      </c>
    </row>
    <row r="9309" spans="1:10" x14ac:dyDescent="0.3">
      <c r="A9309" t="s">
        <v>11430</v>
      </c>
      <c r="B9309" t="s">
        <v>16631</v>
      </c>
      <c r="E9309" t="s">
        <v>2397</v>
      </c>
      <c r="F9309" t="s">
        <v>237</v>
      </c>
      <c r="J9309" t="s">
        <v>164</v>
      </c>
    </row>
    <row r="9310" spans="1:10" x14ac:dyDescent="0.3">
      <c r="A9310" t="s">
        <v>16632</v>
      </c>
      <c r="B9310" t="s">
        <v>16633</v>
      </c>
      <c r="D9310">
        <v>6</v>
      </c>
      <c r="F9310" t="s">
        <v>16634</v>
      </c>
    </row>
    <row r="9311" spans="1:10" x14ac:dyDescent="0.3">
      <c r="A9311" t="s">
        <v>16635</v>
      </c>
      <c r="B9311" t="s">
        <v>16636</v>
      </c>
      <c r="D9311">
        <v>3</v>
      </c>
      <c r="E9311" t="s">
        <v>23</v>
      </c>
      <c r="F9311" t="s">
        <v>2485</v>
      </c>
    </row>
    <row r="9312" spans="1:10" x14ac:dyDescent="0.3">
      <c r="A9312" t="s">
        <v>16637</v>
      </c>
      <c r="B9312" t="s">
        <v>16638</v>
      </c>
      <c r="F9312" t="s">
        <v>16639</v>
      </c>
      <c r="J9312" t="s">
        <v>164</v>
      </c>
    </row>
    <row r="9313" spans="1:10" x14ac:dyDescent="0.3">
      <c r="A9313" t="s">
        <v>16640</v>
      </c>
      <c r="B9313" t="s">
        <v>16641</v>
      </c>
      <c r="D9313">
        <v>150</v>
      </c>
      <c r="E9313" t="s">
        <v>29</v>
      </c>
      <c r="F9313" t="s">
        <v>3981</v>
      </c>
    </row>
    <row r="9314" spans="1:10" x14ac:dyDescent="0.3">
      <c r="A9314" t="s">
        <v>16642</v>
      </c>
      <c r="B9314" t="s">
        <v>16643</v>
      </c>
      <c r="D9314" t="s">
        <v>16644</v>
      </c>
      <c r="F9314" t="s">
        <v>7734</v>
      </c>
      <c r="H9314" t="s">
        <v>814</v>
      </c>
      <c r="J9314" t="s">
        <v>16645</v>
      </c>
    </row>
    <row r="9315" spans="1:10" x14ac:dyDescent="0.3">
      <c r="A9315" t="s">
        <v>10704</v>
      </c>
      <c r="B9315" t="s">
        <v>16646</v>
      </c>
      <c r="D9315">
        <v>3</v>
      </c>
      <c r="F9315" t="s">
        <v>16647</v>
      </c>
    </row>
    <row r="9316" spans="1:10" x14ac:dyDescent="0.3">
      <c r="A9316" t="s">
        <v>16648</v>
      </c>
      <c r="B9316" t="s">
        <v>16649</v>
      </c>
      <c r="D9316">
        <v>20</v>
      </c>
      <c r="E9316" t="s">
        <v>29</v>
      </c>
      <c r="F9316" t="s">
        <v>16650</v>
      </c>
    </row>
    <row r="9317" spans="1:10" x14ac:dyDescent="0.3">
      <c r="A9317" t="s">
        <v>16651</v>
      </c>
      <c r="B9317" t="s">
        <v>4736</v>
      </c>
      <c r="D9317">
        <v>0.5</v>
      </c>
      <c r="E9317" t="s">
        <v>23</v>
      </c>
      <c r="F9317" t="s">
        <v>160</v>
      </c>
    </row>
    <row r="9318" spans="1:10" x14ac:dyDescent="0.3">
      <c r="A9318" t="s">
        <v>9699</v>
      </c>
      <c r="B9318" t="s">
        <v>459</v>
      </c>
      <c r="D9318">
        <v>2</v>
      </c>
      <c r="E9318" t="s">
        <v>460</v>
      </c>
      <c r="F9318" t="s">
        <v>30</v>
      </c>
    </row>
    <row r="9319" spans="1:10" x14ac:dyDescent="0.3">
      <c r="A9319" t="s">
        <v>16652</v>
      </c>
      <c r="B9319" t="s">
        <v>11285</v>
      </c>
      <c r="D9319">
        <v>1</v>
      </c>
      <c r="E9319" t="s">
        <v>23</v>
      </c>
      <c r="F9319" t="s">
        <v>857</v>
      </c>
      <c r="J9319" t="s">
        <v>289</v>
      </c>
    </row>
    <row r="9320" spans="1:10" x14ac:dyDescent="0.3">
      <c r="A9320" t="s">
        <v>16653</v>
      </c>
      <c r="B9320" t="s">
        <v>16654</v>
      </c>
      <c r="D9320">
        <v>1</v>
      </c>
      <c r="E9320" t="s">
        <v>91</v>
      </c>
      <c r="F9320" t="s">
        <v>11727</v>
      </c>
    </row>
    <row r="9321" spans="1:10" x14ac:dyDescent="0.3">
      <c r="A9321" t="s">
        <v>16655</v>
      </c>
      <c r="B9321" t="s">
        <v>16656</v>
      </c>
      <c r="D9321">
        <v>1</v>
      </c>
      <c r="E9321" t="s">
        <v>206</v>
      </c>
      <c r="F9321" t="s">
        <v>160</v>
      </c>
      <c r="H9321" t="s">
        <v>68</v>
      </c>
    </row>
    <row r="9322" spans="1:10" x14ac:dyDescent="0.3">
      <c r="A9322" t="s">
        <v>11367</v>
      </c>
      <c r="B9322" t="s">
        <v>16657</v>
      </c>
      <c r="D9322">
        <v>1</v>
      </c>
      <c r="E9322" t="s">
        <v>120</v>
      </c>
      <c r="F9322" t="s">
        <v>4654</v>
      </c>
    </row>
    <row r="9323" spans="1:10" x14ac:dyDescent="0.3">
      <c r="A9323" t="s">
        <v>4859</v>
      </c>
      <c r="B9323" t="s">
        <v>16658</v>
      </c>
      <c r="D9323">
        <v>3</v>
      </c>
      <c r="E9323" t="s">
        <v>189</v>
      </c>
      <c r="F9323" t="s">
        <v>10795</v>
      </c>
      <c r="J9323" t="s">
        <v>5488</v>
      </c>
    </row>
    <row r="9324" spans="1:10" x14ac:dyDescent="0.3">
      <c r="A9324" t="s">
        <v>10825</v>
      </c>
      <c r="B9324" t="s">
        <v>16659</v>
      </c>
      <c r="D9324">
        <v>3</v>
      </c>
      <c r="E9324" t="s">
        <v>189</v>
      </c>
      <c r="F9324" t="s">
        <v>16660</v>
      </c>
      <c r="J9324" t="s">
        <v>16661</v>
      </c>
    </row>
    <row r="9325" spans="1:10" x14ac:dyDescent="0.3">
      <c r="A9325" t="s">
        <v>16662</v>
      </c>
      <c r="B9325" t="s">
        <v>14424</v>
      </c>
      <c r="D9325">
        <v>10.5</v>
      </c>
      <c r="E9325" t="s">
        <v>91</v>
      </c>
      <c r="F9325" t="s">
        <v>4145</v>
      </c>
      <c r="J9325" t="s">
        <v>20</v>
      </c>
    </row>
    <row r="9326" spans="1:10" x14ac:dyDescent="0.3">
      <c r="A9326" t="s">
        <v>16663</v>
      </c>
      <c r="B9326" t="s">
        <v>14044</v>
      </c>
      <c r="D9326">
        <v>0.5</v>
      </c>
      <c r="E9326" t="s">
        <v>23</v>
      </c>
      <c r="F9326" t="s">
        <v>2115</v>
      </c>
      <c r="J9326" t="s">
        <v>289</v>
      </c>
    </row>
    <row r="9327" spans="1:10" x14ac:dyDescent="0.3">
      <c r="A9327" t="s">
        <v>7394</v>
      </c>
      <c r="B9327" t="s">
        <v>9864</v>
      </c>
      <c r="D9327">
        <v>4</v>
      </c>
      <c r="E9327" t="s">
        <v>23</v>
      </c>
      <c r="F9327" t="s">
        <v>320</v>
      </c>
    </row>
    <row r="9328" spans="1:10" x14ac:dyDescent="0.3">
      <c r="A9328" t="s">
        <v>16664</v>
      </c>
      <c r="B9328" t="s">
        <v>968</v>
      </c>
      <c r="D9328">
        <v>1</v>
      </c>
      <c r="E9328" t="s">
        <v>23</v>
      </c>
      <c r="F9328" t="s">
        <v>199</v>
      </c>
    </row>
    <row r="9329" spans="1:10" x14ac:dyDescent="0.3">
      <c r="A9329" t="s">
        <v>5882</v>
      </c>
      <c r="B9329" t="s">
        <v>16665</v>
      </c>
      <c r="D9329">
        <v>3</v>
      </c>
      <c r="E9329" t="s">
        <v>1338</v>
      </c>
      <c r="F9329" t="s">
        <v>16666</v>
      </c>
      <c r="J9329" t="s">
        <v>289</v>
      </c>
    </row>
    <row r="9330" spans="1:10" x14ac:dyDescent="0.3">
      <c r="A9330" t="s">
        <v>16667</v>
      </c>
      <c r="B9330" t="s">
        <v>16668</v>
      </c>
      <c r="D9330">
        <v>1</v>
      </c>
      <c r="E9330" t="s">
        <v>361</v>
      </c>
      <c r="F9330" t="s">
        <v>16669</v>
      </c>
    </row>
    <row r="9331" spans="1:10" x14ac:dyDescent="0.3">
      <c r="A9331" t="s">
        <v>15415</v>
      </c>
      <c r="B9331" t="s">
        <v>16670</v>
      </c>
      <c r="D9331">
        <v>0.5</v>
      </c>
      <c r="E9331" t="s">
        <v>284</v>
      </c>
      <c r="F9331" t="s">
        <v>9461</v>
      </c>
    </row>
    <row r="9332" spans="1:10" x14ac:dyDescent="0.3">
      <c r="A9332" t="s">
        <v>16671</v>
      </c>
      <c r="B9332" t="s">
        <v>16672</v>
      </c>
      <c r="D9332">
        <v>0.5</v>
      </c>
      <c r="E9332" t="s">
        <v>284</v>
      </c>
      <c r="F9332" t="s">
        <v>1816</v>
      </c>
    </row>
    <row r="9333" spans="1:10" x14ac:dyDescent="0.3">
      <c r="A9333" t="s">
        <v>6579</v>
      </c>
      <c r="B9333" t="s">
        <v>4854</v>
      </c>
      <c r="D9333">
        <v>1.5</v>
      </c>
      <c r="E9333" t="s">
        <v>23</v>
      </c>
      <c r="F9333" t="s">
        <v>281</v>
      </c>
    </row>
    <row r="9334" spans="1:10" x14ac:dyDescent="0.3">
      <c r="A9334" t="s">
        <v>16673</v>
      </c>
      <c r="B9334" t="s">
        <v>16674</v>
      </c>
      <c r="F9334" t="s">
        <v>16675</v>
      </c>
      <c r="G9334" t="s">
        <v>1512</v>
      </c>
      <c r="J9334" t="s">
        <v>1938</v>
      </c>
    </row>
    <row r="9335" spans="1:10" x14ac:dyDescent="0.3">
      <c r="A9335" t="s">
        <v>7086</v>
      </c>
      <c r="B9335" t="s">
        <v>16676</v>
      </c>
      <c r="E9335" t="s">
        <v>246</v>
      </c>
      <c r="F9335" t="s">
        <v>4056</v>
      </c>
      <c r="J9335" t="s">
        <v>16677</v>
      </c>
    </row>
    <row r="9336" spans="1:10" x14ac:dyDescent="0.3">
      <c r="A9336" t="s">
        <v>16678</v>
      </c>
      <c r="B9336" t="s">
        <v>7395</v>
      </c>
      <c r="D9336">
        <v>0.25</v>
      </c>
      <c r="E9336" t="s">
        <v>23</v>
      </c>
      <c r="F9336" t="s">
        <v>199</v>
      </c>
    </row>
    <row r="9337" spans="1:10" x14ac:dyDescent="0.3">
      <c r="A9337" t="s">
        <v>16679</v>
      </c>
      <c r="B9337" t="s">
        <v>1118</v>
      </c>
      <c r="D9337">
        <v>1</v>
      </c>
      <c r="E9337" t="s">
        <v>23</v>
      </c>
      <c r="F9337" t="s">
        <v>281</v>
      </c>
    </row>
    <row r="9338" spans="1:10" x14ac:dyDescent="0.3">
      <c r="A9338" t="s">
        <v>16680</v>
      </c>
      <c r="B9338" t="s">
        <v>16681</v>
      </c>
      <c r="D9338">
        <v>2</v>
      </c>
      <c r="E9338" t="s">
        <v>91</v>
      </c>
      <c r="F9338" t="s">
        <v>12207</v>
      </c>
    </row>
    <row r="9339" spans="1:10" x14ac:dyDescent="0.3">
      <c r="A9339" t="s">
        <v>16682</v>
      </c>
      <c r="B9339" t="s">
        <v>1011</v>
      </c>
      <c r="F9339" t="s">
        <v>1011</v>
      </c>
    </row>
    <row r="9340" spans="1:10" x14ac:dyDescent="0.3">
      <c r="A9340" t="s">
        <v>5812</v>
      </c>
      <c r="B9340" t="s">
        <v>16683</v>
      </c>
      <c r="D9340">
        <v>1</v>
      </c>
      <c r="E9340" t="s">
        <v>33</v>
      </c>
      <c r="F9340" t="s">
        <v>163</v>
      </c>
    </row>
    <row r="9341" spans="1:10" x14ac:dyDescent="0.3">
      <c r="A9341" t="s">
        <v>16684</v>
      </c>
      <c r="B9341" t="s">
        <v>1235</v>
      </c>
      <c r="D9341">
        <v>0.5</v>
      </c>
      <c r="E9341" t="s">
        <v>11</v>
      </c>
      <c r="F9341" t="s">
        <v>88</v>
      </c>
    </row>
    <row r="9342" spans="1:10" x14ac:dyDescent="0.3">
      <c r="A9342" t="s">
        <v>16685</v>
      </c>
      <c r="B9342" t="s">
        <v>272</v>
      </c>
      <c r="D9342">
        <v>0.5</v>
      </c>
      <c r="E9342" t="s">
        <v>23</v>
      </c>
      <c r="F9342" t="s">
        <v>265</v>
      </c>
    </row>
    <row r="9343" spans="1:10" x14ac:dyDescent="0.3">
      <c r="A9343" t="s">
        <v>16686</v>
      </c>
      <c r="B9343" t="s">
        <v>159</v>
      </c>
      <c r="D9343">
        <v>0.75</v>
      </c>
      <c r="E9343" t="s">
        <v>23</v>
      </c>
      <c r="F9343" t="s">
        <v>160</v>
      </c>
      <c r="H9343" t="s">
        <v>68</v>
      </c>
    </row>
    <row r="9344" spans="1:10" x14ac:dyDescent="0.3">
      <c r="A9344" t="s">
        <v>14068</v>
      </c>
      <c r="B9344" t="s">
        <v>738</v>
      </c>
      <c r="F9344" t="s">
        <v>738</v>
      </c>
    </row>
    <row r="9345" spans="1:10" x14ac:dyDescent="0.3">
      <c r="A9345" t="s">
        <v>14620</v>
      </c>
      <c r="B9345" t="s">
        <v>518</v>
      </c>
      <c r="F9345" t="s">
        <v>518</v>
      </c>
    </row>
    <row r="9346" spans="1:10" x14ac:dyDescent="0.3">
      <c r="A9346" t="s">
        <v>4077</v>
      </c>
      <c r="B9346" t="s">
        <v>16687</v>
      </c>
      <c r="D9346">
        <v>70</v>
      </c>
      <c r="E9346" t="s">
        <v>29</v>
      </c>
      <c r="F9346" t="s">
        <v>3114</v>
      </c>
    </row>
    <row r="9347" spans="1:10" x14ac:dyDescent="0.3">
      <c r="A9347" t="s">
        <v>1275</v>
      </c>
      <c r="B9347" t="s">
        <v>2270</v>
      </c>
      <c r="D9347">
        <v>10.5</v>
      </c>
      <c r="E9347" t="s">
        <v>91</v>
      </c>
      <c r="F9347" t="s">
        <v>2271</v>
      </c>
      <c r="J9347" t="s">
        <v>20</v>
      </c>
    </row>
    <row r="9348" spans="1:10" x14ac:dyDescent="0.3">
      <c r="A9348" t="s">
        <v>3277</v>
      </c>
      <c r="B9348" t="s">
        <v>4635</v>
      </c>
      <c r="D9348">
        <v>50</v>
      </c>
      <c r="E9348" t="s">
        <v>29</v>
      </c>
      <c r="F9348" t="s">
        <v>8731</v>
      </c>
    </row>
    <row r="9349" spans="1:10" x14ac:dyDescent="0.3">
      <c r="A9349" t="s">
        <v>16688</v>
      </c>
      <c r="B9349" t="s">
        <v>16689</v>
      </c>
      <c r="E9349" t="s">
        <v>246</v>
      </c>
      <c r="F9349" t="s">
        <v>4056</v>
      </c>
      <c r="J9349" t="s">
        <v>16690</v>
      </c>
    </row>
    <row r="9350" spans="1:10" x14ac:dyDescent="0.3">
      <c r="A9350" t="s">
        <v>10783</v>
      </c>
      <c r="B9350" t="s">
        <v>10216</v>
      </c>
      <c r="D9350">
        <v>0.5</v>
      </c>
      <c r="E9350" t="s">
        <v>23</v>
      </c>
      <c r="F9350" t="s">
        <v>423</v>
      </c>
    </row>
    <row r="9351" spans="1:10" x14ac:dyDescent="0.3">
      <c r="A9351" t="s">
        <v>16232</v>
      </c>
      <c r="B9351" t="s">
        <v>1179</v>
      </c>
      <c r="D9351">
        <v>1</v>
      </c>
      <c r="E9351" t="s">
        <v>23</v>
      </c>
      <c r="F9351" t="s">
        <v>233</v>
      </c>
    </row>
    <row r="9352" spans="1:10" x14ac:dyDescent="0.3">
      <c r="A9352" t="s">
        <v>16691</v>
      </c>
      <c r="B9352" t="s">
        <v>3216</v>
      </c>
      <c r="D9352">
        <v>0.75</v>
      </c>
      <c r="E9352" t="s">
        <v>23</v>
      </c>
      <c r="F9352" t="s">
        <v>38</v>
      </c>
      <c r="H9352" t="s">
        <v>68</v>
      </c>
    </row>
    <row r="9353" spans="1:10" x14ac:dyDescent="0.3">
      <c r="A9353" t="s">
        <v>16692</v>
      </c>
      <c r="B9353" t="s">
        <v>16693</v>
      </c>
      <c r="F9353" t="s">
        <v>333</v>
      </c>
      <c r="J9353" t="s">
        <v>16694</v>
      </c>
    </row>
    <row r="9354" spans="1:10" x14ac:dyDescent="0.3">
      <c r="A9354" t="s">
        <v>7814</v>
      </c>
      <c r="B9354" t="s">
        <v>16695</v>
      </c>
      <c r="D9354">
        <v>2</v>
      </c>
      <c r="E9354" t="s">
        <v>345</v>
      </c>
      <c r="F9354" t="s">
        <v>16696</v>
      </c>
    </row>
    <row r="9355" spans="1:10" x14ac:dyDescent="0.3">
      <c r="A9355" t="s">
        <v>11738</v>
      </c>
      <c r="B9355" t="s">
        <v>5574</v>
      </c>
      <c r="D9355">
        <v>1</v>
      </c>
      <c r="F9355" t="s">
        <v>152</v>
      </c>
    </row>
    <row r="9356" spans="1:10" x14ac:dyDescent="0.3">
      <c r="A9356" t="s">
        <v>9867</v>
      </c>
      <c r="B9356" t="s">
        <v>4793</v>
      </c>
      <c r="D9356">
        <v>1.5</v>
      </c>
      <c r="E9356" t="s">
        <v>23</v>
      </c>
      <c r="F9356" t="s">
        <v>1003</v>
      </c>
    </row>
    <row r="9357" spans="1:10" x14ac:dyDescent="0.3">
      <c r="A9357" t="s">
        <v>8291</v>
      </c>
      <c r="B9357" t="s">
        <v>16697</v>
      </c>
      <c r="D9357">
        <v>20.25</v>
      </c>
      <c r="E9357" t="s">
        <v>23</v>
      </c>
      <c r="F9357" t="s">
        <v>1476</v>
      </c>
    </row>
    <row r="9358" spans="1:10" x14ac:dyDescent="0.3">
      <c r="A9358" t="s">
        <v>16698</v>
      </c>
      <c r="B9358" t="s">
        <v>16699</v>
      </c>
      <c r="D9358">
        <v>1</v>
      </c>
      <c r="E9358" t="s">
        <v>11</v>
      </c>
      <c r="F9358" t="s">
        <v>8396</v>
      </c>
    </row>
    <row r="9359" spans="1:10" x14ac:dyDescent="0.3">
      <c r="A9359" t="s">
        <v>16700</v>
      </c>
      <c r="B9359" t="s">
        <v>16701</v>
      </c>
      <c r="F9359" t="s">
        <v>16702</v>
      </c>
      <c r="J9359" t="s">
        <v>16703</v>
      </c>
    </row>
    <row r="9360" spans="1:10" x14ac:dyDescent="0.3">
      <c r="A9360" t="s">
        <v>8203</v>
      </c>
      <c r="B9360" t="s">
        <v>3782</v>
      </c>
      <c r="D9360">
        <v>10</v>
      </c>
      <c r="E9360" t="s">
        <v>29</v>
      </c>
      <c r="F9360" t="s">
        <v>30</v>
      </c>
    </row>
    <row r="9361" spans="1:10" x14ac:dyDescent="0.3">
      <c r="A9361" t="s">
        <v>16704</v>
      </c>
      <c r="B9361" t="s">
        <v>16705</v>
      </c>
      <c r="D9361">
        <v>1</v>
      </c>
      <c r="F9361" t="s">
        <v>16706</v>
      </c>
    </row>
    <row r="9362" spans="1:10" x14ac:dyDescent="0.3">
      <c r="A9362" t="s">
        <v>1529</v>
      </c>
      <c r="B9362" t="s">
        <v>16707</v>
      </c>
      <c r="D9362">
        <v>2</v>
      </c>
      <c r="E9362" t="s">
        <v>91</v>
      </c>
      <c r="F9362" t="s">
        <v>16708</v>
      </c>
    </row>
    <row r="9363" spans="1:10" x14ac:dyDescent="0.3">
      <c r="A9363" t="s">
        <v>16709</v>
      </c>
      <c r="B9363" t="s">
        <v>16710</v>
      </c>
      <c r="D9363">
        <v>1</v>
      </c>
      <c r="E9363" t="s">
        <v>1338</v>
      </c>
      <c r="F9363" t="s">
        <v>4032</v>
      </c>
    </row>
    <row r="9364" spans="1:10" x14ac:dyDescent="0.3">
      <c r="A9364" t="s">
        <v>9030</v>
      </c>
      <c r="B9364" t="s">
        <v>16711</v>
      </c>
      <c r="D9364">
        <v>0.5</v>
      </c>
      <c r="E9364" t="s">
        <v>23</v>
      </c>
      <c r="F9364" t="s">
        <v>1862</v>
      </c>
    </row>
    <row r="9365" spans="1:10" x14ac:dyDescent="0.3">
      <c r="A9365" t="s">
        <v>16712</v>
      </c>
      <c r="B9365" t="s">
        <v>3350</v>
      </c>
      <c r="F9365" t="s">
        <v>3350</v>
      </c>
    </row>
    <row r="9366" spans="1:10" x14ac:dyDescent="0.3">
      <c r="A9366" t="s">
        <v>16713</v>
      </c>
      <c r="B9366" t="s">
        <v>16714</v>
      </c>
      <c r="D9366">
        <v>1</v>
      </c>
      <c r="E9366" t="s">
        <v>469</v>
      </c>
      <c r="F9366" t="s">
        <v>154</v>
      </c>
    </row>
    <row r="9367" spans="1:10" x14ac:dyDescent="0.3">
      <c r="A9367" t="s">
        <v>16715</v>
      </c>
      <c r="B9367" t="s">
        <v>16716</v>
      </c>
      <c r="D9367">
        <v>0.33</v>
      </c>
      <c r="F9367" t="s">
        <v>16717</v>
      </c>
    </row>
    <row r="9368" spans="1:10" x14ac:dyDescent="0.3">
      <c r="A9368" t="s">
        <v>16718</v>
      </c>
      <c r="B9368" t="s">
        <v>16719</v>
      </c>
      <c r="D9368" t="s">
        <v>16720</v>
      </c>
      <c r="E9368" t="s">
        <v>23</v>
      </c>
      <c r="F9368" t="s">
        <v>16721</v>
      </c>
    </row>
    <row r="9369" spans="1:10" x14ac:dyDescent="0.3">
      <c r="A9369" t="s">
        <v>7735</v>
      </c>
      <c r="B9369" t="s">
        <v>364</v>
      </c>
      <c r="D9369">
        <v>1</v>
      </c>
      <c r="E9369" t="s">
        <v>23</v>
      </c>
      <c r="F9369" t="s">
        <v>365</v>
      </c>
    </row>
    <row r="9370" spans="1:10" x14ac:dyDescent="0.3">
      <c r="A9370" t="s">
        <v>16722</v>
      </c>
      <c r="B9370" t="s">
        <v>6883</v>
      </c>
      <c r="D9370">
        <v>2</v>
      </c>
      <c r="E9370" t="s">
        <v>23</v>
      </c>
      <c r="F9370" t="s">
        <v>233</v>
      </c>
    </row>
    <row r="9371" spans="1:10" x14ac:dyDescent="0.3">
      <c r="A9371" t="s">
        <v>15631</v>
      </c>
      <c r="B9371" t="s">
        <v>8032</v>
      </c>
      <c r="D9371">
        <v>2</v>
      </c>
      <c r="E9371" t="s">
        <v>91</v>
      </c>
      <c r="F9371" t="s">
        <v>4397</v>
      </c>
      <c r="J9371" t="s">
        <v>20</v>
      </c>
    </row>
    <row r="9372" spans="1:10" x14ac:dyDescent="0.3">
      <c r="A9372" t="s">
        <v>9512</v>
      </c>
      <c r="B9372" t="s">
        <v>1413</v>
      </c>
      <c r="D9372">
        <v>1</v>
      </c>
      <c r="E9372" t="s">
        <v>23</v>
      </c>
      <c r="F9372" t="s">
        <v>292</v>
      </c>
    </row>
    <row r="9373" spans="1:10" x14ac:dyDescent="0.3">
      <c r="A9373" t="s">
        <v>16723</v>
      </c>
      <c r="B9373" t="s">
        <v>543</v>
      </c>
      <c r="D9373">
        <v>10</v>
      </c>
      <c r="E9373" t="s">
        <v>29</v>
      </c>
      <c r="F9373" t="s">
        <v>183</v>
      </c>
    </row>
    <row r="9374" spans="1:10" x14ac:dyDescent="0.3">
      <c r="A9374" t="s">
        <v>13186</v>
      </c>
      <c r="B9374" t="s">
        <v>16724</v>
      </c>
      <c r="D9374">
        <v>3</v>
      </c>
      <c r="E9374" t="s">
        <v>91</v>
      </c>
      <c r="F9374" t="s">
        <v>12659</v>
      </c>
    </row>
    <row r="9375" spans="1:10" x14ac:dyDescent="0.3">
      <c r="A9375" t="s">
        <v>16725</v>
      </c>
      <c r="B9375" t="s">
        <v>16726</v>
      </c>
      <c r="D9375">
        <v>10</v>
      </c>
      <c r="E9375" t="s">
        <v>23</v>
      </c>
      <c r="F9375" t="s">
        <v>4589</v>
      </c>
    </row>
    <row r="9376" spans="1:10" x14ac:dyDescent="0.3">
      <c r="A9376" t="s">
        <v>1575</v>
      </c>
      <c r="B9376" t="s">
        <v>16727</v>
      </c>
      <c r="D9376">
        <v>1.75</v>
      </c>
      <c r="E9376" t="s">
        <v>345</v>
      </c>
      <c r="F9376" t="s">
        <v>16728</v>
      </c>
      <c r="J9376" t="s">
        <v>16160</v>
      </c>
    </row>
    <row r="9377" spans="1:10" x14ac:dyDescent="0.3">
      <c r="A9377" t="s">
        <v>11873</v>
      </c>
      <c r="B9377" t="s">
        <v>6801</v>
      </c>
      <c r="D9377">
        <v>1</v>
      </c>
      <c r="E9377" t="s">
        <v>23</v>
      </c>
      <c r="F9377" t="s">
        <v>2211</v>
      </c>
    </row>
    <row r="9378" spans="1:10" x14ac:dyDescent="0.3">
      <c r="A9378" t="s">
        <v>16729</v>
      </c>
      <c r="B9378" t="s">
        <v>1055</v>
      </c>
      <c r="D9378">
        <v>1</v>
      </c>
      <c r="E9378" t="s">
        <v>585</v>
      </c>
      <c r="F9378" t="s">
        <v>1056</v>
      </c>
      <c r="J9378" t="s">
        <v>248</v>
      </c>
    </row>
    <row r="9379" spans="1:10" x14ac:dyDescent="0.3">
      <c r="A9379" t="s">
        <v>16730</v>
      </c>
      <c r="B9379" t="s">
        <v>12471</v>
      </c>
      <c r="D9379">
        <v>4</v>
      </c>
      <c r="E9379" t="s">
        <v>189</v>
      </c>
      <c r="F9379" t="s">
        <v>10747</v>
      </c>
    </row>
    <row r="9380" spans="1:10" x14ac:dyDescent="0.3">
      <c r="A9380" t="s">
        <v>4628</v>
      </c>
      <c r="B9380" t="s">
        <v>16731</v>
      </c>
      <c r="D9380">
        <v>1</v>
      </c>
      <c r="E9380" t="s">
        <v>6792</v>
      </c>
      <c r="F9380" t="s">
        <v>1043</v>
      </c>
    </row>
    <row r="9381" spans="1:10" x14ac:dyDescent="0.3">
      <c r="A9381" t="s">
        <v>7176</v>
      </c>
      <c r="B9381" t="s">
        <v>674</v>
      </c>
      <c r="D9381">
        <v>0.5</v>
      </c>
      <c r="E9381" t="s">
        <v>23</v>
      </c>
      <c r="F9381" t="s">
        <v>38</v>
      </c>
      <c r="H9381" t="s">
        <v>68</v>
      </c>
    </row>
    <row r="9382" spans="1:10" x14ac:dyDescent="0.3">
      <c r="A9382" t="s">
        <v>1273</v>
      </c>
      <c r="B9382" t="s">
        <v>16732</v>
      </c>
      <c r="E9382" t="s">
        <v>1671</v>
      </c>
      <c r="F9382" t="s">
        <v>5082</v>
      </c>
      <c r="J9382" t="s">
        <v>289</v>
      </c>
    </row>
    <row r="9383" spans="1:10" x14ac:dyDescent="0.3">
      <c r="A9383" t="s">
        <v>3868</v>
      </c>
      <c r="B9383" t="s">
        <v>16733</v>
      </c>
      <c r="D9383">
        <v>1</v>
      </c>
      <c r="E9383" t="s">
        <v>2191</v>
      </c>
      <c r="F9383" t="s">
        <v>14666</v>
      </c>
    </row>
    <row r="9384" spans="1:10" x14ac:dyDescent="0.3">
      <c r="A9384" t="s">
        <v>15105</v>
      </c>
      <c r="B9384" t="s">
        <v>16734</v>
      </c>
      <c r="D9384">
        <v>0.75</v>
      </c>
      <c r="E9384" t="s">
        <v>37</v>
      </c>
      <c r="F9384" t="s">
        <v>7508</v>
      </c>
    </row>
    <row r="9385" spans="1:10" x14ac:dyDescent="0.3">
      <c r="A9385" t="s">
        <v>16464</v>
      </c>
      <c r="B9385" t="s">
        <v>16735</v>
      </c>
      <c r="D9385">
        <v>0.5</v>
      </c>
      <c r="E9385" t="s">
        <v>23</v>
      </c>
      <c r="F9385" t="s">
        <v>11540</v>
      </c>
    </row>
    <row r="9386" spans="1:10" x14ac:dyDescent="0.3">
      <c r="A9386" t="s">
        <v>16368</v>
      </c>
      <c r="B9386" t="s">
        <v>16736</v>
      </c>
      <c r="F9386" t="s">
        <v>16737</v>
      </c>
      <c r="J9386" t="s">
        <v>16738</v>
      </c>
    </row>
    <row r="9387" spans="1:10" x14ac:dyDescent="0.3">
      <c r="A9387" t="s">
        <v>13573</v>
      </c>
      <c r="B9387" t="s">
        <v>11688</v>
      </c>
      <c r="D9387">
        <v>1</v>
      </c>
      <c r="E9387" t="s">
        <v>37</v>
      </c>
      <c r="F9387" t="s">
        <v>3460</v>
      </c>
    </row>
    <row r="9388" spans="1:10" x14ac:dyDescent="0.3">
      <c r="A9388" t="s">
        <v>16739</v>
      </c>
      <c r="B9388" t="s">
        <v>988</v>
      </c>
      <c r="D9388">
        <v>0.5</v>
      </c>
      <c r="E9388" t="s">
        <v>23</v>
      </c>
      <c r="F9388" t="s">
        <v>81</v>
      </c>
    </row>
    <row r="9389" spans="1:10" x14ac:dyDescent="0.3">
      <c r="A9389" t="s">
        <v>16740</v>
      </c>
      <c r="B9389" t="s">
        <v>9539</v>
      </c>
      <c r="D9389">
        <v>0.75</v>
      </c>
      <c r="E9389" t="s">
        <v>23</v>
      </c>
      <c r="F9389" t="s">
        <v>281</v>
      </c>
    </row>
    <row r="9390" spans="1:10" x14ac:dyDescent="0.3">
      <c r="A9390" t="s">
        <v>16741</v>
      </c>
      <c r="B9390" t="s">
        <v>16742</v>
      </c>
      <c r="D9390" t="s">
        <v>5342</v>
      </c>
      <c r="E9390" t="s">
        <v>345</v>
      </c>
      <c r="F9390" t="s">
        <v>3745</v>
      </c>
      <c r="J9390" t="s">
        <v>16743</v>
      </c>
    </row>
    <row r="9391" spans="1:10" x14ac:dyDescent="0.3">
      <c r="A9391" t="s">
        <v>16744</v>
      </c>
      <c r="B9391" t="s">
        <v>9356</v>
      </c>
      <c r="D9391">
        <v>1.5</v>
      </c>
      <c r="E9391" t="s">
        <v>23</v>
      </c>
      <c r="F9391" t="s">
        <v>781</v>
      </c>
    </row>
    <row r="9392" spans="1:10" x14ac:dyDescent="0.3">
      <c r="A9392" t="s">
        <v>16745</v>
      </c>
      <c r="B9392" t="s">
        <v>16746</v>
      </c>
      <c r="D9392">
        <v>2</v>
      </c>
      <c r="F9392" t="s">
        <v>16747</v>
      </c>
      <c r="J9392" t="s">
        <v>16748</v>
      </c>
    </row>
    <row r="9393" spans="1:10" x14ac:dyDescent="0.3">
      <c r="A9393" t="s">
        <v>1629</v>
      </c>
      <c r="B9393" t="s">
        <v>16749</v>
      </c>
      <c r="D9393">
        <v>20</v>
      </c>
      <c r="E9393" t="s">
        <v>29</v>
      </c>
      <c r="F9393" t="s">
        <v>1204</v>
      </c>
    </row>
    <row r="9394" spans="1:10" x14ac:dyDescent="0.3">
      <c r="A9394" t="s">
        <v>16750</v>
      </c>
      <c r="B9394" t="s">
        <v>1733</v>
      </c>
      <c r="D9394">
        <v>1</v>
      </c>
      <c r="E9394" t="s">
        <v>151</v>
      </c>
      <c r="F9394" t="s">
        <v>152</v>
      </c>
    </row>
    <row r="9395" spans="1:10" x14ac:dyDescent="0.3">
      <c r="A9395" t="s">
        <v>12299</v>
      </c>
      <c r="B9395" t="s">
        <v>16751</v>
      </c>
      <c r="F9395" t="s">
        <v>16752</v>
      </c>
      <c r="H9395" t="s">
        <v>814</v>
      </c>
      <c r="J9395" t="s">
        <v>1105</v>
      </c>
    </row>
    <row r="9396" spans="1:10" x14ac:dyDescent="0.3">
      <c r="A9396" t="s">
        <v>3536</v>
      </c>
      <c r="B9396" t="s">
        <v>6214</v>
      </c>
      <c r="D9396">
        <v>1</v>
      </c>
      <c r="E9396" t="s">
        <v>284</v>
      </c>
      <c r="F9396" t="s">
        <v>413</v>
      </c>
      <c r="G9396" t="s">
        <v>1571</v>
      </c>
      <c r="J9396" t="s">
        <v>4067</v>
      </c>
    </row>
    <row r="9397" spans="1:10" x14ac:dyDescent="0.3">
      <c r="A9397" t="s">
        <v>11674</v>
      </c>
      <c r="B9397" t="s">
        <v>1269</v>
      </c>
      <c r="D9397">
        <v>1</v>
      </c>
      <c r="E9397" t="s">
        <v>23</v>
      </c>
      <c r="F9397" t="s">
        <v>380</v>
      </c>
    </row>
    <row r="9398" spans="1:10" x14ac:dyDescent="0.3">
      <c r="A9398" t="s">
        <v>14165</v>
      </c>
      <c r="B9398" t="s">
        <v>16753</v>
      </c>
      <c r="D9398">
        <v>3</v>
      </c>
      <c r="E9398" t="s">
        <v>345</v>
      </c>
      <c r="F9398" t="s">
        <v>1116</v>
      </c>
      <c r="J9398" t="s">
        <v>16754</v>
      </c>
    </row>
    <row r="9399" spans="1:10" x14ac:dyDescent="0.3">
      <c r="A9399" t="s">
        <v>16755</v>
      </c>
      <c r="B9399" t="s">
        <v>1278</v>
      </c>
      <c r="D9399">
        <v>3</v>
      </c>
      <c r="E9399" t="s">
        <v>23</v>
      </c>
      <c r="F9399" t="s">
        <v>738</v>
      </c>
    </row>
    <row r="9400" spans="1:10" x14ac:dyDescent="0.3">
      <c r="A9400" t="s">
        <v>4853</v>
      </c>
      <c r="B9400" t="s">
        <v>8396</v>
      </c>
      <c r="F9400" t="s">
        <v>8396</v>
      </c>
    </row>
    <row r="9401" spans="1:10" x14ac:dyDescent="0.3">
      <c r="A9401" t="s">
        <v>16756</v>
      </c>
      <c r="B9401" t="s">
        <v>16757</v>
      </c>
      <c r="D9401">
        <v>0.5</v>
      </c>
      <c r="E9401" t="s">
        <v>37</v>
      </c>
      <c r="F9401" t="s">
        <v>16758</v>
      </c>
    </row>
    <row r="9402" spans="1:10" x14ac:dyDescent="0.3">
      <c r="A9402" t="s">
        <v>10107</v>
      </c>
      <c r="B9402" t="s">
        <v>16759</v>
      </c>
      <c r="F9402" t="s">
        <v>16759</v>
      </c>
    </row>
    <row r="9403" spans="1:10" x14ac:dyDescent="0.3">
      <c r="A9403" t="s">
        <v>16760</v>
      </c>
      <c r="B9403" t="s">
        <v>16761</v>
      </c>
      <c r="D9403">
        <v>37.5</v>
      </c>
      <c r="E9403" t="s">
        <v>29</v>
      </c>
      <c r="F9403" t="s">
        <v>15515</v>
      </c>
    </row>
    <row r="9404" spans="1:10" x14ac:dyDescent="0.3">
      <c r="A9404" t="s">
        <v>4700</v>
      </c>
      <c r="B9404" t="s">
        <v>16762</v>
      </c>
      <c r="D9404">
        <v>0.25</v>
      </c>
      <c r="E9404" t="s">
        <v>284</v>
      </c>
      <c r="F9404" t="s">
        <v>413</v>
      </c>
      <c r="G9404" t="s">
        <v>1014</v>
      </c>
    </row>
    <row r="9405" spans="1:10" x14ac:dyDescent="0.3">
      <c r="A9405" t="s">
        <v>16763</v>
      </c>
      <c r="B9405" t="s">
        <v>16764</v>
      </c>
      <c r="D9405">
        <v>0.75</v>
      </c>
      <c r="E9405" t="s">
        <v>23</v>
      </c>
      <c r="F9405" t="s">
        <v>5878</v>
      </c>
    </row>
    <row r="9406" spans="1:10" x14ac:dyDescent="0.3">
      <c r="A9406" t="s">
        <v>16765</v>
      </c>
      <c r="B9406" t="s">
        <v>6392</v>
      </c>
      <c r="D9406">
        <v>2</v>
      </c>
      <c r="E9406" t="s">
        <v>189</v>
      </c>
      <c r="F9406" t="s">
        <v>2214</v>
      </c>
    </row>
    <row r="9407" spans="1:10" x14ac:dyDescent="0.3">
      <c r="A9407" t="s">
        <v>16766</v>
      </c>
      <c r="B9407" t="s">
        <v>12792</v>
      </c>
      <c r="F9407" t="s">
        <v>12792</v>
      </c>
    </row>
    <row r="9408" spans="1:10" x14ac:dyDescent="0.3">
      <c r="A9408" t="s">
        <v>16767</v>
      </c>
      <c r="B9408" t="s">
        <v>16768</v>
      </c>
      <c r="D9408">
        <v>1</v>
      </c>
      <c r="E9408" t="s">
        <v>460</v>
      </c>
      <c r="F9408" t="s">
        <v>13614</v>
      </c>
    </row>
    <row r="9409" spans="1:10" x14ac:dyDescent="0.3">
      <c r="A9409" t="s">
        <v>428</v>
      </c>
      <c r="B9409" t="s">
        <v>16769</v>
      </c>
      <c r="D9409">
        <v>0.5</v>
      </c>
      <c r="E9409" t="s">
        <v>37</v>
      </c>
      <c r="F9409" t="s">
        <v>9775</v>
      </c>
    </row>
    <row r="9410" spans="1:10" x14ac:dyDescent="0.3">
      <c r="A9410" t="s">
        <v>16770</v>
      </c>
      <c r="B9410" t="s">
        <v>14655</v>
      </c>
      <c r="D9410">
        <v>5</v>
      </c>
      <c r="E9410" t="s">
        <v>29</v>
      </c>
      <c r="F9410" t="s">
        <v>4142</v>
      </c>
    </row>
    <row r="9411" spans="1:10" x14ac:dyDescent="0.3">
      <c r="A9411" t="s">
        <v>10341</v>
      </c>
      <c r="B9411" t="s">
        <v>16771</v>
      </c>
      <c r="F9411" t="s">
        <v>16771</v>
      </c>
    </row>
    <row r="9412" spans="1:10" x14ac:dyDescent="0.3">
      <c r="A9412" t="s">
        <v>5238</v>
      </c>
      <c r="B9412" t="s">
        <v>16772</v>
      </c>
      <c r="D9412">
        <v>60</v>
      </c>
      <c r="E9412" t="s">
        <v>4211</v>
      </c>
      <c r="F9412" t="s">
        <v>716</v>
      </c>
    </row>
    <row r="9413" spans="1:10" x14ac:dyDescent="0.3">
      <c r="A9413" t="s">
        <v>16773</v>
      </c>
      <c r="B9413" t="s">
        <v>16774</v>
      </c>
      <c r="D9413">
        <v>1.5</v>
      </c>
      <c r="E9413" t="s">
        <v>23</v>
      </c>
      <c r="F9413" t="s">
        <v>1619</v>
      </c>
    </row>
    <row r="9414" spans="1:10" x14ac:dyDescent="0.3">
      <c r="A9414" t="s">
        <v>6656</v>
      </c>
      <c r="B9414" t="s">
        <v>16775</v>
      </c>
      <c r="D9414">
        <v>1.5</v>
      </c>
      <c r="E9414" t="s">
        <v>23</v>
      </c>
      <c r="F9414" t="s">
        <v>16776</v>
      </c>
    </row>
    <row r="9415" spans="1:10" x14ac:dyDescent="0.3">
      <c r="A9415" t="s">
        <v>6490</v>
      </c>
      <c r="B9415" t="s">
        <v>16777</v>
      </c>
      <c r="F9415" t="s">
        <v>11522</v>
      </c>
      <c r="J9415" t="e">
        <f>- I used Pellegrino Lemonata</f>
        <v>#NAME?</v>
      </c>
    </row>
    <row r="9416" spans="1:10" x14ac:dyDescent="0.3">
      <c r="A9416" t="s">
        <v>8201</v>
      </c>
      <c r="B9416" t="s">
        <v>16778</v>
      </c>
      <c r="D9416">
        <v>1</v>
      </c>
      <c r="E9416" t="s">
        <v>37</v>
      </c>
      <c r="F9416" t="s">
        <v>160</v>
      </c>
      <c r="G9416" t="s">
        <v>167</v>
      </c>
      <c r="H9416" t="s">
        <v>168</v>
      </c>
      <c r="J9416" t="s">
        <v>16779</v>
      </c>
    </row>
    <row r="9417" spans="1:10" x14ac:dyDescent="0.3">
      <c r="A9417" t="s">
        <v>16780</v>
      </c>
      <c r="B9417" t="s">
        <v>16781</v>
      </c>
      <c r="E9417" t="s">
        <v>1990</v>
      </c>
      <c r="F9417" t="s">
        <v>163</v>
      </c>
      <c r="J9417" t="s">
        <v>790</v>
      </c>
    </row>
    <row r="9418" spans="1:10" x14ac:dyDescent="0.3">
      <c r="A9418" t="s">
        <v>16782</v>
      </c>
      <c r="B9418" t="s">
        <v>16783</v>
      </c>
      <c r="D9418">
        <v>2</v>
      </c>
      <c r="E9418" t="s">
        <v>84</v>
      </c>
      <c r="F9418" t="s">
        <v>3471</v>
      </c>
      <c r="J9418" t="s">
        <v>1352</v>
      </c>
    </row>
    <row r="9419" spans="1:10" x14ac:dyDescent="0.3">
      <c r="A9419" t="s">
        <v>12069</v>
      </c>
      <c r="B9419" t="s">
        <v>337</v>
      </c>
      <c r="D9419">
        <v>1</v>
      </c>
      <c r="E9419" t="s">
        <v>23</v>
      </c>
      <c r="F9419" t="s">
        <v>338</v>
      </c>
    </row>
    <row r="9420" spans="1:10" x14ac:dyDescent="0.3">
      <c r="A9420" t="s">
        <v>9030</v>
      </c>
      <c r="B9420" t="s">
        <v>16784</v>
      </c>
      <c r="D9420">
        <v>10.5</v>
      </c>
      <c r="E9420" t="s">
        <v>11</v>
      </c>
      <c r="F9420" t="s">
        <v>16785</v>
      </c>
    </row>
    <row r="9421" spans="1:10" x14ac:dyDescent="0.3">
      <c r="A9421" t="s">
        <v>16786</v>
      </c>
      <c r="B9421" t="s">
        <v>2288</v>
      </c>
      <c r="D9421">
        <v>1</v>
      </c>
      <c r="E9421" t="s">
        <v>23</v>
      </c>
      <c r="F9421" t="s">
        <v>2289</v>
      </c>
    </row>
    <row r="9422" spans="1:10" x14ac:dyDescent="0.3">
      <c r="A9422" t="s">
        <v>16787</v>
      </c>
      <c r="B9422" t="s">
        <v>5192</v>
      </c>
      <c r="D9422">
        <v>2</v>
      </c>
      <c r="E9422" t="s">
        <v>23</v>
      </c>
      <c r="F9422" t="s">
        <v>233</v>
      </c>
    </row>
    <row r="9423" spans="1:10" x14ac:dyDescent="0.3">
      <c r="A9423" t="s">
        <v>14398</v>
      </c>
      <c r="B9423" t="s">
        <v>16788</v>
      </c>
      <c r="D9423">
        <v>0.5</v>
      </c>
      <c r="E9423" t="s">
        <v>284</v>
      </c>
      <c r="F9423" t="s">
        <v>6008</v>
      </c>
    </row>
    <row r="9424" spans="1:10" x14ac:dyDescent="0.3">
      <c r="A9424" t="s">
        <v>15555</v>
      </c>
      <c r="B9424" t="s">
        <v>3289</v>
      </c>
      <c r="D9424">
        <v>0.5</v>
      </c>
      <c r="E9424" t="s">
        <v>23</v>
      </c>
      <c r="F9424" t="s">
        <v>233</v>
      </c>
      <c r="J9424" t="s">
        <v>289</v>
      </c>
    </row>
    <row r="9425" spans="1:10" x14ac:dyDescent="0.3">
      <c r="A9425" t="s">
        <v>4722</v>
      </c>
      <c r="B9425" t="s">
        <v>16789</v>
      </c>
      <c r="D9425">
        <v>1</v>
      </c>
      <c r="E9425" t="s">
        <v>460</v>
      </c>
      <c r="F9425" t="s">
        <v>1594</v>
      </c>
      <c r="J9425" t="s">
        <v>289</v>
      </c>
    </row>
    <row r="9426" spans="1:10" x14ac:dyDescent="0.3">
      <c r="A9426" t="s">
        <v>16790</v>
      </c>
      <c r="B9426" t="s">
        <v>16791</v>
      </c>
      <c r="D9426">
        <v>0.25</v>
      </c>
      <c r="E9426" t="s">
        <v>37</v>
      </c>
      <c r="F9426" t="s">
        <v>160</v>
      </c>
      <c r="G9426" t="s">
        <v>167</v>
      </c>
      <c r="H9426" t="s">
        <v>168</v>
      </c>
      <c r="J9426" t="s">
        <v>325</v>
      </c>
    </row>
    <row r="9427" spans="1:10" x14ac:dyDescent="0.3">
      <c r="A9427" t="s">
        <v>16792</v>
      </c>
      <c r="B9427" t="s">
        <v>16793</v>
      </c>
      <c r="D9427">
        <v>4</v>
      </c>
      <c r="E9427" t="s">
        <v>23</v>
      </c>
      <c r="F9427" t="s">
        <v>2204</v>
      </c>
    </row>
    <row r="9428" spans="1:10" x14ac:dyDescent="0.3">
      <c r="A9428" t="s">
        <v>16794</v>
      </c>
      <c r="B9428" t="s">
        <v>16795</v>
      </c>
      <c r="E9428" t="s">
        <v>10514</v>
      </c>
      <c r="F9428" t="s">
        <v>278</v>
      </c>
    </row>
    <row r="9429" spans="1:10" x14ac:dyDescent="0.3">
      <c r="A9429" t="s">
        <v>4005</v>
      </c>
      <c r="B9429" t="s">
        <v>8752</v>
      </c>
      <c r="D9429">
        <v>0.75</v>
      </c>
      <c r="E9429" t="s">
        <v>23</v>
      </c>
      <c r="F9429" t="s">
        <v>1328</v>
      </c>
    </row>
    <row r="9430" spans="1:10" x14ac:dyDescent="0.3">
      <c r="A9430" t="s">
        <v>16796</v>
      </c>
      <c r="B9430" t="s">
        <v>16797</v>
      </c>
      <c r="D9430">
        <v>1</v>
      </c>
      <c r="E9430" t="s">
        <v>37</v>
      </c>
      <c r="F9430" t="s">
        <v>16798</v>
      </c>
    </row>
    <row r="9431" spans="1:10" x14ac:dyDescent="0.3">
      <c r="A9431" t="s">
        <v>11636</v>
      </c>
      <c r="B9431" t="s">
        <v>16799</v>
      </c>
      <c r="D9431">
        <v>0.75</v>
      </c>
      <c r="E9431" t="s">
        <v>11</v>
      </c>
      <c r="F9431" t="s">
        <v>7624</v>
      </c>
    </row>
    <row r="9432" spans="1:10" x14ac:dyDescent="0.3">
      <c r="A9432" t="s">
        <v>16800</v>
      </c>
      <c r="B9432" t="s">
        <v>16801</v>
      </c>
      <c r="D9432">
        <v>0.5</v>
      </c>
      <c r="E9432" t="s">
        <v>37</v>
      </c>
      <c r="F9432" t="s">
        <v>6434</v>
      </c>
    </row>
    <row r="9433" spans="1:10" x14ac:dyDescent="0.3">
      <c r="A9433" t="s">
        <v>16802</v>
      </c>
      <c r="B9433" t="s">
        <v>4412</v>
      </c>
      <c r="D9433">
        <v>0.75</v>
      </c>
      <c r="E9433" t="s">
        <v>23</v>
      </c>
      <c r="F9433" t="s">
        <v>233</v>
      </c>
    </row>
    <row r="9434" spans="1:10" x14ac:dyDescent="0.3">
      <c r="A9434" t="s">
        <v>16803</v>
      </c>
      <c r="B9434" t="s">
        <v>16804</v>
      </c>
      <c r="D9434">
        <v>1</v>
      </c>
      <c r="E9434" t="s">
        <v>426</v>
      </c>
      <c r="F9434" t="s">
        <v>38</v>
      </c>
    </row>
    <row r="9435" spans="1:10" x14ac:dyDescent="0.3">
      <c r="A9435" t="s">
        <v>16805</v>
      </c>
      <c r="B9435" t="s">
        <v>16806</v>
      </c>
      <c r="D9435">
        <v>2.5</v>
      </c>
      <c r="E9435" t="s">
        <v>23</v>
      </c>
      <c r="F9435" t="s">
        <v>1445</v>
      </c>
      <c r="J9435" t="s">
        <v>289</v>
      </c>
    </row>
    <row r="9436" spans="1:10" x14ac:dyDescent="0.3">
      <c r="A9436" t="s">
        <v>6597</v>
      </c>
      <c r="B9436" t="s">
        <v>3424</v>
      </c>
      <c r="D9436">
        <v>1</v>
      </c>
      <c r="E9436" t="s">
        <v>23</v>
      </c>
      <c r="F9436" t="s">
        <v>1209</v>
      </c>
    </row>
    <row r="9437" spans="1:10" x14ac:dyDescent="0.3">
      <c r="A9437" t="s">
        <v>9867</v>
      </c>
      <c r="B9437" t="s">
        <v>9868</v>
      </c>
      <c r="D9437">
        <v>0.25</v>
      </c>
      <c r="E9437" t="s">
        <v>23</v>
      </c>
      <c r="F9437" t="s">
        <v>4276</v>
      </c>
    </row>
    <row r="9438" spans="1:10" x14ac:dyDescent="0.3">
      <c r="A9438" t="s">
        <v>488</v>
      </c>
      <c r="B9438" t="s">
        <v>163</v>
      </c>
      <c r="F9438" t="s">
        <v>163</v>
      </c>
    </row>
    <row r="9439" spans="1:10" x14ac:dyDescent="0.3">
      <c r="A9439" t="s">
        <v>16807</v>
      </c>
      <c r="B9439" t="s">
        <v>16808</v>
      </c>
      <c r="D9439">
        <v>1.5</v>
      </c>
      <c r="E9439" t="s">
        <v>23</v>
      </c>
      <c r="F9439" t="s">
        <v>16809</v>
      </c>
    </row>
    <row r="9440" spans="1:10" x14ac:dyDescent="0.3">
      <c r="A9440" t="s">
        <v>16810</v>
      </c>
      <c r="B9440" t="s">
        <v>16811</v>
      </c>
      <c r="D9440">
        <v>0.5</v>
      </c>
      <c r="E9440" t="s">
        <v>91</v>
      </c>
      <c r="F9440" t="s">
        <v>3196</v>
      </c>
    </row>
    <row r="9441" spans="1:10" x14ac:dyDescent="0.3">
      <c r="A9441" t="s">
        <v>668</v>
      </c>
      <c r="B9441" t="s">
        <v>16812</v>
      </c>
      <c r="D9441">
        <v>3</v>
      </c>
      <c r="E9441" t="s">
        <v>3648</v>
      </c>
      <c r="F9441" t="s">
        <v>1816</v>
      </c>
    </row>
    <row r="9442" spans="1:10" x14ac:dyDescent="0.3">
      <c r="A9442" t="s">
        <v>16813</v>
      </c>
      <c r="B9442" t="s">
        <v>518</v>
      </c>
      <c r="F9442" t="s">
        <v>518</v>
      </c>
    </row>
    <row r="9443" spans="1:10" x14ac:dyDescent="0.3">
      <c r="A9443" t="s">
        <v>15204</v>
      </c>
      <c r="B9443" t="s">
        <v>16814</v>
      </c>
      <c r="D9443">
        <v>10</v>
      </c>
      <c r="E9443" t="s">
        <v>29</v>
      </c>
      <c r="F9443" t="s">
        <v>4142</v>
      </c>
    </row>
    <row r="9444" spans="1:10" x14ac:dyDescent="0.3">
      <c r="A9444" t="s">
        <v>16815</v>
      </c>
      <c r="B9444" t="s">
        <v>16816</v>
      </c>
      <c r="D9444">
        <v>0.75</v>
      </c>
      <c r="E9444" t="s">
        <v>37</v>
      </c>
      <c r="F9444" t="s">
        <v>529</v>
      </c>
    </row>
    <row r="9445" spans="1:10" x14ac:dyDescent="0.3">
      <c r="A9445" t="s">
        <v>14001</v>
      </c>
      <c r="B9445" t="s">
        <v>9147</v>
      </c>
      <c r="D9445">
        <v>1</v>
      </c>
      <c r="E9445" t="s">
        <v>23</v>
      </c>
      <c r="F9445" t="s">
        <v>9148</v>
      </c>
    </row>
    <row r="9446" spans="1:10" x14ac:dyDescent="0.3">
      <c r="A9446" t="s">
        <v>6527</v>
      </c>
      <c r="B9446" t="s">
        <v>16817</v>
      </c>
      <c r="D9446">
        <v>0.75</v>
      </c>
      <c r="E9446" t="s">
        <v>206</v>
      </c>
      <c r="F9446" t="s">
        <v>3870</v>
      </c>
    </row>
    <row r="9447" spans="1:10" x14ac:dyDescent="0.3">
      <c r="A9447" t="s">
        <v>16818</v>
      </c>
      <c r="B9447" t="s">
        <v>14898</v>
      </c>
      <c r="D9447">
        <v>0.5</v>
      </c>
      <c r="E9447" t="s">
        <v>11</v>
      </c>
      <c r="F9447" t="s">
        <v>281</v>
      </c>
    </row>
    <row r="9448" spans="1:10" x14ac:dyDescent="0.3">
      <c r="A9448" t="s">
        <v>4341</v>
      </c>
      <c r="B9448" t="s">
        <v>1072</v>
      </c>
      <c r="D9448">
        <v>1</v>
      </c>
      <c r="E9448" t="s">
        <v>111</v>
      </c>
      <c r="F9448" t="s">
        <v>183</v>
      </c>
    </row>
    <row r="9449" spans="1:10" x14ac:dyDescent="0.3">
      <c r="A9449" t="s">
        <v>16819</v>
      </c>
      <c r="B9449" t="s">
        <v>16820</v>
      </c>
      <c r="D9449">
        <v>0.5</v>
      </c>
      <c r="E9449" t="s">
        <v>37</v>
      </c>
      <c r="F9449" t="s">
        <v>16821</v>
      </c>
    </row>
    <row r="9450" spans="1:10" x14ac:dyDescent="0.3">
      <c r="A9450" t="s">
        <v>12349</v>
      </c>
      <c r="B9450" t="s">
        <v>16822</v>
      </c>
      <c r="D9450">
        <v>1</v>
      </c>
      <c r="E9450" t="s">
        <v>2210</v>
      </c>
      <c r="F9450" t="s">
        <v>183</v>
      </c>
      <c r="J9450" t="s">
        <v>289</v>
      </c>
    </row>
    <row r="9451" spans="1:10" x14ac:dyDescent="0.3">
      <c r="A9451" t="s">
        <v>16823</v>
      </c>
      <c r="B9451" t="s">
        <v>16824</v>
      </c>
      <c r="D9451">
        <v>0.25</v>
      </c>
      <c r="E9451" t="s">
        <v>37</v>
      </c>
      <c r="F9451" t="s">
        <v>16825</v>
      </c>
    </row>
    <row r="9452" spans="1:10" x14ac:dyDescent="0.3">
      <c r="A9452" t="s">
        <v>1001</v>
      </c>
      <c r="B9452" t="s">
        <v>8905</v>
      </c>
      <c r="D9452">
        <v>1</v>
      </c>
      <c r="E9452" t="s">
        <v>23</v>
      </c>
      <c r="F9452" t="s">
        <v>1003</v>
      </c>
    </row>
    <row r="9453" spans="1:10" x14ac:dyDescent="0.3">
      <c r="A9453" t="s">
        <v>9218</v>
      </c>
      <c r="B9453" t="s">
        <v>16826</v>
      </c>
      <c r="D9453">
        <v>10.5</v>
      </c>
      <c r="E9453" t="s">
        <v>460</v>
      </c>
      <c r="F9453" t="s">
        <v>423</v>
      </c>
    </row>
    <row r="9454" spans="1:10" x14ac:dyDescent="0.3">
      <c r="A9454" t="s">
        <v>16827</v>
      </c>
      <c r="B9454" t="s">
        <v>16828</v>
      </c>
      <c r="D9454">
        <v>2</v>
      </c>
      <c r="E9454" t="s">
        <v>18</v>
      </c>
      <c r="F9454" t="s">
        <v>1895</v>
      </c>
      <c r="J9454" t="s">
        <v>289</v>
      </c>
    </row>
    <row r="9455" spans="1:10" x14ac:dyDescent="0.3">
      <c r="A9455" t="s">
        <v>16829</v>
      </c>
      <c r="B9455" t="s">
        <v>16141</v>
      </c>
      <c r="D9455">
        <v>0.5</v>
      </c>
      <c r="E9455" t="s">
        <v>11</v>
      </c>
      <c r="F9455" t="s">
        <v>16142</v>
      </c>
    </row>
    <row r="9456" spans="1:10" x14ac:dyDescent="0.3">
      <c r="A9456" t="s">
        <v>16830</v>
      </c>
      <c r="B9456" t="s">
        <v>162</v>
      </c>
      <c r="E9456" t="s">
        <v>33</v>
      </c>
      <c r="F9456" t="s">
        <v>163</v>
      </c>
      <c r="J9456" t="s">
        <v>164</v>
      </c>
    </row>
    <row r="9457" spans="1:10" x14ac:dyDescent="0.3">
      <c r="A9457" t="s">
        <v>14446</v>
      </c>
      <c r="B9457" t="s">
        <v>59</v>
      </c>
      <c r="D9457">
        <v>1</v>
      </c>
      <c r="E9457" t="s">
        <v>60</v>
      </c>
      <c r="F9457" t="s">
        <v>61</v>
      </c>
    </row>
    <row r="9458" spans="1:10" x14ac:dyDescent="0.3">
      <c r="A9458" t="s">
        <v>16831</v>
      </c>
      <c r="B9458" t="s">
        <v>16832</v>
      </c>
      <c r="D9458">
        <v>1</v>
      </c>
      <c r="E9458" t="s">
        <v>1671</v>
      </c>
      <c r="F9458" t="s">
        <v>163</v>
      </c>
      <c r="J9458" t="s">
        <v>6615</v>
      </c>
    </row>
    <row r="9459" spans="1:10" x14ac:dyDescent="0.3">
      <c r="A9459" t="s">
        <v>14192</v>
      </c>
      <c r="B9459" t="s">
        <v>159</v>
      </c>
      <c r="D9459">
        <v>0.75</v>
      </c>
      <c r="E9459" t="s">
        <v>23</v>
      </c>
      <c r="F9459" t="s">
        <v>160</v>
      </c>
      <c r="H9459" t="s">
        <v>68</v>
      </c>
    </row>
    <row r="9460" spans="1:10" x14ac:dyDescent="0.3">
      <c r="A9460" t="s">
        <v>4271</v>
      </c>
      <c r="B9460" t="s">
        <v>9347</v>
      </c>
      <c r="D9460">
        <v>1</v>
      </c>
      <c r="F9460" t="s">
        <v>163</v>
      </c>
    </row>
    <row r="9461" spans="1:10" x14ac:dyDescent="0.3">
      <c r="A9461" t="s">
        <v>14010</v>
      </c>
      <c r="B9461" t="s">
        <v>16833</v>
      </c>
      <c r="F9461" t="s">
        <v>16833</v>
      </c>
    </row>
    <row r="9462" spans="1:10" x14ac:dyDescent="0.3">
      <c r="A9462" t="s">
        <v>16834</v>
      </c>
      <c r="B9462" t="s">
        <v>4032</v>
      </c>
      <c r="F9462" t="s">
        <v>4032</v>
      </c>
    </row>
    <row r="9463" spans="1:10" x14ac:dyDescent="0.3">
      <c r="A9463" t="s">
        <v>16835</v>
      </c>
      <c r="B9463" t="s">
        <v>1235</v>
      </c>
      <c r="D9463">
        <v>0.5</v>
      </c>
      <c r="E9463" t="s">
        <v>11</v>
      </c>
      <c r="F9463" t="s">
        <v>88</v>
      </c>
    </row>
    <row r="9464" spans="1:10" x14ac:dyDescent="0.3">
      <c r="A9464" t="s">
        <v>16836</v>
      </c>
      <c r="B9464" t="s">
        <v>2013</v>
      </c>
      <c r="D9464">
        <v>0.5</v>
      </c>
      <c r="E9464" t="s">
        <v>23</v>
      </c>
      <c r="F9464" t="s">
        <v>2014</v>
      </c>
    </row>
    <row r="9465" spans="1:10" x14ac:dyDescent="0.3">
      <c r="A9465" t="s">
        <v>8016</v>
      </c>
      <c r="B9465" t="s">
        <v>16837</v>
      </c>
      <c r="D9465">
        <v>1</v>
      </c>
      <c r="E9465" t="s">
        <v>120</v>
      </c>
      <c r="F9465" t="s">
        <v>2424</v>
      </c>
    </row>
    <row r="9466" spans="1:10" x14ac:dyDescent="0.3">
      <c r="A9466" t="s">
        <v>16838</v>
      </c>
      <c r="B9466" t="s">
        <v>13199</v>
      </c>
      <c r="E9466" t="s">
        <v>435</v>
      </c>
      <c r="F9466" t="s">
        <v>1056</v>
      </c>
      <c r="J9466" t="s">
        <v>164</v>
      </c>
    </row>
    <row r="9467" spans="1:10" x14ac:dyDescent="0.3">
      <c r="A9467" t="s">
        <v>4040</v>
      </c>
      <c r="B9467" t="s">
        <v>11432</v>
      </c>
      <c r="D9467">
        <v>1</v>
      </c>
      <c r="E9467" t="s">
        <v>37</v>
      </c>
      <c r="F9467" t="s">
        <v>38</v>
      </c>
      <c r="H9467" t="s">
        <v>68</v>
      </c>
    </row>
    <row r="9468" spans="1:10" x14ac:dyDescent="0.3">
      <c r="A9468" t="s">
        <v>9244</v>
      </c>
      <c r="B9468" t="s">
        <v>8969</v>
      </c>
      <c r="D9468">
        <v>3</v>
      </c>
      <c r="F9468" t="s">
        <v>8970</v>
      </c>
      <c r="J9468" t="s">
        <v>248</v>
      </c>
    </row>
    <row r="9469" spans="1:10" x14ac:dyDescent="0.3">
      <c r="A9469" t="s">
        <v>2707</v>
      </c>
      <c r="B9469" t="s">
        <v>10340</v>
      </c>
      <c r="D9469">
        <v>10.5</v>
      </c>
      <c r="E9469" t="s">
        <v>91</v>
      </c>
      <c r="F9469" t="s">
        <v>2972</v>
      </c>
    </row>
    <row r="9470" spans="1:10" x14ac:dyDescent="0.3">
      <c r="A9470" t="s">
        <v>11288</v>
      </c>
      <c r="B9470" t="s">
        <v>16839</v>
      </c>
      <c r="D9470">
        <v>1</v>
      </c>
      <c r="E9470" t="s">
        <v>11</v>
      </c>
      <c r="F9470" t="s">
        <v>14296</v>
      </c>
    </row>
    <row r="9471" spans="1:10" x14ac:dyDescent="0.3">
      <c r="A9471" t="s">
        <v>16073</v>
      </c>
      <c r="B9471" t="s">
        <v>16840</v>
      </c>
      <c r="D9471">
        <v>1.5</v>
      </c>
      <c r="E9471" t="s">
        <v>91</v>
      </c>
      <c r="F9471" t="s">
        <v>16841</v>
      </c>
    </row>
    <row r="9472" spans="1:10" x14ac:dyDescent="0.3">
      <c r="A9472" t="s">
        <v>406</v>
      </c>
      <c r="B9472" t="s">
        <v>8034</v>
      </c>
      <c r="D9472">
        <v>1</v>
      </c>
      <c r="E9472" t="s">
        <v>23</v>
      </c>
      <c r="F9472" t="s">
        <v>4212</v>
      </c>
    </row>
    <row r="9473" spans="1:10" x14ac:dyDescent="0.3">
      <c r="A9473" t="s">
        <v>16842</v>
      </c>
      <c r="B9473" t="s">
        <v>2142</v>
      </c>
      <c r="D9473">
        <v>1</v>
      </c>
      <c r="E9473" t="s">
        <v>23</v>
      </c>
      <c r="F9473" t="s">
        <v>160</v>
      </c>
      <c r="H9473" t="s">
        <v>68</v>
      </c>
    </row>
    <row r="9474" spans="1:10" x14ac:dyDescent="0.3">
      <c r="A9474" t="s">
        <v>16843</v>
      </c>
      <c r="B9474" t="s">
        <v>16844</v>
      </c>
      <c r="D9474">
        <v>150</v>
      </c>
      <c r="E9474" t="s">
        <v>29</v>
      </c>
      <c r="F9474" t="s">
        <v>1748</v>
      </c>
    </row>
    <row r="9475" spans="1:10" x14ac:dyDescent="0.3">
      <c r="A9475" t="s">
        <v>12105</v>
      </c>
      <c r="B9475" t="s">
        <v>16845</v>
      </c>
      <c r="D9475">
        <v>0.5</v>
      </c>
      <c r="E9475" t="s">
        <v>2210</v>
      </c>
      <c r="F9475" t="s">
        <v>857</v>
      </c>
    </row>
    <row r="9476" spans="1:10" x14ac:dyDescent="0.3">
      <c r="A9476" t="s">
        <v>16846</v>
      </c>
      <c r="B9476" t="s">
        <v>16847</v>
      </c>
      <c r="D9476">
        <v>0.5</v>
      </c>
      <c r="E9476" t="s">
        <v>23</v>
      </c>
      <c r="F9476" t="s">
        <v>1828</v>
      </c>
    </row>
    <row r="9477" spans="1:10" x14ac:dyDescent="0.3">
      <c r="A9477" t="s">
        <v>16848</v>
      </c>
      <c r="B9477" t="s">
        <v>1545</v>
      </c>
      <c r="F9477" t="s">
        <v>333</v>
      </c>
      <c r="G9477" t="s">
        <v>1247</v>
      </c>
    </row>
    <row r="9478" spans="1:10" x14ac:dyDescent="0.3">
      <c r="A9478" t="s">
        <v>16849</v>
      </c>
      <c r="B9478" t="s">
        <v>14588</v>
      </c>
      <c r="D9478">
        <v>2</v>
      </c>
      <c r="E9478" t="s">
        <v>1338</v>
      </c>
      <c r="F9478" t="s">
        <v>61</v>
      </c>
    </row>
    <row r="9479" spans="1:10" x14ac:dyDescent="0.3">
      <c r="A9479" t="s">
        <v>16850</v>
      </c>
      <c r="B9479" t="s">
        <v>16851</v>
      </c>
      <c r="D9479">
        <v>1</v>
      </c>
      <c r="F9479" t="s">
        <v>16852</v>
      </c>
    </row>
    <row r="9480" spans="1:10" x14ac:dyDescent="0.3">
      <c r="A9480" t="s">
        <v>13533</v>
      </c>
      <c r="B9480" t="s">
        <v>1055</v>
      </c>
      <c r="D9480">
        <v>1</v>
      </c>
      <c r="E9480" t="s">
        <v>585</v>
      </c>
      <c r="F9480" t="s">
        <v>1056</v>
      </c>
      <c r="J9480" t="s">
        <v>248</v>
      </c>
    </row>
    <row r="9481" spans="1:10" x14ac:dyDescent="0.3">
      <c r="A9481" t="s">
        <v>8405</v>
      </c>
      <c r="B9481" t="s">
        <v>10275</v>
      </c>
      <c r="D9481">
        <v>1.5</v>
      </c>
      <c r="E9481" t="s">
        <v>23</v>
      </c>
      <c r="F9481" t="s">
        <v>2703</v>
      </c>
    </row>
    <row r="9482" spans="1:10" x14ac:dyDescent="0.3">
      <c r="A9482" t="s">
        <v>16853</v>
      </c>
      <c r="B9482" t="s">
        <v>16854</v>
      </c>
      <c r="D9482">
        <v>1</v>
      </c>
      <c r="E9482" t="s">
        <v>1944</v>
      </c>
      <c r="F9482" t="s">
        <v>16855</v>
      </c>
      <c r="G9482" t="s">
        <v>1813</v>
      </c>
      <c r="J9482" t="s">
        <v>16856</v>
      </c>
    </row>
    <row r="9483" spans="1:10" x14ac:dyDescent="0.3">
      <c r="A9483" t="s">
        <v>16857</v>
      </c>
      <c r="B9483" t="s">
        <v>16858</v>
      </c>
      <c r="D9483">
        <v>2</v>
      </c>
      <c r="F9483" t="s">
        <v>2795</v>
      </c>
    </row>
    <row r="9484" spans="1:10" x14ac:dyDescent="0.3">
      <c r="A9484" t="s">
        <v>16859</v>
      </c>
      <c r="B9484" t="s">
        <v>9570</v>
      </c>
      <c r="D9484">
        <v>1</v>
      </c>
      <c r="F9484" t="s">
        <v>1977</v>
      </c>
      <c r="J9484" t="s">
        <v>1968</v>
      </c>
    </row>
    <row r="9485" spans="1:10" x14ac:dyDescent="0.3">
      <c r="A9485" t="s">
        <v>16860</v>
      </c>
      <c r="B9485" t="s">
        <v>773</v>
      </c>
      <c r="D9485">
        <v>1</v>
      </c>
      <c r="E9485" t="s">
        <v>11</v>
      </c>
      <c r="F9485" t="s">
        <v>88</v>
      </c>
    </row>
    <row r="9486" spans="1:10" x14ac:dyDescent="0.3">
      <c r="A9486" t="s">
        <v>16861</v>
      </c>
      <c r="B9486" t="s">
        <v>6027</v>
      </c>
      <c r="D9486">
        <v>4</v>
      </c>
      <c r="E9486" t="s">
        <v>23</v>
      </c>
      <c r="F9486" t="s">
        <v>64</v>
      </c>
    </row>
    <row r="9487" spans="1:10" x14ac:dyDescent="0.3">
      <c r="A9487" t="s">
        <v>16862</v>
      </c>
      <c r="B9487" t="s">
        <v>16863</v>
      </c>
      <c r="D9487">
        <v>0.5</v>
      </c>
      <c r="E9487" t="s">
        <v>11</v>
      </c>
      <c r="F9487" t="s">
        <v>121</v>
      </c>
      <c r="G9487" t="s">
        <v>16864</v>
      </c>
      <c r="J9487" t="s">
        <v>20</v>
      </c>
    </row>
    <row r="9488" spans="1:10" x14ac:dyDescent="0.3">
      <c r="A9488" t="s">
        <v>2223</v>
      </c>
      <c r="B9488" t="s">
        <v>16865</v>
      </c>
      <c r="D9488">
        <v>150</v>
      </c>
      <c r="E9488" t="s">
        <v>29</v>
      </c>
      <c r="F9488" t="s">
        <v>2197</v>
      </c>
    </row>
    <row r="9489" spans="1:10" x14ac:dyDescent="0.3">
      <c r="A9489" t="s">
        <v>16866</v>
      </c>
      <c r="B9489" t="s">
        <v>16867</v>
      </c>
      <c r="F9489" t="s">
        <v>2413</v>
      </c>
      <c r="J9489" t="s">
        <v>790</v>
      </c>
    </row>
    <row r="9490" spans="1:10" x14ac:dyDescent="0.3">
      <c r="A9490" t="s">
        <v>10644</v>
      </c>
      <c r="B9490" t="s">
        <v>16868</v>
      </c>
      <c r="D9490">
        <v>40.5</v>
      </c>
      <c r="E9490" t="s">
        <v>23</v>
      </c>
      <c r="F9490" t="s">
        <v>16523</v>
      </c>
    </row>
    <row r="9491" spans="1:10" x14ac:dyDescent="0.3">
      <c r="A9491" t="s">
        <v>6183</v>
      </c>
      <c r="B9491" t="s">
        <v>16869</v>
      </c>
      <c r="D9491">
        <v>2</v>
      </c>
      <c r="E9491" t="s">
        <v>345</v>
      </c>
      <c r="F9491" t="s">
        <v>1883</v>
      </c>
    </row>
    <row r="9492" spans="1:10" x14ac:dyDescent="0.3">
      <c r="A9492" t="s">
        <v>16870</v>
      </c>
      <c r="B9492" t="s">
        <v>16871</v>
      </c>
      <c r="D9492">
        <v>3</v>
      </c>
      <c r="E9492" t="s">
        <v>189</v>
      </c>
      <c r="F9492" t="s">
        <v>16872</v>
      </c>
    </row>
    <row r="9493" spans="1:10" x14ac:dyDescent="0.3">
      <c r="A9493" t="s">
        <v>16873</v>
      </c>
      <c r="B9493" t="s">
        <v>16874</v>
      </c>
      <c r="D9493">
        <v>2</v>
      </c>
      <c r="E9493" t="s">
        <v>345</v>
      </c>
      <c r="F9493" t="s">
        <v>2243</v>
      </c>
      <c r="I9493" t="s">
        <v>1078</v>
      </c>
      <c r="J9493" t="s">
        <v>325</v>
      </c>
    </row>
    <row r="9494" spans="1:10" x14ac:dyDescent="0.3">
      <c r="A9494" t="s">
        <v>16875</v>
      </c>
      <c r="B9494" t="s">
        <v>9469</v>
      </c>
      <c r="D9494">
        <v>1</v>
      </c>
      <c r="E9494" t="s">
        <v>460</v>
      </c>
      <c r="F9494" t="s">
        <v>9470</v>
      </c>
    </row>
    <row r="9495" spans="1:10" x14ac:dyDescent="0.3">
      <c r="A9495" t="s">
        <v>16876</v>
      </c>
      <c r="B9495" t="s">
        <v>16877</v>
      </c>
      <c r="D9495">
        <v>12</v>
      </c>
      <c r="E9495" t="s">
        <v>23</v>
      </c>
      <c r="F9495" t="s">
        <v>10555</v>
      </c>
    </row>
    <row r="9496" spans="1:10" x14ac:dyDescent="0.3">
      <c r="A9496" t="s">
        <v>11294</v>
      </c>
      <c r="B9496" t="s">
        <v>10220</v>
      </c>
      <c r="D9496">
        <v>2</v>
      </c>
      <c r="E9496" t="s">
        <v>1281</v>
      </c>
      <c r="F9496" t="s">
        <v>1056</v>
      </c>
      <c r="J9496" t="s">
        <v>248</v>
      </c>
    </row>
    <row r="9497" spans="1:10" x14ac:dyDescent="0.3">
      <c r="A9497" t="s">
        <v>16878</v>
      </c>
      <c r="B9497" t="s">
        <v>16879</v>
      </c>
      <c r="D9497">
        <v>1</v>
      </c>
      <c r="E9497" t="s">
        <v>460</v>
      </c>
      <c r="F9497" t="s">
        <v>2342</v>
      </c>
    </row>
    <row r="9498" spans="1:10" x14ac:dyDescent="0.3">
      <c r="A9498" t="s">
        <v>6513</v>
      </c>
      <c r="B9498" t="s">
        <v>3471</v>
      </c>
      <c r="F9498" t="s">
        <v>3471</v>
      </c>
    </row>
    <row r="9499" spans="1:10" x14ac:dyDescent="0.3">
      <c r="A9499" t="s">
        <v>16880</v>
      </c>
      <c r="B9499" t="s">
        <v>16881</v>
      </c>
      <c r="D9499">
        <v>12</v>
      </c>
      <c r="E9499" t="s">
        <v>23</v>
      </c>
      <c r="F9499" t="s">
        <v>224</v>
      </c>
    </row>
    <row r="9500" spans="1:10" x14ac:dyDescent="0.3">
      <c r="A9500" t="s">
        <v>16882</v>
      </c>
      <c r="B9500" t="s">
        <v>16883</v>
      </c>
      <c r="D9500">
        <v>75</v>
      </c>
      <c r="E9500" t="s">
        <v>29</v>
      </c>
      <c r="F9500" t="s">
        <v>3132</v>
      </c>
    </row>
    <row r="9501" spans="1:10" x14ac:dyDescent="0.3">
      <c r="A9501" t="s">
        <v>4018</v>
      </c>
      <c r="B9501" t="s">
        <v>16884</v>
      </c>
      <c r="D9501">
        <v>0.5</v>
      </c>
      <c r="E9501" t="s">
        <v>37</v>
      </c>
      <c r="F9501" t="s">
        <v>6787</v>
      </c>
      <c r="J9501" t="s">
        <v>16885</v>
      </c>
    </row>
    <row r="9502" spans="1:10" x14ac:dyDescent="0.3">
      <c r="A9502" t="s">
        <v>10403</v>
      </c>
      <c r="B9502" t="s">
        <v>6392</v>
      </c>
      <c r="D9502">
        <v>2</v>
      </c>
      <c r="E9502" t="s">
        <v>189</v>
      </c>
      <c r="F9502" t="s">
        <v>2214</v>
      </c>
    </row>
    <row r="9503" spans="1:10" x14ac:dyDescent="0.3">
      <c r="A9503" t="s">
        <v>3418</v>
      </c>
      <c r="B9503" t="s">
        <v>16886</v>
      </c>
      <c r="D9503">
        <v>4.5</v>
      </c>
      <c r="E9503" t="s">
        <v>13697</v>
      </c>
      <c r="F9503" t="s">
        <v>281</v>
      </c>
    </row>
    <row r="9504" spans="1:10" x14ac:dyDescent="0.3">
      <c r="A9504" t="s">
        <v>6395</v>
      </c>
      <c r="B9504" t="s">
        <v>16887</v>
      </c>
      <c r="D9504">
        <v>0.25</v>
      </c>
      <c r="E9504" t="s">
        <v>37</v>
      </c>
      <c r="F9504" t="s">
        <v>16888</v>
      </c>
      <c r="J9504" t="s">
        <v>2028</v>
      </c>
    </row>
    <row r="9505" spans="1:10" x14ac:dyDescent="0.3">
      <c r="A9505" t="s">
        <v>12128</v>
      </c>
      <c r="B9505" t="s">
        <v>16889</v>
      </c>
      <c r="D9505">
        <v>0.33</v>
      </c>
      <c r="E9505" t="s">
        <v>284</v>
      </c>
      <c r="F9505" t="s">
        <v>1537</v>
      </c>
    </row>
    <row r="9506" spans="1:10" x14ac:dyDescent="0.3">
      <c r="A9506" t="s">
        <v>7920</v>
      </c>
      <c r="B9506" t="s">
        <v>16890</v>
      </c>
      <c r="D9506">
        <v>1</v>
      </c>
      <c r="E9506" t="s">
        <v>236</v>
      </c>
      <c r="F9506" t="s">
        <v>377</v>
      </c>
      <c r="J9506" t="s">
        <v>164</v>
      </c>
    </row>
    <row r="9507" spans="1:10" x14ac:dyDescent="0.3">
      <c r="A9507" t="s">
        <v>16891</v>
      </c>
      <c r="B9507" t="s">
        <v>277</v>
      </c>
      <c r="D9507">
        <v>3</v>
      </c>
      <c r="E9507" t="s">
        <v>23</v>
      </c>
      <c r="F9507" t="s">
        <v>278</v>
      </c>
    </row>
    <row r="9508" spans="1:10" x14ac:dyDescent="0.3">
      <c r="A9508" t="s">
        <v>16892</v>
      </c>
      <c r="B9508" t="s">
        <v>16893</v>
      </c>
      <c r="D9508">
        <v>4</v>
      </c>
      <c r="E9508" t="s">
        <v>91</v>
      </c>
      <c r="F9508" t="s">
        <v>16894</v>
      </c>
    </row>
    <row r="9509" spans="1:10" x14ac:dyDescent="0.3">
      <c r="A9509" t="s">
        <v>12406</v>
      </c>
      <c r="B9509" t="s">
        <v>16895</v>
      </c>
      <c r="D9509">
        <v>1.5</v>
      </c>
      <c r="E9509" t="s">
        <v>345</v>
      </c>
      <c r="F9509" t="s">
        <v>602</v>
      </c>
    </row>
    <row r="9510" spans="1:10" x14ac:dyDescent="0.3">
      <c r="A9510" t="s">
        <v>16896</v>
      </c>
      <c r="B9510" t="s">
        <v>4326</v>
      </c>
      <c r="D9510">
        <v>0.75</v>
      </c>
      <c r="E9510" t="s">
        <v>23</v>
      </c>
      <c r="F9510" t="s">
        <v>112</v>
      </c>
    </row>
    <row r="9511" spans="1:10" x14ac:dyDescent="0.3">
      <c r="A9511" t="s">
        <v>6746</v>
      </c>
      <c r="B9511" t="s">
        <v>16897</v>
      </c>
      <c r="D9511" t="s">
        <v>665</v>
      </c>
      <c r="E9511" t="s">
        <v>189</v>
      </c>
      <c r="F9511" t="s">
        <v>16898</v>
      </c>
      <c r="J9511" t="s">
        <v>8480</v>
      </c>
    </row>
    <row r="9512" spans="1:10" x14ac:dyDescent="0.3">
      <c r="A9512" t="s">
        <v>16899</v>
      </c>
      <c r="B9512" t="s">
        <v>16900</v>
      </c>
      <c r="D9512">
        <v>1.5</v>
      </c>
      <c r="E9512" t="s">
        <v>23</v>
      </c>
      <c r="F9512" t="s">
        <v>2385</v>
      </c>
      <c r="J9512" t="s">
        <v>289</v>
      </c>
    </row>
    <row r="9513" spans="1:10" x14ac:dyDescent="0.3">
      <c r="A9513" t="s">
        <v>16901</v>
      </c>
      <c r="B9513" t="s">
        <v>16902</v>
      </c>
      <c r="D9513">
        <v>50</v>
      </c>
      <c r="E9513" t="s">
        <v>29</v>
      </c>
      <c r="F9513" t="s">
        <v>1040</v>
      </c>
      <c r="J9513" t="s">
        <v>3025</v>
      </c>
    </row>
    <row r="9514" spans="1:10" x14ac:dyDescent="0.3">
      <c r="A9514" t="s">
        <v>16903</v>
      </c>
      <c r="B9514" t="s">
        <v>16904</v>
      </c>
      <c r="D9514">
        <v>1</v>
      </c>
      <c r="E9514" t="s">
        <v>18</v>
      </c>
      <c r="F9514" t="s">
        <v>857</v>
      </c>
    </row>
    <row r="9515" spans="1:10" x14ac:dyDescent="0.3">
      <c r="A9515" t="s">
        <v>13890</v>
      </c>
      <c r="B9515" t="s">
        <v>16905</v>
      </c>
      <c r="D9515">
        <v>4</v>
      </c>
      <c r="F9515" t="s">
        <v>14643</v>
      </c>
      <c r="G9515" t="s">
        <v>908</v>
      </c>
    </row>
    <row r="9516" spans="1:10" x14ac:dyDescent="0.3">
      <c r="A9516" t="s">
        <v>9066</v>
      </c>
      <c r="B9516" t="s">
        <v>16906</v>
      </c>
      <c r="D9516">
        <v>25</v>
      </c>
      <c r="E9516" t="s">
        <v>29</v>
      </c>
      <c r="F9516" t="s">
        <v>3904</v>
      </c>
      <c r="J9516" t="s">
        <v>16907</v>
      </c>
    </row>
    <row r="9517" spans="1:10" x14ac:dyDescent="0.3">
      <c r="A9517" t="s">
        <v>16908</v>
      </c>
      <c r="B9517" t="s">
        <v>16909</v>
      </c>
      <c r="D9517">
        <v>0.5</v>
      </c>
      <c r="E9517" t="s">
        <v>361</v>
      </c>
      <c r="F9517" t="s">
        <v>16910</v>
      </c>
    </row>
    <row r="9518" spans="1:10" x14ac:dyDescent="0.3">
      <c r="A9518" t="s">
        <v>8901</v>
      </c>
      <c r="B9518" t="s">
        <v>16911</v>
      </c>
      <c r="D9518">
        <v>0.67</v>
      </c>
      <c r="E9518" t="s">
        <v>284</v>
      </c>
      <c r="F9518" t="s">
        <v>1332</v>
      </c>
    </row>
    <row r="9519" spans="1:10" x14ac:dyDescent="0.3">
      <c r="A9519" t="s">
        <v>16912</v>
      </c>
      <c r="B9519" t="s">
        <v>16913</v>
      </c>
      <c r="D9519">
        <v>1</v>
      </c>
      <c r="E9519" t="s">
        <v>284</v>
      </c>
      <c r="F9519" t="s">
        <v>456</v>
      </c>
    </row>
    <row r="9520" spans="1:10" x14ac:dyDescent="0.3">
      <c r="A9520" t="s">
        <v>16914</v>
      </c>
      <c r="B9520" t="s">
        <v>16915</v>
      </c>
      <c r="D9520">
        <v>3</v>
      </c>
      <c r="F9520" t="s">
        <v>6187</v>
      </c>
      <c r="G9520" t="s">
        <v>908</v>
      </c>
    </row>
    <row r="9521" spans="1:10" x14ac:dyDescent="0.3">
      <c r="A9521" t="s">
        <v>16916</v>
      </c>
      <c r="B9521" t="s">
        <v>163</v>
      </c>
      <c r="F9521" t="s">
        <v>163</v>
      </c>
    </row>
    <row r="9522" spans="1:10" x14ac:dyDescent="0.3">
      <c r="A9522" t="s">
        <v>16917</v>
      </c>
      <c r="B9522" t="s">
        <v>889</v>
      </c>
      <c r="D9522">
        <v>1</v>
      </c>
      <c r="E9522" t="s">
        <v>23</v>
      </c>
      <c r="F9522" t="s">
        <v>524</v>
      </c>
    </row>
    <row r="9523" spans="1:10" x14ac:dyDescent="0.3">
      <c r="A9523" t="s">
        <v>10087</v>
      </c>
      <c r="B9523" t="s">
        <v>5213</v>
      </c>
      <c r="D9523">
        <v>3</v>
      </c>
      <c r="E9523" t="s">
        <v>23</v>
      </c>
      <c r="F9523" t="s">
        <v>383</v>
      </c>
    </row>
    <row r="9524" spans="1:10" x14ac:dyDescent="0.3">
      <c r="A9524" t="s">
        <v>5993</v>
      </c>
      <c r="B9524" t="s">
        <v>5346</v>
      </c>
      <c r="D9524">
        <v>0.75</v>
      </c>
      <c r="E9524" t="s">
        <v>37</v>
      </c>
      <c r="F9524" t="s">
        <v>160</v>
      </c>
      <c r="G9524" t="s">
        <v>167</v>
      </c>
      <c r="H9524" t="s">
        <v>168</v>
      </c>
    </row>
    <row r="9525" spans="1:10" x14ac:dyDescent="0.3">
      <c r="A9525" t="s">
        <v>16918</v>
      </c>
      <c r="B9525" t="s">
        <v>16919</v>
      </c>
      <c r="D9525">
        <v>2</v>
      </c>
      <c r="E9525" t="s">
        <v>189</v>
      </c>
      <c r="F9525" t="s">
        <v>2955</v>
      </c>
    </row>
    <row r="9526" spans="1:10" x14ac:dyDescent="0.3">
      <c r="A9526" t="s">
        <v>6960</v>
      </c>
      <c r="B9526" t="s">
        <v>16920</v>
      </c>
      <c r="D9526">
        <v>1</v>
      </c>
      <c r="F9526" t="s">
        <v>377</v>
      </c>
      <c r="G9526" t="s">
        <v>167</v>
      </c>
      <c r="H9526" t="s">
        <v>168</v>
      </c>
      <c r="J9526" t="s">
        <v>325</v>
      </c>
    </row>
    <row r="9527" spans="1:10" x14ac:dyDescent="0.3">
      <c r="A9527" t="s">
        <v>16921</v>
      </c>
      <c r="B9527" t="s">
        <v>3530</v>
      </c>
      <c r="F9527" t="s">
        <v>3530</v>
      </c>
    </row>
    <row r="9528" spans="1:10" x14ac:dyDescent="0.3">
      <c r="A9528" t="s">
        <v>12902</v>
      </c>
      <c r="B9528" t="s">
        <v>10216</v>
      </c>
      <c r="D9528">
        <v>0.5</v>
      </c>
      <c r="E9528" t="s">
        <v>23</v>
      </c>
      <c r="F9528" t="s">
        <v>423</v>
      </c>
    </row>
    <row r="9529" spans="1:10" x14ac:dyDescent="0.3">
      <c r="A9529" t="s">
        <v>16922</v>
      </c>
      <c r="B9529" t="s">
        <v>163</v>
      </c>
      <c r="F9529" t="s">
        <v>163</v>
      </c>
    </row>
    <row r="9530" spans="1:10" x14ac:dyDescent="0.3">
      <c r="A9530" t="s">
        <v>829</v>
      </c>
      <c r="B9530" t="s">
        <v>16923</v>
      </c>
      <c r="J9530" t="s">
        <v>16923</v>
      </c>
    </row>
    <row r="9531" spans="1:10" x14ac:dyDescent="0.3">
      <c r="A9531" t="s">
        <v>16924</v>
      </c>
      <c r="B9531" t="s">
        <v>16925</v>
      </c>
      <c r="D9531">
        <v>3</v>
      </c>
      <c r="E9531" t="s">
        <v>189</v>
      </c>
      <c r="F9531" t="s">
        <v>11244</v>
      </c>
      <c r="J9531" t="s">
        <v>16926</v>
      </c>
    </row>
    <row r="9532" spans="1:10" x14ac:dyDescent="0.3">
      <c r="A9532" t="s">
        <v>15920</v>
      </c>
      <c r="B9532" t="s">
        <v>3019</v>
      </c>
      <c r="D9532">
        <v>1.5</v>
      </c>
      <c r="E9532" t="s">
        <v>23</v>
      </c>
      <c r="F9532" t="s">
        <v>1209</v>
      </c>
    </row>
    <row r="9533" spans="1:10" x14ac:dyDescent="0.3">
      <c r="A9533" t="s">
        <v>16927</v>
      </c>
      <c r="B9533" t="s">
        <v>711</v>
      </c>
      <c r="D9533">
        <v>1</v>
      </c>
      <c r="E9533" t="s">
        <v>23</v>
      </c>
      <c r="F9533" t="s">
        <v>712</v>
      </c>
    </row>
    <row r="9534" spans="1:10" x14ac:dyDescent="0.3">
      <c r="A9534" t="s">
        <v>16928</v>
      </c>
      <c r="B9534" t="s">
        <v>16929</v>
      </c>
      <c r="D9534">
        <v>0.5</v>
      </c>
      <c r="E9534" t="s">
        <v>1843</v>
      </c>
      <c r="F9534" t="s">
        <v>3794</v>
      </c>
    </row>
    <row r="9535" spans="1:10" x14ac:dyDescent="0.3">
      <c r="A9535" t="s">
        <v>11384</v>
      </c>
      <c r="B9535" t="s">
        <v>1596</v>
      </c>
      <c r="D9535">
        <v>1</v>
      </c>
      <c r="E9535" t="s">
        <v>18</v>
      </c>
      <c r="F9535" t="s">
        <v>190</v>
      </c>
    </row>
    <row r="9536" spans="1:10" x14ac:dyDescent="0.3">
      <c r="A9536" t="s">
        <v>5407</v>
      </c>
      <c r="B9536" t="s">
        <v>3050</v>
      </c>
      <c r="D9536">
        <v>25</v>
      </c>
      <c r="E9536" t="s">
        <v>29</v>
      </c>
      <c r="F9536" t="s">
        <v>233</v>
      </c>
    </row>
    <row r="9537" spans="1:10" x14ac:dyDescent="0.3">
      <c r="A9537" t="s">
        <v>12537</v>
      </c>
      <c r="B9537" t="s">
        <v>16930</v>
      </c>
      <c r="D9537">
        <v>12</v>
      </c>
      <c r="E9537" t="s">
        <v>23</v>
      </c>
      <c r="F9537" t="s">
        <v>1816</v>
      </c>
    </row>
    <row r="9538" spans="1:10" x14ac:dyDescent="0.3">
      <c r="A9538" t="s">
        <v>3889</v>
      </c>
      <c r="B9538" t="s">
        <v>6720</v>
      </c>
      <c r="D9538">
        <v>1</v>
      </c>
      <c r="E9538" t="s">
        <v>23</v>
      </c>
      <c r="F9538" t="s">
        <v>6721</v>
      </c>
    </row>
    <row r="9539" spans="1:10" x14ac:dyDescent="0.3">
      <c r="A9539" t="s">
        <v>10024</v>
      </c>
      <c r="B9539" t="s">
        <v>16931</v>
      </c>
      <c r="D9539">
        <v>0.5</v>
      </c>
      <c r="E9539" t="s">
        <v>37</v>
      </c>
      <c r="F9539" t="s">
        <v>551</v>
      </c>
      <c r="G9539" t="s">
        <v>167</v>
      </c>
      <c r="H9539" t="s">
        <v>168</v>
      </c>
    </row>
    <row r="9540" spans="1:10" x14ac:dyDescent="0.3">
      <c r="A9540" t="s">
        <v>4840</v>
      </c>
      <c r="B9540" t="s">
        <v>1097</v>
      </c>
      <c r="F9540" t="s">
        <v>1097</v>
      </c>
    </row>
    <row r="9541" spans="1:10" x14ac:dyDescent="0.3">
      <c r="A9541" t="s">
        <v>16932</v>
      </c>
      <c r="B9541" t="s">
        <v>9383</v>
      </c>
      <c r="D9541">
        <v>1</v>
      </c>
      <c r="F9541" t="s">
        <v>1056</v>
      </c>
    </row>
    <row r="9542" spans="1:10" x14ac:dyDescent="0.3">
      <c r="A9542" t="s">
        <v>5673</v>
      </c>
      <c r="B9542" t="s">
        <v>16933</v>
      </c>
      <c r="D9542">
        <v>4</v>
      </c>
      <c r="F9542" t="s">
        <v>5161</v>
      </c>
      <c r="G9542" t="s">
        <v>3348</v>
      </c>
      <c r="H9542" t="s">
        <v>68</v>
      </c>
    </row>
    <row r="9543" spans="1:10" x14ac:dyDescent="0.3">
      <c r="A9543" t="s">
        <v>16934</v>
      </c>
      <c r="B9543" t="s">
        <v>4517</v>
      </c>
      <c r="D9543">
        <v>1.5</v>
      </c>
      <c r="E9543" t="s">
        <v>23</v>
      </c>
      <c r="F9543" t="s">
        <v>241</v>
      </c>
    </row>
    <row r="9544" spans="1:10" x14ac:dyDescent="0.3">
      <c r="A9544" t="s">
        <v>16935</v>
      </c>
      <c r="B9544" t="s">
        <v>16936</v>
      </c>
      <c r="D9544">
        <v>7</v>
      </c>
      <c r="E9544" t="s">
        <v>23</v>
      </c>
      <c r="F9544" t="s">
        <v>738</v>
      </c>
    </row>
    <row r="9545" spans="1:10" x14ac:dyDescent="0.3">
      <c r="A9545" t="s">
        <v>16937</v>
      </c>
      <c r="B9545" t="s">
        <v>4139</v>
      </c>
      <c r="D9545">
        <v>2.5</v>
      </c>
      <c r="E9545" t="s">
        <v>23</v>
      </c>
      <c r="F9545" t="s">
        <v>233</v>
      </c>
    </row>
    <row r="9546" spans="1:10" x14ac:dyDescent="0.3">
      <c r="A9546" t="s">
        <v>16938</v>
      </c>
      <c r="B9546" t="s">
        <v>16939</v>
      </c>
      <c r="F9546" t="s">
        <v>672</v>
      </c>
      <c r="J9546" t="s">
        <v>16940</v>
      </c>
    </row>
    <row r="9547" spans="1:10" x14ac:dyDescent="0.3">
      <c r="A9547" t="s">
        <v>8932</v>
      </c>
      <c r="B9547" t="s">
        <v>16941</v>
      </c>
      <c r="D9547">
        <v>1</v>
      </c>
      <c r="E9547" t="s">
        <v>246</v>
      </c>
      <c r="F9547" t="s">
        <v>16942</v>
      </c>
      <c r="J9547" t="s">
        <v>248</v>
      </c>
    </row>
    <row r="9548" spans="1:10" x14ac:dyDescent="0.3">
      <c r="A9548" t="s">
        <v>16943</v>
      </c>
      <c r="B9548" t="s">
        <v>4536</v>
      </c>
      <c r="D9548">
        <v>1</v>
      </c>
      <c r="E9548" t="s">
        <v>60</v>
      </c>
      <c r="F9548" t="s">
        <v>3353</v>
      </c>
    </row>
    <row r="9549" spans="1:10" x14ac:dyDescent="0.3">
      <c r="A9549" t="s">
        <v>4918</v>
      </c>
      <c r="B9549" t="s">
        <v>16944</v>
      </c>
      <c r="D9549">
        <v>4</v>
      </c>
      <c r="E9549" t="s">
        <v>23</v>
      </c>
      <c r="F9549" t="s">
        <v>8869</v>
      </c>
    </row>
    <row r="9550" spans="1:10" x14ac:dyDescent="0.3">
      <c r="A9550" t="s">
        <v>6572</v>
      </c>
      <c r="B9550" t="s">
        <v>16945</v>
      </c>
      <c r="D9550">
        <v>2</v>
      </c>
      <c r="E9550" t="s">
        <v>1983</v>
      </c>
      <c r="F9550" t="s">
        <v>1984</v>
      </c>
      <c r="J9550" t="s">
        <v>1214</v>
      </c>
    </row>
    <row r="9551" spans="1:10" x14ac:dyDescent="0.3">
      <c r="A9551" t="s">
        <v>1166</v>
      </c>
      <c r="B9551" t="s">
        <v>16946</v>
      </c>
      <c r="D9551">
        <v>25</v>
      </c>
      <c r="E9551" t="s">
        <v>29</v>
      </c>
      <c r="F9551" t="s">
        <v>16947</v>
      </c>
    </row>
    <row r="9552" spans="1:10" x14ac:dyDescent="0.3">
      <c r="A9552" t="s">
        <v>16948</v>
      </c>
      <c r="B9552" t="s">
        <v>16949</v>
      </c>
      <c r="D9552">
        <v>1.5</v>
      </c>
      <c r="E9552" t="s">
        <v>23</v>
      </c>
      <c r="F9552" t="s">
        <v>10684</v>
      </c>
    </row>
    <row r="9553" spans="1:10" x14ac:dyDescent="0.3">
      <c r="A9553" t="s">
        <v>16950</v>
      </c>
      <c r="B9553" t="s">
        <v>16951</v>
      </c>
      <c r="D9553">
        <v>1</v>
      </c>
      <c r="E9553" t="s">
        <v>1785</v>
      </c>
      <c r="F9553" t="s">
        <v>2496</v>
      </c>
    </row>
    <row r="9554" spans="1:10" x14ac:dyDescent="0.3">
      <c r="A9554" t="s">
        <v>12226</v>
      </c>
      <c r="B9554" t="s">
        <v>11878</v>
      </c>
      <c r="D9554">
        <v>0.5</v>
      </c>
      <c r="E9554" t="s">
        <v>23</v>
      </c>
      <c r="F9554" t="s">
        <v>11879</v>
      </c>
    </row>
    <row r="9555" spans="1:10" x14ac:dyDescent="0.3">
      <c r="A9555" t="s">
        <v>14581</v>
      </c>
      <c r="B9555" t="s">
        <v>16952</v>
      </c>
      <c r="D9555">
        <v>1</v>
      </c>
      <c r="E9555" t="s">
        <v>18</v>
      </c>
      <c r="F9555" t="s">
        <v>9130</v>
      </c>
      <c r="I9555" t="s">
        <v>3058</v>
      </c>
    </row>
    <row r="9556" spans="1:10" x14ac:dyDescent="0.3">
      <c r="A9556" t="s">
        <v>16953</v>
      </c>
      <c r="B9556" t="s">
        <v>16954</v>
      </c>
      <c r="D9556">
        <v>1</v>
      </c>
      <c r="E9556" t="s">
        <v>23</v>
      </c>
      <c r="F9556" t="s">
        <v>11994</v>
      </c>
      <c r="J9556" t="s">
        <v>289</v>
      </c>
    </row>
    <row r="9557" spans="1:10" x14ac:dyDescent="0.3">
      <c r="A9557" t="s">
        <v>7244</v>
      </c>
      <c r="B9557" t="s">
        <v>16955</v>
      </c>
      <c r="D9557">
        <v>0.75</v>
      </c>
      <c r="E9557" t="s">
        <v>37</v>
      </c>
      <c r="F9557" t="s">
        <v>1828</v>
      </c>
    </row>
    <row r="9558" spans="1:10" x14ac:dyDescent="0.3">
      <c r="A9558" t="s">
        <v>5654</v>
      </c>
      <c r="B9558" t="s">
        <v>13096</v>
      </c>
      <c r="F9558" t="s">
        <v>13096</v>
      </c>
    </row>
    <row r="9559" spans="1:10" x14ac:dyDescent="0.3">
      <c r="A9559" t="s">
        <v>9072</v>
      </c>
      <c r="B9559" t="s">
        <v>16956</v>
      </c>
      <c r="D9559">
        <v>0.5</v>
      </c>
      <c r="E9559" t="s">
        <v>37</v>
      </c>
      <c r="F9559" t="s">
        <v>16957</v>
      </c>
    </row>
    <row r="9560" spans="1:10" x14ac:dyDescent="0.3">
      <c r="A9560" t="s">
        <v>16958</v>
      </c>
      <c r="B9560" t="s">
        <v>16959</v>
      </c>
      <c r="D9560">
        <v>6</v>
      </c>
      <c r="E9560" t="s">
        <v>71</v>
      </c>
      <c r="F9560" t="s">
        <v>3163</v>
      </c>
    </row>
    <row r="9561" spans="1:10" x14ac:dyDescent="0.3">
      <c r="A9561" t="s">
        <v>5152</v>
      </c>
      <c r="B9561" t="s">
        <v>16960</v>
      </c>
      <c r="D9561">
        <v>0.5</v>
      </c>
      <c r="E9561" t="s">
        <v>37</v>
      </c>
      <c r="F9561" t="s">
        <v>1889</v>
      </c>
      <c r="J9561" t="s">
        <v>16961</v>
      </c>
    </row>
    <row r="9562" spans="1:10" x14ac:dyDescent="0.3">
      <c r="A9562" t="s">
        <v>16962</v>
      </c>
      <c r="B9562" t="s">
        <v>16963</v>
      </c>
      <c r="D9562">
        <v>1</v>
      </c>
      <c r="E9562" t="s">
        <v>11</v>
      </c>
      <c r="F9562" t="s">
        <v>7063</v>
      </c>
    </row>
    <row r="9563" spans="1:10" x14ac:dyDescent="0.3">
      <c r="A9563" t="s">
        <v>6175</v>
      </c>
      <c r="B9563" t="s">
        <v>16964</v>
      </c>
      <c r="D9563">
        <v>1.5</v>
      </c>
      <c r="E9563" t="s">
        <v>91</v>
      </c>
      <c r="F9563" t="s">
        <v>16965</v>
      </c>
    </row>
    <row r="9564" spans="1:10" x14ac:dyDescent="0.3">
      <c r="A9564" t="s">
        <v>2673</v>
      </c>
      <c r="B9564" t="s">
        <v>2488</v>
      </c>
      <c r="D9564">
        <v>1</v>
      </c>
      <c r="E9564" t="s">
        <v>435</v>
      </c>
      <c r="F9564" t="s">
        <v>237</v>
      </c>
    </row>
    <row r="9565" spans="1:10" x14ac:dyDescent="0.3">
      <c r="A9565" t="s">
        <v>2611</v>
      </c>
      <c r="B9565" t="s">
        <v>16966</v>
      </c>
      <c r="D9565">
        <v>3</v>
      </c>
      <c r="E9565" t="s">
        <v>71</v>
      </c>
      <c r="F9565" t="s">
        <v>220</v>
      </c>
    </row>
    <row r="9566" spans="1:10" x14ac:dyDescent="0.3">
      <c r="A9566" t="s">
        <v>16967</v>
      </c>
      <c r="B9566" t="s">
        <v>16968</v>
      </c>
      <c r="D9566">
        <v>3</v>
      </c>
      <c r="E9566" t="s">
        <v>227</v>
      </c>
      <c r="F9566" t="s">
        <v>716</v>
      </c>
    </row>
    <row r="9567" spans="1:10" x14ac:dyDescent="0.3">
      <c r="A9567" t="s">
        <v>8121</v>
      </c>
      <c r="B9567" t="s">
        <v>8905</v>
      </c>
      <c r="D9567">
        <v>1</v>
      </c>
      <c r="E9567" t="s">
        <v>23</v>
      </c>
      <c r="F9567" t="s">
        <v>1003</v>
      </c>
    </row>
    <row r="9568" spans="1:10" x14ac:dyDescent="0.3">
      <c r="A9568" t="s">
        <v>5034</v>
      </c>
      <c r="B9568" t="s">
        <v>3019</v>
      </c>
      <c r="D9568">
        <v>1.5</v>
      </c>
      <c r="E9568" t="s">
        <v>23</v>
      </c>
      <c r="F9568" t="s">
        <v>1209</v>
      </c>
    </row>
    <row r="9569" spans="1:10" x14ac:dyDescent="0.3">
      <c r="A9569" t="s">
        <v>16969</v>
      </c>
      <c r="B9569" t="s">
        <v>16970</v>
      </c>
      <c r="D9569">
        <v>10.5</v>
      </c>
      <c r="E9569" t="s">
        <v>91</v>
      </c>
      <c r="F9569" t="s">
        <v>16971</v>
      </c>
    </row>
    <row r="9570" spans="1:10" x14ac:dyDescent="0.3">
      <c r="A9570" t="s">
        <v>7580</v>
      </c>
      <c r="B9570" t="s">
        <v>5811</v>
      </c>
      <c r="E9570" t="s">
        <v>2397</v>
      </c>
      <c r="F9570" t="s">
        <v>1984</v>
      </c>
      <c r="J9570" t="s">
        <v>1124</v>
      </c>
    </row>
    <row r="9571" spans="1:10" x14ac:dyDescent="0.3">
      <c r="A9571" t="s">
        <v>16972</v>
      </c>
      <c r="B9571" t="s">
        <v>5161</v>
      </c>
      <c r="F9571" t="s">
        <v>5161</v>
      </c>
    </row>
    <row r="9572" spans="1:10" x14ac:dyDescent="0.3">
      <c r="A9572" t="s">
        <v>16973</v>
      </c>
      <c r="B9572" t="s">
        <v>2225</v>
      </c>
      <c r="D9572">
        <v>1</v>
      </c>
      <c r="E9572" t="s">
        <v>23</v>
      </c>
      <c r="F9572" t="s">
        <v>183</v>
      </c>
    </row>
    <row r="9573" spans="1:10" x14ac:dyDescent="0.3">
      <c r="A9573" t="s">
        <v>15783</v>
      </c>
      <c r="B9573" t="s">
        <v>16974</v>
      </c>
      <c r="D9573">
        <v>50</v>
      </c>
      <c r="E9573" t="s">
        <v>29</v>
      </c>
      <c r="F9573" t="s">
        <v>16975</v>
      </c>
    </row>
    <row r="9574" spans="1:10" x14ac:dyDescent="0.3">
      <c r="A9574" t="s">
        <v>16976</v>
      </c>
      <c r="B9574" t="s">
        <v>1237</v>
      </c>
      <c r="D9574">
        <v>1</v>
      </c>
      <c r="E9574" t="s">
        <v>23</v>
      </c>
      <c r="F9574" t="s">
        <v>1238</v>
      </c>
    </row>
    <row r="9575" spans="1:10" x14ac:dyDescent="0.3">
      <c r="A9575" t="s">
        <v>16977</v>
      </c>
      <c r="B9575" t="s">
        <v>16978</v>
      </c>
      <c r="D9575">
        <v>0.67</v>
      </c>
      <c r="E9575" t="s">
        <v>23</v>
      </c>
      <c r="F9575" t="s">
        <v>1209</v>
      </c>
    </row>
    <row r="9576" spans="1:10" x14ac:dyDescent="0.3">
      <c r="A9576" t="s">
        <v>12946</v>
      </c>
      <c r="B9576" t="s">
        <v>1222</v>
      </c>
      <c r="D9576">
        <v>2</v>
      </c>
      <c r="E9576" t="s">
        <v>189</v>
      </c>
      <c r="F9576" t="s">
        <v>1223</v>
      </c>
    </row>
    <row r="9577" spans="1:10" x14ac:dyDescent="0.3">
      <c r="A9577" t="s">
        <v>1725</v>
      </c>
      <c r="B9577" t="s">
        <v>13592</v>
      </c>
      <c r="D9577">
        <v>2</v>
      </c>
      <c r="E9577" t="s">
        <v>23</v>
      </c>
      <c r="F9577" t="s">
        <v>9991</v>
      </c>
    </row>
    <row r="9578" spans="1:10" x14ac:dyDescent="0.3">
      <c r="A9578" t="s">
        <v>13761</v>
      </c>
      <c r="B9578" t="s">
        <v>968</v>
      </c>
      <c r="D9578">
        <v>1</v>
      </c>
      <c r="E9578" t="s">
        <v>23</v>
      </c>
      <c r="F9578" t="s">
        <v>199</v>
      </c>
    </row>
    <row r="9579" spans="1:10" x14ac:dyDescent="0.3">
      <c r="A9579" t="s">
        <v>16979</v>
      </c>
      <c r="B9579" t="s">
        <v>16980</v>
      </c>
      <c r="D9579">
        <v>2</v>
      </c>
      <c r="E9579" t="s">
        <v>71</v>
      </c>
      <c r="F9579" t="s">
        <v>524</v>
      </c>
    </row>
    <row r="9580" spans="1:10" x14ac:dyDescent="0.3">
      <c r="A9580" t="s">
        <v>16981</v>
      </c>
      <c r="B9580" t="s">
        <v>16982</v>
      </c>
      <c r="D9580">
        <v>4</v>
      </c>
      <c r="E9580" t="s">
        <v>23</v>
      </c>
      <c r="F9580" t="s">
        <v>98</v>
      </c>
    </row>
    <row r="9581" spans="1:10" x14ac:dyDescent="0.3">
      <c r="A9581" t="s">
        <v>16983</v>
      </c>
      <c r="B9581" t="s">
        <v>16984</v>
      </c>
      <c r="D9581">
        <v>6</v>
      </c>
      <c r="E9581" t="s">
        <v>23</v>
      </c>
      <c r="F9581" t="s">
        <v>716</v>
      </c>
    </row>
    <row r="9582" spans="1:10" x14ac:dyDescent="0.3">
      <c r="A9582" t="s">
        <v>16985</v>
      </c>
      <c r="B9582" t="s">
        <v>10901</v>
      </c>
      <c r="F9582" t="s">
        <v>10901</v>
      </c>
    </row>
    <row r="9583" spans="1:10" x14ac:dyDescent="0.3">
      <c r="A9583" t="s">
        <v>1012</v>
      </c>
      <c r="B9583" t="s">
        <v>7078</v>
      </c>
      <c r="D9583">
        <v>2</v>
      </c>
      <c r="E9583" t="s">
        <v>91</v>
      </c>
      <c r="F9583" t="s">
        <v>98</v>
      </c>
    </row>
    <row r="9584" spans="1:10" x14ac:dyDescent="0.3">
      <c r="A9584" t="s">
        <v>8048</v>
      </c>
      <c r="B9584" t="s">
        <v>211</v>
      </c>
      <c r="D9584">
        <v>1</v>
      </c>
      <c r="E9584" t="s">
        <v>11</v>
      </c>
      <c r="F9584" t="s">
        <v>57</v>
      </c>
    </row>
    <row r="9585" spans="1:10" x14ac:dyDescent="0.3">
      <c r="A9585" t="s">
        <v>16986</v>
      </c>
      <c r="B9585" t="s">
        <v>16987</v>
      </c>
      <c r="D9585" t="s">
        <v>1650</v>
      </c>
      <c r="E9585" t="s">
        <v>23</v>
      </c>
      <c r="F9585" t="s">
        <v>1011</v>
      </c>
      <c r="I9585" t="s">
        <v>3058</v>
      </c>
    </row>
    <row r="9586" spans="1:10" x14ac:dyDescent="0.3">
      <c r="A9586" t="s">
        <v>15041</v>
      </c>
      <c r="B9586" t="s">
        <v>1125</v>
      </c>
      <c r="D9586">
        <v>15</v>
      </c>
      <c r="E9586" t="s">
        <v>29</v>
      </c>
      <c r="F9586" t="s">
        <v>1126</v>
      </c>
    </row>
    <row r="9587" spans="1:10" x14ac:dyDescent="0.3">
      <c r="A9587" t="s">
        <v>2632</v>
      </c>
      <c r="B9587" t="s">
        <v>8802</v>
      </c>
      <c r="D9587">
        <v>3</v>
      </c>
      <c r="E9587" t="s">
        <v>91</v>
      </c>
      <c r="F9587" t="s">
        <v>57</v>
      </c>
    </row>
    <row r="9588" spans="1:10" x14ac:dyDescent="0.3">
      <c r="A9588" t="s">
        <v>12652</v>
      </c>
      <c r="B9588" t="s">
        <v>16988</v>
      </c>
      <c r="D9588">
        <v>4</v>
      </c>
      <c r="E9588" t="s">
        <v>23</v>
      </c>
      <c r="F9588" t="s">
        <v>16989</v>
      </c>
    </row>
    <row r="9589" spans="1:10" x14ac:dyDescent="0.3">
      <c r="A9589" t="s">
        <v>13777</v>
      </c>
      <c r="B9589" t="s">
        <v>16990</v>
      </c>
      <c r="D9589">
        <v>1</v>
      </c>
      <c r="E9589" t="s">
        <v>284</v>
      </c>
      <c r="F9589" t="s">
        <v>413</v>
      </c>
      <c r="G9589" t="s">
        <v>1014</v>
      </c>
      <c r="J9589" t="s">
        <v>16991</v>
      </c>
    </row>
    <row r="9590" spans="1:10" x14ac:dyDescent="0.3">
      <c r="A9590" t="s">
        <v>8927</v>
      </c>
      <c r="B9590" t="s">
        <v>4094</v>
      </c>
      <c r="D9590">
        <v>0.5</v>
      </c>
      <c r="E9590" t="s">
        <v>23</v>
      </c>
      <c r="F9590" t="s">
        <v>281</v>
      </c>
    </row>
    <row r="9591" spans="1:10" x14ac:dyDescent="0.3">
      <c r="A9591" t="s">
        <v>16992</v>
      </c>
      <c r="B9591" t="s">
        <v>4197</v>
      </c>
      <c r="D9591">
        <v>3</v>
      </c>
      <c r="E9591" t="s">
        <v>1338</v>
      </c>
      <c r="F9591" t="s">
        <v>1043</v>
      </c>
      <c r="J9591" t="s">
        <v>289</v>
      </c>
    </row>
    <row r="9592" spans="1:10" x14ac:dyDescent="0.3">
      <c r="A9592" t="s">
        <v>16993</v>
      </c>
      <c r="B9592" t="s">
        <v>2069</v>
      </c>
      <c r="D9592">
        <v>2</v>
      </c>
      <c r="E9592" t="s">
        <v>23</v>
      </c>
      <c r="F9592" t="s">
        <v>64</v>
      </c>
    </row>
    <row r="9593" spans="1:10" x14ac:dyDescent="0.3">
      <c r="A9593" t="s">
        <v>7538</v>
      </c>
      <c r="B9593" t="s">
        <v>16994</v>
      </c>
      <c r="D9593">
        <v>1</v>
      </c>
      <c r="F9593" t="s">
        <v>16995</v>
      </c>
    </row>
    <row r="9594" spans="1:10" x14ac:dyDescent="0.3">
      <c r="A9594" t="s">
        <v>1778</v>
      </c>
      <c r="B9594" t="s">
        <v>16996</v>
      </c>
      <c r="D9594">
        <v>0.5</v>
      </c>
      <c r="E9594" t="s">
        <v>37</v>
      </c>
      <c r="F9594" t="s">
        <v>16997</v>
      </c>
    </row>
    <row r="9595" spans="1:10" x14ac:dyDescent="0.3">
      <c r="A9595" t="s">
        <v>16998</v>
      </c>
      <c r="B9595" t="s">
        <v>1072</v>
      </c>
      <c r="D9595">
        <v>1</v>
      </c>
      <c r="E9595" t="s">
        <v>111</v>
      </c>
      <c r="F9595" t="s">
        <v>183</v>
      </c>
    </row>
    <row r="9596" spans="1:10" x14ac:dyDescent="0.3">
      <c r="A9596" t="s">
        <v>14100</v>
      </c>
      <c r="B9596" t="s">
        <v>16999</v>
      </c>
      <c r="D9596">
        <v>0.75</v>
      </c>
      <c r="E9596" t="s">
        <v>23</v>
      </c>
      <c r="F9596" t="s">
        <v>17000</v>
      </c>
    </row>
    <row r="9597" spans="1:10" x14ac:dyDescent="0.3">
      <c r="A9597" t="s">
        <v>17001</v>
      </c>
      <c r="B9597" t="s">
        <v>4793</v>
      </c>
      <c r="D9597">
        <v>1.5</v>
      </c>
      <c r="E9597" t="s">
        <v>23</v>
      </c>
      <c r="F9597" t="s">
        <v>1003</v>
      </c>
    </row>
    <row r="9598" spans="1:10" x14ac:dyDescent="0.3">
      <c r="A9598" t="s">
        <v>17002</v>
      </c>
      <c r="B9598" t="s">
        <v>17003</v>
      </c>
      <c r="D9598">
        <v>1.5</v>
      </c>
      <c r="E9598" t="s">
        <v>23</v>
      </c>
      <c r="F9598" t="s">
        <v>4137</v>
      </c>
    </row>
    <row r="9599" spans="1:10" x14ac:dyDescent="0.3">
      <c r="A9599" t="s">
        <v>17004</v>
      </c>
      <c r="B9599" t="s">
        <v>233</v>
      </c>
      <c r="F9599" t="s">
        <v>233</v>
      </c>
    </row>
    <row r="9600" spans="1:10" x14ac:dyDescent="0.3">
      <c r="A9600" t="s">
        <v>17005</v>
      </c>
      <c r="B9600" t="s">
        <v>278</v>
      </c>
      <c r="F9600" t="s">
        <v>278</v>
      </c>
    </row>
    <row r="9601" spans="1:10" x14ac:dyDescent="0.3">
      <c r="A9601" t="s">
        <v>17006</v>
      </c>
      <c r="B9601" t="s">
        <v>1204</v>
      </c>
      <c r="F9601" t="s">
        <v>1204</v>
      </c>
    </row>
    <row r="9602" spans="1:10" x14ac:dyDescent="0.3">
      <c r="A9602" t="s">
        <v>4668</v>
      </c>
      <c r="B9602" t="s">
        <v>907</v>
      </c>
      <c r="F9602" t="s">
        <v>907</v>
      </c>
    </row>
    <row r="9603" spans="1:10" x14ac:dyDescent="0.3">
      <c r="A9603" t="s">
        <v>17007</v>
      </c>
      <c r="B9603" t="s">
        <v>17008</v>
      </c>
      <c r="D9603">
        <v>1</v>
      </c>
      <c r="E9603" t="s">
        <v>460</v>
      </c>
      <c r="F9603" t="s">
        <v>1431</v>
      </c>
    </row>
    <row r="9604" spans="1:10" x14ac:dyDescent="0.3">
      <c r="A9604" t="s">
        <v>17009</v>
      </c>
      <c r="B9604" t="s">
        <v>17010</v>
      </c>
      <c r="D9604">
        <v>4.5</v>
      </c>
      <c r="E9604" t="s">
        <v>2782</v>
      </c>
      <c r="F9604" t="s">
        <v>17011</v>
      </c>
    </row>
    <row r="9605" spans="1:10" x14ac:dyDescent="0.3">
      <c r="A9605" t="s">
        <v>17012</v>
      </c>
      <c r="B9605" t="s">
        <v>17013</v>
      </c>
      <c r="D9605">
        <v>750</v>
      </c>
      <c r="E9605" t="s">
        <v>29</v>
      </c>
      <c r="F9605" t="s">
        <v>8608</v>
      </c>
    </row>
    <row r="9606" spans="1:10" x14ac:dyDescent="0.3">
      <c r="A9606" t="s">
        <v>17014</v>
      </c>
      <c r="B9606" t="s">
        <v>17015</v>
      </c>
      <c r="D9606">
        <v>70</v>
      </c>
      <c r="E9606" t="s">
        <v>29</v>
      </c>
      <c r="F9606" t="s">
        <v>281</v>
      </c>
    </row>
    <row r="9607" spans="1:10" x14ac:dyDescent="0.3">
      <c r="A9607" t="s">
        <v>17016</v>
      </c>
      <c r="B9607" t="s">
        <v>17017</v>
      </c>
      <c r="D9607">
        <v>0.75</v>
      </c>
      <c r="E9607" t="s">
        <v>11</v>
      </c>
      <c r="F9607" t="s">
        <v>163</v>
      </c>
    </row>
    <row r="9608" spans="1:10" x14ac:dyDescent="0.3">
      <c r="A9608" t="s">
        <v>17018</v>
      </c>
      <c r="B9608" t="s">
        <v>333</v>
      </c>
      <c r="F9608" t="s">
        <v>333</v>
      </c>
    </row>
    <row r="9609" spans="1:10" x14ac:dyDescent="0.3">
      <c r="A9609" t="s">
        <v>5169</v>
      </c>
      <c r="B9609" t="s">
        <v>17019</v>
      </c>
      <c r="D9609">
        <v>0.5</v>
      </c>
      <c r="E9609" t="s">
        <v>11</v>
      </c>
      <c r="F9609" t="s">
        <v>3901</v>
      </c>
    </row>
    <row r="9610" spans="1:10" x14ac:dyDescent="0.3">
      <c r="A9610" t="s">
        <v>646</v>
      </c>
      <c r="B9610" t="s">
        <v>17020</v>
      </c>
      <c r="D9610">
        <v>4</v>
      </c>
      <c r="F9610" t="s">
        <v>15178</v>
      </c>
      <c r="G9610" t="s">
        <v>17021</v>
      </c>
      <c r="J9610" t="s">
        <v>17022</v>
      </c>
    </row>
    <row r="9611" spans="1:10" x14ac:dyDescent="0.3">
      <c r="A9611" t="s">
        <v>17023</v>
      </c>
      <c r="B9611" t="s">
        <v>12782</v>
      </c>
      <c r="D9611">
        <v>90</v>
      </c>
      <c r="E9611" t="s">
        <v>29</v>
      </c>
      <c r="F9611" t="s">
        <v>738</v>
      </c>
    </row>
    <row r="9612" spans="1:10" x14ac:dyDescent="0.3">
      <c r="A9612" t="s">
        <v>5409</v>
      </c>
      <c r="B9612" t="s">
        <v>5082</v>
      </c>
      <c r="F9612" t="s">
        <v>5082</v>
      </c>
    </row>
    <row r="9613" spans="1:10" x14ac:dyDescent="0.3">
      <c r="A9613" t="s">
        <v>14647</v>
      </c>
      <c r="B9613" t="s">
        <v>17024</v>
      </c>
      <c r="F9613" t="s">
        <v>278</v>
      </c>
      <c r="J9613" t="s">
        <v>99</v>
      </c>
    </row>
    <row r="9614" spans="1:10" x14ac:dyDescent="0.3">
      <c r="A9614" t="s">
        <v>6201</v>
      </c>
      <c r="B9614" t="s">
        <v>17025</v>
      </c>
      <c r="D9614">
        <v>10</v>
      </c>
      <c r="E9614" t="s">
        <v>23</v>
      </c>
      <c r="F9614" t="s">
        <v>1506</v>
      </c>
    </row>
    <row r="9615" spans="1:10" x14ac:dyDescent="0.3">
      <c r="A9615" t="s">
        <v>6584</v>
      </c>
      <c r="B9615" t="s">
        <v>17026</v>
      </c>
      <c r="D9615">
        <v>1.5</v>
      </c>
      <c r="E9615" t="s">
        <v>345</v>
      </c>
      <c r="F9615" t="s">
        <v>17027</v>
      </c>
    </row>
    <row r="9616" spans="1:10" x14ac:dyDescent="0.3">
      <c r="A9616" t="s">
        <v>17028</v>
      </c>
      <c r="B9616" t="s">
        <v>17029</v>
      </c>
      <c r="D9616">
        <v>50</v>
      </c>
      <c r="E9616" t="s">
        <v>29</v>
      </c>
      <c r="F9616" t="s">
        <v>17030</v>
      </c>
    </row>
    <row r="9617" spans="1:10" x14ac:dyDescent="0.3">
      <c r="A9617" t="s">
        <v>5244</v>
      </c>
      <c r="B9617" t="s">
        <v>10313</v>
      </c>
      <c r="D9617">
        <v>1</v>
      </c>
      <c r="E9617" t="s">
        <v>1785</v>
      </c>
      <c r="F9617" t="s">
        <v>102</v>
      </c>
    </row>
    <row r="9618" spans="1:10" x14ac:dyDescent="0.3">
      <c r="A9618" t="s">
        <v>9710</v>
      </c>
      <c r="B9618" t="s">
        <v>17031</v>
      </c>
      <c r="D9618">
        <v>2</v>
      </c>
      <c r="E9618" t="s">
        <v>17032</v>
      </c>
      <c r="F9618" t="s">
        <v>11948</v>
      </c>
    </row>
    <row r="9619" spans="1:10" x14ac:dyDescent="0.3">
      <c r="A9619" t="s">
        <v>2605</v>
      </c>
      <c r="B9619" t="s">
        <v>17033</v>
      </c>
      <c r="D9619">
        <v>0.33</v>
      </c>
      <c r="E9619" t="s">
        <v>284</v>
      </c>
      <c r="F9619" t="s">
        <v>7950</v>
      </c>
      <c r="G9619" t="s">
        <v>1813</v>
      </c>
    </row>
    <row r="9620" spans="1:10" x14ac:dyDescent="0.3">
      <c r="A9620" t="s">
        <v>16289</v>
      </c>
      <c r="B9620" t="s">
        <v>5870</v>
      </c>
      <c r="F9620" t="s">
        <v>333</v>
      </c>
      <c r="J9620" t="s">
        <v>5871</v>
      </c>
    </row>
    <row r="9621" spans="1:10" x14ac:dyDescent="0.3">
      <c r="A9621" t="s">
        <v>17034</v>
      </c>
      <c r="B9621" t="s">
        <v>17035</v>
      </c>
      <c r="D9621">
        <v>50</v>
      </c>
      <c r="E9621" t="s">
        <v>29</v>
      </c>
      <c r="F9621" t="s">
        <v>17036</v>
      </c>
    </row>
    <row r="9622" spans="1:10" x14ac:dyDescent="0.3">
      <c r="A9622" t="s">
        <v>17037</v>
      </c>
      <c r="B9622" t="s">
        <v>1274</v>
      </c>
      <c r="D9622">
        <v>0.75</v>
      </c>
      <c r="E9622" t="s">
        <v>11</v>
      </c>
      <c r="F9622" t="s">
        <v>88</v>
      </c>
    </row>
    <row r="9623" spans="1:10" x14ac:dyDescent="0.3">
      <c r="A9623" t="s">
        <v>17038</v>
      </c>
      <c r="B9623" t="s">
        <v>16280</v>
      </c>
      <c r="D9623">
        <v>25</v>
      </c>
      <c r="E9623" t="s">
        <v>29</v>
      </c>
      <c r="F9623" t="s">
        <v>115</v>
      </c>
      <c r="J9623" t="s">
        <v>16281</v>
      </c>
    </row>
    <row r="9624" spans="1:10" x14ac:dyDescent="0.3">
      <c r="A9624" t="s">
        <v>17039</v>
      </c>
      <c r="B9624" t="s">
        <v>17040</v>
      </c>
      <c r="D9624">
        <v>37.5</v>
      </c>
      <c r="E9624" t="s">
        <v>29</v>
      </c>
      <c r="F9624" t="s">
        <v>328</v>
      </c>
    </row>
    <row r="9625" spans="1:10" x14ac:dyDescent="0.3">
      <c r="A9625" t="s">
        <v>3781</v>
      </c>
      <c r="B9625" t="s">
        <v>1000</v>
      </c>
      <c r="D9625">
        <v>10</v>
      </c>
      <c r="E9625" t="s">
        <v>29</v>
      </c>
      <c r="F9625" t="s">
        <v>793</v>
      </c>
    </row>
    <row r="9626" spans="1:10" x14ac:dyDescent="0.3">
      <c r="A9626" t="s">
        <v>17041</v>
      </c>
      <c r="B9626" t="s">
        <v>16085</v>
      </c>
      <c r="D9626">
        <v>3</v>
      </c>
      <c r="E9626" t="s">
        <v>23</v>
      </c>
      <c r="F9626" t="s">
        <v>524</v>
      </c>
    </row>
    <row r="9627" spans="1:10" x14ac:dyDescent="0.3">
      <c r="A9627" t="s">
        <v>4891</v>
      </c>
      <c r="B9627" t="s">
        <v>3110</v>
      </c>
      <c r="D9627">
        <v>0.5</v>
      </c>
      <c r="E9627" t="s">
        <v>11</v>
      </c>
      <c r="F9627" t="s">
        <v>423</v>
      </c>
    </row>
    <row r="9628" spans="1:10" x14ac:dyDescent="0.3">
      <c r="A9628" t="s">
        <v>17042</v>
      </c>
      <c r="B9628" t="s">
        <v>17043</v>
      </c>
      <c r="D9628">
        <v>4</v>
      </c>
      <c r="E9628" t="s">
        <v>23</v>
      </c>
      <c r="F9628" t="s">
        <v>17044</v>
      </c>
    </row>
    <row r="9629" spans="1:10" x14ac:dyDescent="0.3">
      <c r="A9629" t="s">
        <v>8975</v>
      </c>
      <c r="B9629" t="s">
        <v>17045</v>
      </c>
      <c r="D9629">
        <v>0.25</v>
      </c>
      <c r="E9629" t="s">
        <v>284</v>
      </c>
      <c r="F9629" t="s">
        <v>41</v>
      </c>
    </row>
    <row r="9630" spans="1:10" x14ac:dyDescent="0.3">
      <c r="A9630" t="s">
        <v>12103</v>
      </c>
      <c r="B9630" t="s">
        <v>1193</v>
      </c>
      <c r="F9630" t="s">
        <v>1193</v>
      </c>
    </row>
    <row r="9631" spans="1:10" x14ac:dyDescent="0.3">
      <c r="A9631" t="s">
        <v>389</v>
      </c>
      <c r="B9631" t="s">
        <v>17046</v>
      </c>
      <c r="D9631">
        <v>8</v>
      </c>
      <c r="E9631" t="s">
        <v>23</v>
      </c>
      <c r="F9631" t="s">
        <v>241</v>
      </c>
    </row>
    <row r="9632" spans="1:10" x14ac:dyDescent="0.3">
      <c r="A9632" t="s">
        <v>17047</v>
      </c>
      <c r="B9632" t="s">
        <v>1042</v>
      </c>
      <c r="D9632">
        <v>1</v>
      </c>
      <c r="E9632" t="s">
        <v>18</v>
      </c>
      <c r="F9632" t="s">
        <v>1043</v>
      </c>
    </row>
    <row r="9633" spans="1:10" x14ac:dyDescent="0.3">
      <c r="A9633" t="s">
        <v>17048</v>
      </c>
      <c r="B9633" t="s">
        <v>10275</v>
      </c>
      <c r="D9633">
        <v>1.5</v>
      </c>
      <c r="E9633" t="s">
        <v>23</v>
      </c>
      <c r="F9633" t="s">
        <v>2703</v>
      </c>
    </row>
    <row r="9634" spans="1:10" x14ac:dyDescent="0.3">
      <c r="A9634" t="s">
        <v>17049</v>
      </c>
      <c r="B9634" t="s">
        <v>17050</v>
      </c>
      <c r="D9634">
        <v>1</v>
      </c>
      <c r="E9634" t="s">
        <v>37</v>
      </c>
      <c r="F9634" t="s">
        <v>17051</v>
      </c>
      <c r="J9634" t="s">
        <v>17052</v>
      </c>
    </row>
    <row r="9635" spans="1:10" x14ac:dyDescent="0.3">
      <c r="A9635" t="s">
        <v>17053</v>
      </c>
      <c r="B9635" t="s">
        <v>2413</v>
      </c>
      <c r="F9635" t="s">
        <v>2413</v>
      </c>
    </row>
    <row r="9636" spans="1:10" x14ac:dyDescent="0.3">
      <c r="A9636" t="s">
        <v>17054</v>
      </c>
      <c r="B9636" t="s">
        <v>17055</v>
      </c>
      <c r="D9636">
        <v>0.25</v>
      </c>
      <c r="E9636" t="s">
        <v>37</v>
      </c>
      <c r="F9636" t="s">
        <v>17056</v>
      </c>
    </row>
    <row r="9637" spans="1:10" x14ac:dyDescent="0.3">
      <c r="A9637" t="s">
        <v>848</v>
      </c>
      <c r="B9637" t="s">
        <v>17057</v>
      </c>
      <c r="D9637">
        <v>1</v>
      </c>
      <c r="E9637" t="s">
        <v>60</v>
      </c>
      <c r="F9637" t="s">
        <v>17058</v>
      </c>
    </row>
    <row r="9638" spans="1:10" x14ac:dyDescent="0.3">
      <c r="A9638" t="s">
        <v>902</v>
      </c>
      <c r="B9638" t="s">
        <v>17059</v>
      </c>
      <c r="D9638">
        <v>0.25</v>
      </c>
      <c r="E9638" t="s">
        <v>904</v>
      </c>
      <c r="F9638" t="s">
        <v>95</v>
      </c>
    </row>
    <row r="9639" spans="1:10" x14ac:dyDescent="0.3">
      <c r="A9639" t="s">
        <v>9229</v>
      </c>
      <c r="B9639" t="s">
        <v>711</v>
      </c>
      <c r="D9639">
        <v>1</v>
      </c>
      <c r="E9639" t="s">
        <v>23</v>
      </c>
      <c r="F9639" t="s">
        <v>712</v>
      </c>
    </row>
    <row r="9640" spans="1:10" x14ac:dyDescent="0.3">
      <c r="A9640" t="s">
        <v>17060</v>
      </c>
      <c r="B9640" t="s">
        <v>2033</v>
      </c>
      <c r="D9640">
        <v>2</v>
      </c>
      <c r="E9640" t="s">
        <v>23</v>
      </c>
      <c r="F9640" t="s">
        <v>2034</v>
      </c>
    </row>
    <row r="9641" spans="1:10" x14ac:dyDescent="0.3">
      <c r="A9641" t="s">
        <v>9964</v>
      </c>
      <c r="B9641" t="s">
        <v>1193</v>
      </c>
      <c r="F9641" t="s">
        <v>1193</v>
      </c>
    </row>
    <row r="9642" spans="1:10" x14ac:dyDescent="0.3">
      <c r="A9642" t="s">
        <v>9008</v>
      </c>
      <c r="B9642" t="s">
        <v>1190</v>
      </c>
      <c r="D9642">
        <v>0.5</v>
      </c>
      <c r="E9642" t="s">
        <v>23</v>
      </c>
      <c r="F9642" t="s">
        <v>199</v>
      </c>
    </row>
    <row r="9643" spans="1:10" x14ac:dyDescent="0.3">
      <c r="A9643" t="s">
        <v>17061</v>
      </c>
      <c r="B9643" t="s">
        <v>4793</v>
      </c>
      <c r="D9643">
        <v>1.5</v>
      </c>
      <c r="E9643" t="s">
        <v>23</v>
      </c>
      <c r="F9643" t="s">
        <v>1003</v>
      </c>
    </row>
    <row r="9644" spans="1:10" x14ac:dyDescent="0.3">
      <c r="A9644" t="s">
        <v>17062</v>
      </c>
      <c r="B9644" t="s">
        <v>9230</v>
      </c>
      <c r="D9644">
        <v>2</v>
      </c>
      <c r="E9644" t="s">
        <v>23</v>
      </c>
      <c r="F9644" t="s">
        <v>241</v>
      </c>
    </row>
    <row r="9645" spans="1:10" x14ac:dyDescent="0.3">
      <c r="A9645" t="s">
        <v>6572</v>
      </c>
      <c r="B9645" t="s">
        <v>17063</v>
      </c>
      <c r="D9645">
        <v>2</v>
      </c>
      <c r="E9645" t="s">
        <v>625</v>
      </c>
      <c r="F9645" t="s">
        <v>11300</v>
      </c>
      <c r="H9645" t="s">
        <v>68</v>
      </c>
    </row>
    <row r="9646" spans="1:10" x14ac:dyDescent="0.3">
      <c r="A9646" t="s">
        <v>17064</v>
      </c>
      <c r="B9646" t="s">
        <v>16297</v>
      </c>
      <c r="D9646">
        <v>2</v>
      </c>
      <c r="E9646" t="s">
        <v>23</v>
      </c>
      <c r="F9646" t="s">
        <v>281</v>
      </c>
    </row>
    <row r="9647" spans="1:10" x14ac:dyDescent="0.3">
      <c r="A9647" t="s">
        <v>7445</v>
      </c>
      <c r="B9647" t="s">
        <v>17065</v>
      </c>
      <c r="D9647">
        <v>8</v>
      </c>
      <c r="E9647" t="s">
        <v>1983</v>
      </c>
      <c r="F9647" t="s">
        <v>377</v>
      </c>
    </row>
    <row r="9648" spans="1:10" x14ac:dyDescent="0.3">
      <c r="A9648" t="s">
        <v>17066</v>
      </c>
      <c r="B9648" t="s">
        <v>17067</v>
      </c>
      <c r="D9648">
        <v>3</v>
      </c>
      <c r="E9648" t="s">
        <v>23</v>
      </c>
      <c r="F9648" t="s">
        <v>9183</v>
      </c>
    </row>
    <row r="9649" spans="1:10" x14ac:dyDescent="0.3">
      <c r="A9649" t="s">
        <v>1533</v>
      </c>
      <c r="B9649" t="s">
        <v>17068</v>
      </c>
      <c r="D9649">
        <v>1</v>
      </c>
      <c r="E9649" t="s">
        <v>426</v>
      </c>
      <c r="F9649" t="s">
        <v>2192</v>
      </c>
    </row>
    <row r="9650" spans="1:10" x14ac:dyDescent="0.3">
      <c r="A9650" t="s">
        <v>9739</v>
      </c>
      <c r="B9650" t="s">
        <v>518</v>
      </c>
      <c r="F9650" t="s">
        <v>518</v>
      </c>
    </row>
    <row r="9651" spans="1:10" x14ac:dyDescent="0.3">
      <c r="A9651" t="s">
        <v>7396</v>
      </c>
      <c r="B9651" t="s">
        <v>17069</v>
      </c>
      <c r="D9651">
        <v>20.25</v>
      </c>
      <c r="E9651" t="s">
        <v>91</v>
      </c>
      <c r="F9651" t="s">
        <v>281</v>
      </c>
    </row>
    <row r="9652" spans="1:10" x14ac:dyDescent="0.3">
      <c r="A9652" t="s">
        <v>17070</v>
      </c>
      <c r="B9652" t="s">
        <v>11730</v>
      </c>
      <c r="D9652">
        <v>15</v>
      </c>
      <c r="E9652" t="s">
        <v>29</v>
      </c>
      <c r="F9652" t="s">
        <v>423</v>
      </c>
    </row>
    <row r="9653" spans="1:10" x14ac:dyDescent="0.3">
      <c r="A9653" t="s">
        <v>10785</v>
      </c>
      <c r="B9653" t="s">
        <v>2633</v>
      </c>
      <c r="D9653">
        <v>2</v>
      </c>
      <c r="E9653" t="s">
        <v>91</v>
      </c>
      <c r="F9653" t="s">
        <v>2271</v>
      </c>
      <c r="J9653" t="s">
        <v>17071</v>
      </c>
    </row>
    <row r="9654" spans="1:10" x14ac:dyDescent="0.3">
      <c r="A9654" t="s">
        <v>17034</v>
      </c>
      <c r="B9654" t="s">
        <v>17072</v>
      </c>
      <c r="D9654">
        <v>1</v>
      </c>
      <c r="E9654" t="s">
        <v>1172</v>
      </c>
      <c r="F9654" t="s">
        <v>51</v>
      </c>
    </row>
    <row r="9655" spans="1:10" x14ac:dyDescent="0.3">
      <c r="A9655" t="s">
        <v>17073</v>
      </c>
      <c r="B9655" t="s">
        <v>7317</v>
      </c>
      <c r="D9655">
        <v>1</v>
      </c>
      <c r="E9655" t="s">
        <v>23</v>
      </c>
      <c r="F9655" t="s">
        <v>2678</v>
      </c>
    </row>
    <row r="9656" spans="1:10" x14ac:dyDescent="0.3">
      <c r="A9656" t="s">
        <v>17074</v>
      </c>
      <c r="B9656" t="s">
        <v>333</v>
      </c>
      <c r="F9656" t="s">
        <v>333</v>
      </c>
    </row>
    <row r="9657" spans="1:10" x14ac:dyDescent="0.3">
      <c r="A9657" t="s">
        <v>17075</v>
      </c>
      <c r="B9657" t="s">
        <v>879</v>
      </c>
      <c r="D9657">
        <v>1</v>
      </c>
      <c r="E9657" t="s">
        <v>23</v>
      </c>
      <c r="F9657" t="s">
        <v>880</v>
      </c>
    </row>
    <row r="9658" spans="1:10" x14ac:dyDescent="0.3">
      <c r="A9658" t="s">
        <v>17076</v>
      </c>
      <c r="B9658" t="s">
        <v>17077</v>
      </c>
      <c r="D9658">
        <v>1.5</v>
      </c>
      <c r="E9658" t="s">
        <v>23</v>
      </c>
      <c r="F9658" t="s">
        <v>14099</v>
      </c>
    </row>
    <row r="9659" spans="1:10" x14ac:dyDescent="0.3">
      <c r="A9659" t="s">
        <v>14901</v>
      </c>
      <c r="B9659" t="s">
        <v>17078</v>
      </c>
      <c r="D9659">
        <v>0.5</v>
      </c>
      <c r="E9659" t="s">
        <v>23</v>
      </c>
      <c r="F9659" t="s">
        <v>17079</v>
      </c>
    </row>
    <row r="9660" spans="1:10" x14ac:dyDescent="0.3">
      <c r="A9660" t="s">
        <v>8433</v>
      </c>
      <c r="B9660" t="s">
        <v>4791</v>
      </c>
      <c r="D9660">
        <v>2</v>
      </c>
      <c r="E9660" t="s">
        <v>345</v>
      </c>
      <c r="F9660" t="s">
        <v>2763</v>
      </c>
    </row>
    <row r="9661" spans="1:10" x14ac:dyDescent="0.3">
      <c r="A9661" t="s">
        <v>257</v>
      </c>
      <c r="B9661" t="s">
        <v>11184</v>
      </c>
      <c r="D9661">
        <v>3</v>
      </c>
      <c r="E9661" t="s">
        <v>23</v>
      </c>
      <c r="F9661" t="s">
        <v>1204</v>
      </c>
    </row>
    <row r="9662" spans="1:10" x14ac:dyDescent="0.3">
      <c r="A9662" t="s">
        <v>12414</v>
      </c>
      <c r="B9662" t="s">
        <v>17080</v>
      </c>
      <c r="F9662" t="s">
        <v>17080</v>
      </c>
    </row>
    <row r="9663" spans="1:10" x14ac:dyDescent="0.3">
      <c r="A9663" t="s">
        <v>10495</v>
      </c>
      <c r="B9663" t="s">
        <v>17081</v>
      </c>
      <c r="D9663">
        <v>64</v>
      </c>
      <c r="E9663" t="s">
        <v>23</v>
      </c>
      <c r="F9663" t="s">
        <v>2132</v>
      </c>
    </row>
    <row r="9664" spans="1:10" x14ac:dyDescent="0.3">
      <c r="A9664" t="s">
        <v>13774</v>
      </c>
      <c r="B9664" t="s">
        <v>3488</v>
      </c>
      <c r="E9664" t="s">
        <v>33</v>
      </c>
      <c r="F9664" t="s">
        <v>1056</v>
      </c>
    </row>
    <row r="9665" spans="1:10" x14ac:dyDescent="0.3">
      <c r="A9665" t="s">
        <v>10452</v>
      </c>
      <c r="B9665" t="s">
        <v>17082</v>
      </c>
      <c r="D9665">
        <v>50</v>
      </c>
      <c r="E9665" t="s">
        <v>29</v>
      </c>
      <c r="F9665" t="s">
        <v>17083</v>
      </c>
    </row>
    <row r="9666" spans="1:10" x14ac:dyDescent="0.3">
      <c r="A9666" t="s">
        <v>16896</v>
      </c>
      <c r="B9666" t="s">
        <v>17084</v>
      </c>
      <c r="D9666">
        <v>1</v>
      </c>
      <c r="E9666" t="s">
        <v>460</v>
      </c>
      <c r="F9666" t="s">
        <v>355</v>
      </c>
    </row>
    <row r="9667" spans="1:10" x14ac:dyDescent="0.3">
      <c r="A9667" t="s">
        <v>14854</v>
      </c>
      <c r="B9667" t="s">
        <v>17085</v>
      </c>
      <c r="F9667" t="s">
        <v>17086</v>
      </c>
      <c r="J9667" t="s">
        <v>4343</v>
      </c>
    </row>
    <row r="9668" spans="1:10" x14ac:dyDescent="0.3">
      <c r="A9668" t="s">
        <v>17087</v>
      </c>
      <c r="B9668" t="s">
        <v>4786</v>
      </c>
      <c r="D9668">
        <v>1</v>
      </c>
      <c r="E9668" t="s">
        <v>23</v>
      </c>
      <c r="F9668" t="s">
        <v>1416</v>
      </c>
    </row>
    <row r="9669" spans="1:10" x14ac:dyDescent="0.3">
      <c r="A9669" t="s">
        <v>17088</v>
      </c>
      <c r="B9669" t="s">
        <v>17089</v>
      </c>
      <c r="D9669">
        <v>1</v>
      </c>
      <c r="E9669" t="s">
        <v>460</v>
      </c>
      <c r="F9669" t="s">
        <v>1093</v>
      </c>
      <c r="J9669" t="s">
        <v>289</v>
      </c>
    </row>
    <row r="9670" spans="1:10" x14ac:dyDescent="0.3">
      <c r="A9670" t="s">
        <v>17090</v>
      </c>
      <c r="B9670" t="s">
        <v>4919</v>
      </c>
      <c r="D9670">
        <v>0.5</v>
      </c>
      <c r="E9670" t="s">
        <v>23</v>
      </c>
      <c r="F9670" t="s">
        <v>30</v>
      </c>
    </row>
    <row r="9671" spans="1:10" x14ac:dyDescent="0.3">
      <c r="A9671" t="s">
        <v>8621</v>
      </c>
      <c r="B9671" t="s">
        <v>17091</v>
      </c>
      <c r="D9671">
        <v>15</v>
      </c>
      <c r="E9671" t="s">
        <v>29</v>
      </c>
      <c r="F9671" t="s">
        <v>1204</v>
      </c>
    </row>
    <row r="9672" spans="1:10" x14ac:dyDescent="0.3">
      <c r="A9672" t="s">
        <v>2404</v>
      </c>
      <c r="B9672" t="s">
        <v>8821</v>
      </c>
      <c r="F9672" t="s">
        <v>317</v>
      </c>
      <c r="J9672" t="s">
        <v>1146</v>
      </c>
    </row>
    <row r="9673" spans="1:10" x14ac:dyDescent="0.3">
      <c r="A9673" t="s">
        <v>766</v>
      </c>
      <c r="B9673" t="s">
        <v>17092</v>
      </c>
      <c r="D9673">
        <v>0.5</v>
      </c>
      <c r="E9673" t="s">
        <v>23</v>
      </c>
      <c r="F9673" t="s">
        <v>524</v>
      </c>
    </row>
    <row r="9674" spans="1:10" x14ac:dyDescent="0.3">
      <c r="A9674" t="s">
        <v>7942</v>
      </c>
      <c r="B9674" t="s">
        <v>3617</v>
      </c>
      <c r="D9674">
        <v>25</v>
      </c>
      <c r="E9674" t="s">
        <v>29</v>
      </c>
      <c r="F9674" t="s">
        <v>338</v>
      </c>
    </row>
    <row r="9675" spans="1:10" x14ac:dyDescent="0.3">
      <c r="A9675" t="s">
        <v>17093</v>
      </c>
      <c r="B9675" t="s">
        <v>15450</v>
      </c>
      <c r="D9675">
        <v>10</v>
      </c>
      <c r="E9675" t="s">
        <v>29</v>
      </c>
      <c r="F9675" t="s">
        <v>95</v>
      </c>
    </row>
    <row r="9676" spans="1:10" x14ac:dyDescent="0.3">
      <c r="A9676" t="s">
        <v>6040</v>
      </c>
      <c r="B9676" t="s">
        <v>17094</v>
      </c>
      <c r="D9676">
        <v>15</v>
      </c>
      <c r="E9676" t="s">
        <v>29</v>
      </c>
      <c r="F9676" t="s">
        <v>5277</v>
      </c>
    </row>
    <row r="9677" spans="1:10" x14ac:dyDescent="0.3">
      <c r="A9677" t="s">
        <v>15701</v>
      </c>
      <c r="B9677" t="s">
        <v>17095</v>
      </c>
      <c r="D9677" t="s">
        <v>2588</v>
      </c>
      <c r="F9677" t="s">
        <v>17096</v>
      </c>
      <c r="G9677" t="s">
        <v>167</v>
      </c>
      <c r="J9677" t="s">
        <v>17097</v>
      </c>
    </row>
    <row r="9678" spans="1:10" x14ac:dyDescent="0.3">
      <c r="A9678" t="s">
        <v>17098</v>
      </c>
      <c r="B9678" t="s">
        <v>2227</v>
      </c>
      <c r="D9678">
        <v>0.5</v>
      </c>
      <c r="F9678" t="s">
        <v>30</v>
      </c>
      <c r="J9678" t="s">
        <v>289</v>
      </c>
    </row>
    <row r="9679" spans="1:10" x14ac:dyDescent="0.3">
      <c r="A9679" t="s">
        <v>17099</v>
      </c>
      <c r="B9679" t="s">
        <v>17100</v>
      </c>
      <c r="D9679">
        <v>2</v>
      </c>
      <c r="E9679" t="s">
        <v>23</v>
      </c>
      <c r="F9679" t="s">
        <v>17101</v>
      </c>
    </row>
    <row r="9680" spans="1:10" x14ac:dyDescent="0.3">
      <c r="A9680" t="s">
        <v>14045</v>
      </c>
      <c r="B9680" t="s">
        <v>7402</v>
      </c>
      <c r="D9680">
        <v>0.5</v>
      </c>
      <c r="E9680" t="s">
        <v>23</v>
      </c>
      <c r="F9680" t="s">
        <v>7403</v>
      </c>
    </row>
    <row r="9681" spans="1:10" x14ac:dyDescent="0.3">
      <c r="A9681" t="s">
        <v>5849</v>
      </c>
      <c r="B9681" t="s">
        <v>11143</v>
      </c>
      <c r="E9681" t="s">
        <v>33</v>
      </c>
      <c r="F9681" t="s">
        <v>377</v>
      </c>
      <c r="J9681" t="s">
        <v>1124</v>
      </c>
    </row>
    <row r="9682" spans="1:10" x14ac:dyDescent="0.3">
      <c r="A9682" t="s">
        <v>10143</v>
      </c>
      <c r="B9682" t="s">
        <v>272</v>
      </c>
      <c r="D9682">
        <v>0.5</v>
      </c>
      <c r="E9682" t="s">
        <v>23</v>
      </c>
      <c r="F9682" t="s">
        <v>265</v>
      </c>
    </row>
    <row r="9683" spans="1:10" x14ac:dyDescent="0.3">
      <c r="A9683" t="s">
        <v>1548</v>
      </c>
      <c r="B9683" t="s">
        <v>413</v>
      </c>
      <c r="F9683" t="s">
        <v>413</v>
      </c>
    </row>
    <row r="9684" spans="1:10" x14ac:dyDescent="0.3">
      <c r="A9684" t="s">
        <v>17102</v>
      </c>
      <c r="B9684" t="s">
        <v>986</v>
      </c>
      <c r="D9684">
        <v>0.5</v>
      </c>
      <c r="E9684" t="s">
        <v>23</v>
      </c>
      <c r="F9684" t="s">
        <v>712</v>
      </c>
    </row>
    <row r="9685" spans="1:10" x14ac:dyDescent="0.3">
      <c r="A9685" t="s">
        <v>17103</v>
      </c>
      <c r="B9685" t="s">
        <v>17104</v>
      </c>
      <c r="D9685">
        <v>1</v>
      </c>
      <c r="E9685" t="s">
        <v>426</v>
      </c>
      <c r="F9685" t="s">
        <v>17105</v>
      </c>
    </row>
    <row r="9686" spans="1:10" x14ac:dyDescent="0.3">
      <c r="A9686" t="s">
        <v>17106</v>
      </c>
      <c r="B9686" t="s">
        <v>17107</v>
      </c>
      <c r="D9686">
        <v>2</v>
      </c>
      <c r="E9686" t="s">
        <v>1983</v>
      </c>
      <c r="F9686" t="s">
        <v>377</v>
      </c>
    </row>
    <row r="9687" spans="1:10" x14ac:dyDescent="0.3">
      <c r="A9687" t="s">
        <v>17108</v>
      </c>
      <c r="B9687" t="s">
        <v>17109</v>
      </c>
      <c r="D9687">
        <v>10</v>
      </c>
      <c r="F9687" t="s">
        <v>17110</v>
      </c>
    </row>
    <row r="9688" spans="1:10" x14ac:dyDescent="0.3">
      <c r="A9688" t="s">
        <v>17111</v>
      </c>
      <c r="B9688" t="s">
        <v>17112</v>
      </c>
      <c r="D9688">
        <v>35</v>
      </c>
      <c r="E9688" t="s">
        <v>29</v>
      </c>
      <c r="F9688" t="s">
        <v>8492</v>
      </c>
    </row>
    <row r="9689" spans="1:10" x14ac:dyDescent="0.3">
      <c r="A9689" t="s">
        <v>17113</v>
      </c>
      <c r="B9689" t="s">
        <v>17114</v>
      </c>
      <c r="D9689">
        <v>1</v>
      </c>
      <c r="E9689" t="s">
        <v>460</v>
      </c>
      <c r="F9689" t="s">
        <v>19</v>
      </c>
      <c r="J9689" t="s">
        <v>20</v>
      </c>
    </row>
    <row r="9690" spans="1:10" x14ac:dyDescent="0.3">
      <c r="A9690" t="s">
        <v>8768</v>
      </c>
      <c r="B9690" t="s">
        <v>17115</v>
      </c>
      <c r="D9690">
        <v>1</v>
      </c>
      <c r="E9690" t="s">
        <v>1785</v>
      </c>
      <c r="F9690" t="s">
        <v>115</v>
      </c>
    </row>
    <row r="9691" spans="1:10" x14ac:dyDescent="0.3">
      <c r="A9691" t="s">
        <v>17116</v>
      </c>
      <c r="B9691" t="s">
        <v>17117</v>
      </c>
      <c r="D9691">
        <v>1</v>
      </c>
      <c r="E9691" t="s">
        <v>23</v>
      </c>
      <c r="F9691" t="s">
        <v>3163</v>
      </c>
      <c r="H9691" t="s">
        <v>68</v>
      </c>
    </row>
    <row r="9692" spans="1:10" x14ac:dyDescent="0.3">
      <c r="A9692" t="s">
        <v>10872</v>
      </c>
      <c r="B9692" t="s">
        <v>188</v>
      </c>
      <c r="D9692">
        <v>2</v>
      </c>
      <c r="E9692" t="s">
        <v>189</v>
      </c>
      <c r="F9692" t="s">
        <v>190</v>
      </c>
    </row>
    <row r="9693" spans="1:10" x14ac:dyDescent="0.3">
      <c r="A9693" t="s">
        <v>7706</v>
      </c>
      <c r="B9693" t="s">
        <v>3532</v>
      </c>
      <c r="E9693" t="s">
        <v>2689</v>
      </c>
      <c r="F9693" t="s">
        <v>997</v>
      </c>
      <c r="J9693" t="s">
        <v>1124</v>
      </c>
    </row>
    <row r="9694" spans="1:10" x14ac:dyDescent="0.3">
      <c r="A9694" t="s">
        <v>17118</v>
      </c>
      <c r="B9694" t="s">
        <v>2809</v>
      </c>
      <c r="D9694">
        <v>1</v>
      </c>
      <c r="E9694" t="s">
        <v>1671</v>
      </c>
      <c r="F9694" t="s">
        <v>152</v>
      </c>
      <c r="J9694" t="s">
        <v>248</v>
      </c>
    </row>
    <row r="9695" spans="1:10" x14ac:dyDescent="0.3">
      <c r="A9695" t="s">
        <v>17119</v>
      </c>
      <c r="B9695" t="s">
        <v>17120</v>
      </c>
      <c r="D9695">
        <v>50</v>
      </c>
      <c r="E9695" t="s">
        <v>29</v>
      </c>
      <c r="F9695" t="s">
        <v>12501</v>
      </c>
    </row>
    <row r="9696" spans="1:10" x14ac:dyDescent="0.3">
      <c r="A9696" t="s">
        <v>17121</v>
      </c>
      <c r="B9696" t="s">
        <v>17122</v>
      </c>
      <c r="D9696">
        <v>4</v>
      </c>
      <c r="E9696" t="s">
        <v>189</v>
      </c>
      <c r="F9696" t="s">
        <v>17123</v>
      </c>
    </row>
    <row r="9697" spans="1:10" x14ac:dyDescent="0.3">
      <c r="A9697" t="s">
        <v>17124</v>
      </c>
      <c r="B9697" t="s">
        <v>17125</v>
      </c>
      <c r="D9697">
        <v>1</v>
      </c>
      <c r="E9697" t="s">
        <v>37</v>
      </c>
      <c r="F9697" t="s">
        <v>17126</v>
      </c>
    </row>
    <row r="9698" spans="1:10" x14ac:dyDescent="0.3">
      <c r="A9698" t="s">
        <v>619</v>
      </c>
      <c r="B9698" t="s">
        <v>17127</v>
      </c>
      <c r="D9698">
        <v>1</v>
      </c>
      <c r="E9698" t="s">
        <v>189</v>
      </c>
      <c r="F9698" t="s">
        <v>3576</v>
      </c>
    </row>
    <row r="9699" spans="1:10" x14ac:dyDescent="0.3">
      <c r="A9699" t="s">
        <v>797</v>
      </c>
      <c r="B9699" t="s">
        <v>4492</v>
      </c>
      <c r="D9699">
        <v>1</v>
      </c>
      <c r="E9699" t="s">
        <v>23</v>
      </c>
      <c r="F9699" t="s">
        <v>3447</v>
      </c>
    </row>
    <row r="9700" spans="1:10" x14ac:dyDescent="0.3">
      <c r="A9700" t="s">
        <v>1845</v>
      </c>
      <c r="B9700" t="s">
        <v>10106</v>
      </c>
      <c r="D9700">
        <v>1</v>
      </c>
      <c r="E9700" t="s">
        <v>23</v>
      </c>
      <c r="F9700" t="s">
        <v>649</v>
      </c>
    </row>
    <row r="9701" spans="1:10" x14ac:dyDescent="0.3">
      <c r="A9701" t="s">
        <v>17128</v>
      </c>
      <c r="B9701" t="s">
        <v>6027</v>
      </c>
      <c r="D9701">
        <v>4</v>
      </c>
      <c r="E9701" t="s">
        <v>23</v>
      </c>
      <c r="F9701" t="s">
        <v>64</v>
      </c>
    </row>
    <row r="9702" spans="1:10" x14ac:dyDescent="0.3">
      <c r="A9702" t="s">
        <v>17129</v>
      </c>
      <c r="B9702" t="s">
        <v>17130</v>
      </c>
      <c r="D9702">
        <v>0.5</v>
      </c>
      <c r="E9702" t="s">
        <v>23</v>
      </c>
      <c r="F9702" t="s">
        <v>3426</v>
      </c>
    </row>
    <row r="9703" spans="1:10" x14ac:dyDescent="0.3">
      <c r="A9703" t="s">
        <v>8843</v>
      </c>
      <c r="B9703" t="s">
        <v>1838</v>
      </c>
      <c r="D9703">
        <v>1.5</v>
      </c>
      <c r="E9703" t="s">
        <v>345</v>
      </c>
      <c r="F9703" t="s">
        <v>41</v>
      </c>
    </row>
    <row r="9704" spans="1:10" x14ac:dyDescent="0.3">
      <c r="A9704" t="s">
        <v>8196</v>
      </c>
      <c r="B9704" t="s">
        <v>13256</v>
      </c>
      <c r="D9704">
        <v>1</v>
      </c>
      <c r="E9704" t="s">
        <v>206</v>
      </c>
      <c r="F9704" t="s">
        <v>4724</v>
      </c>
    </row>
    <row r="9705" spans="1:10" x14ac:dyDescent="0.3">
      <c r="A9705" t="s">
        <v>17131</v>
      </c>
      <c r="B9705" t="s">
        <v>2573</v>
      </c>
      <c r="F9705" t="s">
        <v>2573</v>
      </c>
    </row>
    <row r="9706" spans="1:10" x14ac:dyDescent="0.3">
      <c r="A9706" t="s">
        <v>17132</v>
      </c>
      <c r="B9706" t="s">
        <v>17133</v>
      </c>
      <c r="D9706">
        <v>1</v>
      </c>
      <c r="E9706" t="s">
        <v>23</v>
      </c>
      <c r="F9706" t="s">
        <v>1687</v>
      </c>
    </row>
    <row r="9707" spans="1:10" x14ac:dyDescent="0.3">
      <c r="A9707" t="s">
        <v>17134</v>
      </c>
      <c r="B9707" t="s">
        <v>17135</v>
      </c>
      <c r="D9707">
        <v>15</v>
      </c>
      <c r="E9707" t="s">
        <v>29</v>
      </c>
      <c r="F9707" t="s">
        <v>115</v>
      </c>
      <c r="J9707" t="s">
        <v>17136</v>
      </c>
    </row>
    <row r="9708" spans="1:10" x14ac:dyDescent="0.3">
      <c r="A9708" t="s">
        <v>17137</v>
      </c>
      <c r="B9708" t="s">
        <v>17138</v>
      </c>
      <c r="D9708">
        <v>0.5</v>
      </c>
      <c r="E9708" t="s">
        <v>37</v>
      </c>
      <c r="F9708" t="s">
        <v>3710</v>
      </c>
    </row>
    <row r="9709" spans="1:10" x14ac:dyDescent="0.3">
      <c r="A9709" t="s">
        <v>17139</v>
      </c>
      <c r="B9709" t="s">
        <v>17140</v>
      </c>
      <c r="D9709">
        <v>1</v>
      </c>
      <c r="E9709" t="s">
        <v>151</v>
      </c>
      <c r="F9709" t="s">
        <v>984</v>
      </c>
      <c r="J9709" t="s">
        <v>1352</v>
      </c>
    </row>
    <row r="9710" spans="1:10" x14ac:dyDescent="0.3">
      <c r="A9710" t="s">
        <v>17141</v>
      </c>
      <c r="B9710" t="s">
        <v>17142</v>
      </c>
      <c r="D9710" t="s">
        <v>17143</v>
      </c>
      <c r="F9710" t="s">
        <v>1056</v>
      </c>
    </row>
    <row r="9711" spans="1:10" x14ac:dyDescent="0.3">
      <c r="A9711" t="s">
        <v>17144</v>
      </c>
      <c r="B9711" t="s">
        <v>264</v>
      </c>
      <c r="D9711">
        <v>1</v>
      </c>
      <c r="E9711" t="s">
        <v>11</v>
      </c>
      <c r="F9711" t="s">
        <v>265</v>
      </c>
    </row>
    <row r="9712" spans="1:10" x14ac:dyDescent="0.3">
      <c r="A9712" t="s">
        <v>181</v>
      </c>
      <c r="B9712" t="s">
        <v>7747</v>
      </c>
      <c r="D9712">
        <v>1</v>
      </c>
      <c r="E9712" t="s">
        <v>18</v>
      </c>
      <c r="F9712" t="s">
        <v>3353</v>
      </c>
    </row>
    <row r="9713" spans="1:10" x14ac:dyDescent="0.3">
      <c r="A9713" t="s">
        <v>4703</v>
      </c>
      <c r="B9713" t="s">
        <v>13708</v>
      </c>
      <c r="D9713">
        <v>1</v>
      </c>
      <c r="E9713" t="s">
        <v>206</v>
      </c>
      <c r="F9713" t="s">
        <v>741</v>
      </c>
    </row>
    <row r="9714" spans="1:10" x14ac:dyDescent="0.3">
      <c r="A9714" t="s">
        <v>8121</v>
      </c>
      <c r="B9714" t="s">
        <v>1097</v>
      </c>
      <c r="F9714" t="s">
        <v>1097</v>
      </c>
    </row>
    <row r="9715" spans="1:10" x14ac:dyDescent="0.3">
      <c r="A9715" t="s">
        <v>17145</v>
      </c>
      <c r="B9715" t="s">
        <v>518</v>
      </c>
      <c r="F9715" t="s">
        <v>518</v>
      </c>
    </row>
    <row r="9716" spans="1:10" x14ac:dyDescent="0.3">
      <c r="A9716" t="s">
        <v>17146</v>
      </c>
      <c r="B9716" t="s">
        <v>17147</v>
      </c>
      <c r="D9716">
        <v>0.75</v>
      </c>
      <c r="E9716" t="s">
        <v>11</v>
      </c>
      <c r="F9716" t="s">
        <v>3749</v>
      </c>
    </row>
    <row r="9717" spans="1:10" x14ac:dyDescent="0.3">
      <c r="A9717" t="s">
        <v>17148</v>
      </c>
      <c r="B9717" t="s">
        <v>9290</v>
      </c>
      <c r="D9717">
        <v>1</v>
      </c>
      <c r="E9717" t="s">
        <v>23</v>
      </c>
      <c r="F9717" t="s">
        <v>64</v>
      </c>
    </row>
    <row r="9718" spans="1:10" x14ac:dyDescent="0.3">
      <c r="A9718" t="s">
        <v>17149</v>
      </c>
      <c r="B9718" t="s">
        <v>17150</v>
      </c>
      <c r="D9718">
        <v>2</v>
      </c>
      <c r="E9718" t="s">
        <v>2501</v>
      </c>
      <c r="F9718" t="s">
        <v>17151</v>
      </c>
    </row>
    <row r="9719" spans="1:10" x14ac:dyDescent="0.3">
      <c r="A9719" t="s">
        <v>3561</v>
      </c>
      <c r="B9719" t="s">
        <v>13746</v>
      </c>
      <c r="D9719">
        <v>1.5</v>
      </c>
      <c r="E9719" t="s">
        <v>23</v>
      </c>
      <c r="F9719" t="s">
        <v>716</v>
      </c>
    </row>
    <row r="9720" spans="1:10" x14ac:dyDescent="0.3">
      <c r="A9720" t="s">
        <v>16853</v>
      </c>
      <c r="B9720" t="s">
        <v>17152</v>
      </c>
      <c r="D9720">
        <v>15</v>
      </c>
      <c r="E9720" t="s">
        <v>17153</v>
      </c>
      <c r="F9720" t="s">
        <v>17154</v>
      </c>
      <c r="J9720" t="s">
        <v>1177</v>
      </c>
    </row>
    <row r="9721" spans="1:10" x14ac:dyDescent="0.3">
      <c r="A9721" t="s">
        <v>17155</v>
      </c>
      <c r="B9721" t="s">
        <v>486</v>
      </c>
      <c r="D9721">
        <v>1</v>
      </c>
      <c r="E9721" t="s">
        <v>23</v>
      </c>
      <c r="F9721" t="s">
        <v>487</v>
      </c>
    </row>
    <row r="9722" spans="1:10" x14ac:dyDescent="0.3">
      <c r="A9722" t="s">
        <v>17156</v>
      </c>
      <c r="B9722" t="s">
        <v>17157</v>
      </c>
      <c r="D9722">
        <v>0.25</v>
      </c>
      <c r="E9722" t="s">
        <v>284</v>
      </c>
      <c r="F9722" t="s">
        <v>704</v>
      </c>
    </row>
    <row r="9723" spans="1:10" x14ac:dyDescent="0.3">
      <c r="A9723" t="s">
        <v>4265</v>
      </c>
      <c r="B9723" t="s">
        <v>17158</v>
      </c>
      <c r="D9723">
        <v>2</v>
      </c>
      <c r="E9723" t="s">
        <v>227</v>
      </c>
      <c r="F9723" t="s">
        <v>17159</v>
      </c>
      <c r="G9723" t="s">
        <v>11166</v>
      </c>
    </row>
    <row r="9724" spans="1:10" x14ac:dyDescent="0.3">
      <c r="A9724" t="s">
        <v>8244</v>
      </c>
      <c r="B9724" t="s">
        <v>17160</v>
      </c>
      <c r="D9724">
        <v>1</v>
      </c>
      <c r="E9724" t="s">
        <v>37</v>
      </c>
      <c r="F9724" t="s">
        <v>17161</v>
      </c>
      <c r="J9724" t="s">
        <v>17162</v>
      </c>
    </row>
    <row r="9725" spans="1:10" x14ac:dyDescent="0.3">
      <c r="A9725" t="s">
        <v>3813</v>
      </c>
      <c r="B9725" t="s">
        <v>17163</v>
      </c>
      <c r="F9725" t="s">
        <v>299</v>
      </c>
      <c r="J9725" t="s">
        <v>2995</v>
      </c>
    </row>
    <row r="9726" spans="1:10" x14ac:dyDescent="0.3">
      <c r="A9726" t="s">
        <v>17164</v>
      </c>
      <c r="B9726" t="s">
        <v>489</v>
      </c>
      <c r="D9726">
        <v>1</v>
      </c>
      <c r="E9726" t="s">
        <v>23</v>
      </c>
      <c r="F9726" t="s">
        <v>233</v>
      </c>
    </row>
    <row r="9727" spans="1:10" x14ac:dyDescent="0.3">
      <c r="A9727" t="s">
        <v>17165</v>
      </c>
      <c r="B9727" t="s">
        <v>17166</v>
      </c>
      <c r="D9727">
        <v>1</v>
      </c>
      <c r="E9727" t="s">
        <v>2689</v>
      </c>
      <c r="F9727" t="s">
        <v>4056</v>
      </c>
    </row>
    <row r="9728" spans="1:10" x14ac:dyDescent="0.3">
      <c r="A9728" t="s">
        <v>4739</v>
      </c>
      <c r="B9728" t="s">
        <v>988</v>
      </c>
      <c r="D9728">
        <v>0.5</v>
      </c>
      <c r="E9728" t="s">
        <v>23</v>
      </c>
      <c r="F9728" t="s">
        <v>81</v>
      </c>
    </row>
    <row r="9729" spans="1:10" x14ac:dyDescent="0.3">
      <c r="A9729" t="s">
        <v>17167</v>
      </c>
      <c r="B9729" t="s">
        <v>17168</v>
      </c>
      <c r="D9729">
        <v>0.5</v>
      </c>
      <c r="E9729" t="s">
        <v>23</v>
      </c>
      <c r="F9729" t="s">
        <v>17169</v>
      </c>
    </row>
    <row r="9730" spans="1:10" x14ac:dyDescent="0.3">
      <c r="A9730" t="s">
        <v>17170</v>
      </c>
      <c r="B9730" t="s">
        <v>17171</v>
      </c>
      <c r="D9730">
        <v>3</v>
      </c>
      <c r="E9730" t="s">
        <v>189</v>
      </c>
      <c r="F9730" t="s">
        <v>17172</v>
      </c>
    </row>
    <row r="9731" spans="1:10" x14ac:dyDescent="0.3">
      <c r="A9731" t="s">
        <v>8017</v>
      </c>
      <c r="B9731" t="s">
        <v>10883</v>
      </c>
      <c r="D9731">
        <v>1</v>
      </c>
      <c r="E9731" t="s">
        <v>284</v>
      </c>
      <c r="F9731" t="s">
        <v>581</v>
      </c>
    </row>
    <row r="9732" spans="1:10" x14ac:dyDescent="0.3">
      <c r="A9732" t="s">
        <v>7123</v>
      </c>
      <c r="B9732" t="s">
        <v>17173</v>
      </c>
      <c r="D9732">
        <v>1</v>
      </c>
      <c r="E9732" t="s">
        <v>37</v>
      </c>
      <c r="F9732" t="s">
        <v>17174</v>
      </c>
      <c r="J9732" t="s">
        <v>17175</v>
      </c>
    </row>
    <row r="9733" spans="1:10" x14ac:dyDescent="0.3">
      <c r="A9733" t="s">
        <v>2652</v>
      </c>
      <c r="B9733" t="s">
        <v>17176</v>
      </c>
      <c r="D9733">
        <v>0.5</v>
      </c>
      <c r="E9733" t="s">
        <v>284</v>
      </c>
      <c r="F9733" t="s">
        <v>17177</v>
      </c>
    </row>
    <row r="9734" spans="1:10" x14ac:dyDescent="0.3">
      <c r="A9734" t="s">
        <v>11388</v>
      </c>
      <c r="B9734" t="s">
        <v>780</v>
      </c>
      <c r="D9734">
        <v>2</v>
      </c>
      <c r="E9734" t="s">
        <v>23</v>
      </c>
      <c r="F9734" t="s">
        <v>781</v>
      </c>
      <c r="J9734" t="s">
        <v>289</v>
      </c>
    </row>
    <row r="9735" spans="1:10" x14ac:dyDescent="0.3">
      <c r="A9735" t="s">
        <v>4885</v>
      </c>
      <c r="B9735" t="s">
        <v>17178</v>
      </c>
      <c r="D9735">
        <v>0.75</v>
      </c>
      <c r="E9735" t="s">
        <v>11</v>
      </c>
      <c r="F9735" t="s">
        <v>4433</v>
      </c>
    </row>
    <row r="9736" spans="1:10" x14ac:dyDescent="0.3">
      <c r="A9736" t="s">
        <v>17179</v>
      </c>
      <c r="B9736" t="s">
        <v>2830</v>
      </c>
      <c r="D9736">
        <v>0.5</v>
      </c>
      <c r="E9736" t="s">
        <v>23</v>
      </c>
      <c r="F9736" t="s">
        <v>1715</v>
      </c>
    </row>
    <row r="9737" spans="1:10" x14ac:dyDescent="0.3">
      <c r="A9737" t="s">
        <v>17180</v>
      </c>
      <c r="B9737" t="s">
        <v>17181</v>
      </c>
      <c r="D9737">
        <v>2</v>
      </c>
      <c r="E9737" t="s">
        <v>835</v>
      </c>
      <c r="F9737" t="s">
        <v>17182</v>
      </c>
    </row>
    <row r="9738" spans="1:10" x14ac:dyDescent="0.3">
      <c r="A9738" t="s">
        <v>12592</v>
      </c>
      <c r="B9738" t="s">
        <v>17183</v>
      </c>
      <c r="D9738">
        <v>3</v>
      </c>
      <c r="E9738" t="s">
        <v>189</v>
      </c>
      <c r="F9738" t="s">
        <v>17184</v>
      </c>
      <c r="J9738" t="s">
        <v>654</v>
      </c>
    </row>
    <row r="9739" spans="1:10" x14ac:dyDescent="0.3">
      <c r="A9739" t="s">
        <v>17185</v>
      </c>
      <c r="B9739" t="s">
        <v>1179</v>
      </c>
      <c r="D9739">
        <v>1</v>
      </c>
      <c r="E9739" t="s">
        <v>23</v>
      </c>
      <c r="F9739" t="s">
        <v>233</v>
      </c>
    </row>
    <row r="9740" spans="1:10" x14ac:dyDescent="0.3">
      <c r="A9740" t="s">
        <v>15634</v>
      </c>
      <c r="B9740" t="s">
        <v>4240</v>
      </c>
      <c r="D9740">
        <v>1</v>
      </c>
      <c r="E9740" t="s">
        <v>904</v>
      </c>
      <c r="F9740" t="s">
        <v>1431</v>
      </c>
    </row>
    <row r="9741" spans="1:10" x14ac:dyDescent="0.3">
      <c r="A9741" t="s">
        <v>17186</v>
      </c>
      <c r="B9741" t="s">
        <v>17187</v>
      </c>
      <c r="D9741" t="s">
        <v>10370</v>
      </c>
      <c r="F9741" t="s">
        <v>17188</v>
      </c>
      <c r="J9741" t="s">
        <v>17189</v>
      </c>
    </row>
    <row r="9742" spans="1:10" x14ac:dyDescent="0.3">
      <c r="A9742" t="s">
        <v>9068</v>
      </c>
      <c r="B9742" t="s">
        <v>17190</v>
      </c>
      <c r="D9742">
        <v>1</v>
      </c>
      <c r="F9742" t="s">
        <v>8085</v>
      </c>
      <c r="G9742" t="s">
        <v>8770</v>
      </c>
    </row>
    <row r="9743" spans="1:10" x14ac:dyDescent="0.3">
      <c r="A9743" t="s">
        <v>11711</v>
      </c>
      <c r="B9743" t="s">
        <v>17191</v>
      </c>
      <c r="D9743">
        <v>1</v>
      </c>
      <c r="E9743" t="s">
        <v>71</v>
      </c>
      <c r="F9743" t="s">
        <v>857</v>
      </c>
    </row>
    <row r="9744" spans="1:10" x14ac:dyDescent="0.3">
      <c r="A9744" t="s">
        <v>8561</v>
      </c>
      <c r="B9744" t="s">
        <v>11432</v>
      </c>
      <c r="D9744">
        <v>1</v>
      </c>
      <c r="E9744" t="s">
        <v>37</v>
      </c>
      <c r="F9744" t="s">
        <v>38</v>
      </c>
      <c r="H9744" t="s">
        <v>68</v>
      </c>
    </row>
    <row r="9745" spans="1:10" x14ac:dyDescent="0.3">
      <c r="A9745" t="s">
        <v>17192</v>
      </c>
      <c r="B9745" t="s">
        <v>2088</v>
      </c>
      <c r="D9745">
        <v>1</v>
      </c>
      <c r="E9745" t="s">
        <v>1990</v>
      </c>
      <c r="F9745" t="s">
        <v>163</v>
      </c>
      <c r="J9745" t="s">
        <v>248</v>
      </c>
    </row>
    <row r="9746" spans="1:10" x14ac:dyDescent="0.3">
      <c r="A9746" t="s">
        <v>16065</v>
      </c>
      <c r="B9746" t="s">
        <v>599</v>
      </c>
      <c r="D9746">
        <v>2</v>
      </c>
      <c r="E9746" t="s">
        <v>23</v>
      </c>
      <c r="F9746" t="s">
        <v>30</v>
      </c>
    </row>
    <row r="9747" spans="1:10" x14ac:dyDescent="0.3">
      <c r="A9747" t="s">
        <v>17193</v>
      </c>
      <c r="B9747" t="s">
        <v>792</v>
      </c>
      <c r="D9747">
        <v>0.5</v>
      </c>
      <c r="E9747" t="s">
        <v>11</v>
      </c>
      <c r="F9747" t="s">
        <v>793</v>
      </c>
    </row>
    <row r="9748" spans="1:10" x14ac:dyDescent="0.3">
      <c r="A9748" t="s">
        <v>17194</v>
      </c>
      <c r="B9748" t="s">
        <v>17195</v>
      </c>
      <c r="D9748">
        <v>2</v>
      </c>
      <c r="E9748" t="s">
        <v>460</v>
      </c>
      <c r="F9748" t="s">
        <v>17196</v>
      </c>
    </row>
    <row r="9749" spans="1:10" x14ac:dyDescent="0.3">
      <c r="A9749" t="s">
        <v>17197</v>
      </c>
      <c r="B9749" t="s">
        <v>2809</v>
      </c>
      <c r="D9749">
        <v>1</v>
      </c>
      <c r="E9749" t="s">
        <v>1671</v>
      </c>
      <c r="F9749" t="s">
        <v>152</v>
      </c>
      <c r="J9749" t="s">
        <v>248</v>
      </c>
    </row>
    <row r="9750" spans="1:10" x14ac:dyDescent="0.3">
      <c r="A9750" t="s">
        <v>8979</v>
      </c>
      <c r="B9750" t="s">
        <v>1179</v>
      </c>
      <c r="D9750">
        <v>1</v>
      </c>
      <c r="E9750" t="s">
        <v>23</v>
      </c>
      <c r="F9750" t="s">
        <v>233</v>
      </c>
    </row>
    <row r="9751" spans="1:10" x14ac:dyDescent="0.3">
      <c r="A9751" t="s">
        <v>17198</v>
      </c>
      <c r="B9751" t="s">
        <v>6153</v>
      </c>
      <c r="D9751">
        <v>3</v>
      </c>
      <c r="E9751" t="s">
        <v>23</v>
      </c>
      <c r="F9751" t="s">
        <v>102</v>
      </c>
    </row>
    <row r="9752" spans="1:10" x14ac:dyDescent="0.3">
      <c r="A9752" t="s">
        <v>1275</v>
      </c>
      <c r="B9752" t="s">
        <v>17199</v>
      </c>
      <c r="E9752" t="s">
        <v>1983</v>
      </c>
      <c r="F9752" t="s">
        <v>17200</v>
      </c>
      <c r="J9752" t="s">
        <v>16543</v>
      </c>
    </row>
    <row r="9753" spans="1:10" x14ac:dyDescent="0.3">
      <c r="A9753" t="s">
        <v>17201</v>
      </c>
      <c r="B9753" t="s">
        <v>17202</v>
      </c>
      <c r="D9753">
        <v>20</v>
      </c>
      <c r="E9753" t="s">
        <v>29</v>
      </c>
      <c r="F9753" t="s">
        <v>95</v>
      </c>
    </row>
    <row r="9754" spans="1:10" x14ac:dyDescent="0.3">
      <c r="A9754" t="s">
        <v>17203</v>
      </c>
      <c r="B9754" t="s">
        <v>17204</v>
      </c>
      <c r="D9754">
        <v>1.5</v>
      </c>
      <c r="E9754" t="s">
        <v>345</v>
      </c>
      <c r="F9754" t="s">
        <v>17205</v>
      </c>
    </row>
    <row r="9755" spans="1:10" x14ac:dyDescent="0.3">
      <c r="A9755" t="s">
        <v>14667</v>
      </c>
      <c r="B9755" t="s">
        <v>9020</v>
      </c>
      <c r="D9755">
        <v>2</v>
      </c>
      <c r="E9755" t="s">
        <v>835</v>
      </c>
      <c r="F9755" t="s">
        <v>1578</v>
      </c>
    </row>
    <row r="9756" spans="1:10" x14ac:dyDescent="0.3">
      <c r="A9756" t="s">
        <v>17206</v>
      </c>
      <c r="B9756" t="s">
        <v>17207</v>
      </c>
      <c r="E9756" t="s">
        <v>2689</v>
      </c>
      <c r="F9756" t="s">
        <v>17208</v>
      </c>
      <c r="H9756" t="s">
        <v>814</v>
      </c>
      <c r="J9756" t="s">
        <v>164</v>
      </c>
    </row>
    <row r="9757" spans="1:10" x14ac:dyDescent="0.3">
      <c r="A9757" t="s">
        <v>2065</v>
      </c>
      <c r="B9757" t="s">
        <v>17209</v>
      </c>
      <c r="D9757">
        <v>2</v>
      </c>
      <c r="E9757" t="s">
        <v>11</v>
      </c>
      <c r="F9757" t="s">
        <v>8680</v>
      </c>
    </row>
    <row r="9758" spans="1:10" x14ac:dyDescent="0.3">
      <c r="A9758" t="s">
        <v>17210</v>
      </c>
      <c r="B9758" t="s">
        <v>10813</v>
      </c>
      <c r="D9758">
        <v>2</v>
      </c>
      <c r="E9758" t="s">
        <v>23</v>
      </c>
      <c r="F9758" t="s">
        <v>57</v>
      </c>
    </row>
    <row r="9759" spans="1:10" x14ac:dyDescent="0.3">
      <c r="A9759" t="s">
        <v>17211</v>
      </c>
      <c r="B9759" t="s">
        <v>12200</v>
      </c>
      <c r="D9759">
        <v>1</v>
      </c>
      <c r="E9759" t="s">
        <v>11</v>
      </c>
      <c r="F9759" t="s">
        <v>3981</v>
      </c>
    </row>
    <row r="9760" spans="1:10" x14ac:dyDescent="0.3">
      <c r="A9760" t="s">
        <v>6736</v>
      </c>
      <c r="B9760" t="s">
        <v>6324</v>
      </c>
      <c r="D9760">
        <v>0.5</v>
      </c>
      <c r="F9760" t="s">
        <v>17212</v>
      </c>
      <c r="J9760" t="s">
        <v>289</v>
      </c>
    </row>
    <row r="9761" spans="1:10" x14ac:dyDescent="0.3">
      <c r="A9761" t="s">
        <v>17213</v>
      </c>
      <c r="B9761" t="s">
        <v>17214</v>
      </c>
      <c r="F9761" t="s">
        <v>333</v>
      </c>
      <c r="J9761" t="s">
        <v>4154</v>
      </c>
    </row>
    <row r="9762" spans="1:10" x14ac:dyDescent="0.3">
      <c r="A9762" t="s">
        <v>17215</v>
      </c>
      <c r="B9762" t="s">
        <v>17216</v>
      </c>
      <c r="D9762">
        <v>0.5</v>
      </c>
      <c r="E9762" t="s">
        <v>23</v>
      </c>
      <c r="F9762" t="s">
        <v>11021</v>
      </c>
    </row>
    <row r="9763" spans="1:10" x14ac:dyDescent="0.3">
      <c r="A9763" t="s">
        <v>17217</v>
      </c>
      <c r="B9763" t="s">
        <v>17218</v>
      </c>
      <c r="D9763">
        <v>50</v>
      </c>
      <c r="E9763" t="s">
        <v>29</v>
      </c>
      <c r="F9763" t="s">
        <v>758</v>
      </c>
    </row>
    <row r="9764" spans="1:10" x14ac:dyDescent="0.3">
      <c r="A9764" t="s">
        <v>17219</v>
      </c>
      <c r="B9764" t="s">
        <v>638</v>
      </c>
      <c r="F9764" t="s">
        <v>638</v>
      </c>
    </row>
    <row r="9765" spans="1:10" x14ac:dyDescent="0.3">
      <c r="A9765" t="s">
        <v>17220</v>
      </c>
      <c r="B9765">
        <v>1</v>
      </c>
      <c r="D9765">
        <v>1</v>
      </c>
    </row>
    <row r="9766" spans="1:10" x14ac:dyDescent="0.3">
      <c r="A9766" t="s">
        <v>17221</v>
      </c>
      <c r="B9766" t="s">
        <v>17222</v>
      </c>
      <c r="D9766">
        <v>2</v>
      </c>
      <c r="E9766" t="s">
        <v>23</v>
      </c>
      <c r="F9766" t="s">
        <v>17223</v>
      </c>
    </row>
    <row r="9767" spans="1:10" x14ac:dyDescent="0.3">
      <c r="A9767" t="s">
        <v>4384</v>
      </c>
      <c r="B9767" t="s">
        <v>1413</v>
      </c>
      <c r="D9767">
        <v>1</v>
      </c>
      <c r="E9767" t="s">
        <v>23</v>
      </c>
      <c r="F9767" t="s">
        <v>292</v>
      </c>
    </row>
    <row r="9768" spans="1:10" x14ac:dyDescent="0.3">
      <c r="A9768" t="s">
        <v>10693</v>
      </c>
      <c r="B9768" t="s">
        <v>17224</v>
      </c>
      <c r="D9768">
        <v>1</v>
      </c>
      <c r="E9768" t="s">
        <v>23</v>
      </c>
      <c r="F9768" t="s">
        <v>11214</v>
      </c>
      <c r="H9768" t="s">
        <v>68</v>
      </c>
    </row>
    <row r="9769" spans="1:10" x14ac:dyDescent="0.3">
      <c r="A9769" t="s">
        <v>678</v>
      </c>
      <c r="B9769" t="s">
        <v>17225</v>
      </c>
      <c r="E9769" t="s">
        <v>236</v>
      </c>
      <c r="F9769" t="s">
        <v>1568</v>
      </c>
      <c r="J9769" t="s">
        <v>1154</v>
      </c>
    </row>
    <row r="9770" spans="1:10" x14ac:dyDescent="0.3">
      <c r="A9770" t="s">
        <v>17226</v>
      </c>
      <c r="B9770" t="s">
        <v>17227</v>
      </c>
      <c r="D9770">
        <v>1.5</v>
      </c>
      <c r="E9770" t="s">
        <v>345</v>
      </c>
      <c r="F9770" t="s">
        <v>17228</v>
      </c>
    </row>
    <row r="9771" spans="1:10" x14ac:dyDescent="0.3">
      <c r="A9771" t="s">
        <v>17229</v>
      </c>
      <c r="B9771" t="s">
        <v>1692</v>
      </c>
      <c r="D9771">
        <v>0.75</v>
      </c>
      <c r="E9771" t="s">
        <v>11</v>
      </c>
      <c r="F9771" t="s">
        <v>423</v>
      </c>
    </row>
    <row r="9772" spans="1:10" x14ac:dyDescent="0.3">
      <c r="A9772" t="s">
        <v>16334</v>
      </c>
      <c r="B9772" t="s">
        <v>8520</v>
      </c>
      <c r="D9772">
        <v>1</v>
      </c>
      <c r="E9772" t="s">
        <v>246</v>
      </c>
      <c r="F9772" t="s">
        <v>591</v>
      </c>
      <c r="J9772" t="s">
        <v>248</v>
      </c>
    </row>
    <row r="9773" spans="1:10" x14ac:dyDescent="0.3">
      <c r="A9773" t="s">
        <v>17230</v>
      </c>
      <c r="B9773" t="s">
        <v>537</v>
      </c>
      <c r="D9773">
        <v>6</v>
      </c>
      <c r="F9773" t="s">
        <v>538</v>
      </c>
    </row>
    <row r="9774" spans="1:10" x14ac:dyDescent="0.3">
      <c r="A9774" t="s">
        <v>11160</v>
      </c>
      <c r="B9774" t="s">
        <v>17231</v>
      </c>
      <c r="D9774">
        <v>3</v>
      </c>
      <c r="E9774" t="s">
        <v>189</v>
      </c>
      <c r="F9774" t="s">
        <v>10709</v>
      </c>
    </row>
    <row r="9775" spans="1:10" x14ac:dyDescent="0.3">
      <c r="A9775" t="s">
        <v>17232</v>
      </c>
      <c r="B9775" t="s">
        <v>17233</v>
      </c>
      <c r="D9775">
        <v>40</v>
      </c>
      <c r="E9775" t="s">
        <v>29</v>
      </c>
      <c r="F9775" t="s">
        <v>8780</v>
      </c>
    </row>
    <row r="9776" spans="1:10" x14ac:dyDescent="0.3">
      <c r="A9776" t="s">
        <v>17234</v>
      </c>
      <c r="B9776" t="s">
        <v>868</v>
      </c>
      <c r="D9776">
        <v>1</v>
      </c>
      <c r="E9776" t="s">
        <v>23</v>
      </c>
      <c r="F9776" t="s">
        <v>399</v>
      </c>
    </row>
    <row r="9777" spans="1:10" x14ac:dyDescent="0.3">
      <c r="A9777" t="s">
        <v>17235</v>
      </c>
      <c r="B9777" t="s">
        <v>3424</v>
      </c>
      <c r="D9777">
        <v>1</v>
      </c>
      <c r="E9777" t="s">
        <v>23</v>
      </c>
      <c r="F9777" t="s">
        <v>1209</v>
      </c>
    </row>
    <row r="9778" spans="1:10" x14ac:dyDescent="0.3">
      <c r="A9778" t="s">
        <v>17236</v>
      </c>
      <c r="B9778" t="s">
        <v>2367</v>
      </c>
      <c r="D9778">
        <v>1</v>
      </c>
      <c r="E9778" t="s">
        <v>23</v>
      </c>
      <c r="F9778" t="s">
        <v>2368</v>
      </c>
    </row>
    <row r="9779" spans="1:10" x14ac:dyDescent="0.3">
      <c r="A9779" t="s">
        <v>17237</v>
      </c>
      <c r="B9779" t="s">
        <v>17238</v>
      </c>
      <c r="D9779">
        <v>10.25</v>
      </c>
      <c r="E9779" t="s">
        <v>91</v>
      </c>
      <c r="F9779" t="s">
        <v>1032</v>
      </c>
    </row>
    <row r="9780" spans="1:10" x14ac:dyDescent="0.3">
      <c r="A9780" t="s">
        <v>3245</v>
      </c>
      <c r="B9780" t="s">
        <v>17239</v>
      </c>
      <c r="D9780">
        <v>12.5</v>
      </c>
      <c r="E9780" t="s">
        <v>29</v>
      </c>
      <c r="F9780" t="s">
        <v>817</v>
      </c>
    </row>
    <row r="9781" spans="1:10" x14ac:dyDescent="0.3">
      <c r="A9781" t="s">
        <v>12624</v>
      </c>
      <c r="B9781" t="s">
        <v>8359</v>
      </c>
      <c r="D9781">
        <v>1.5</v>
      </c>
      <c r="E9781" t="s">
        <v>23</v>
      </c>
      <c r="F9781" t="s">
        <v>183</v>
      </c>
    </row>
    <row r="9782" spans="1:10" x14ac:dyDescent="0.3">
      <c r="A9782" t="s">
        <v>17240</v>
      </c>
      <c r="B9782" t="s">
        <v>17241</v>
      </c>
      <c r="D9782">
        <v>0.17</v>
      </c>
      <c r="E9782" t="s">
        <v>23</v>
      </c>
      <c r="F9782" t="s">
        <v>95</v>
      </c>
    </row>
    <row r="9783" spans="1:10" x14ac:dyDescent="0.3">
      <c r="A9783" t="s">
        <v>17242</v>
      </c>
      <c r="B9783" t="s">
        <v>17243</v>
      </c>
      <c r="D9783">
        <v>50</v>
      </c>
      <c r="E9783" t="s">
        <v>29</v>
      </c>
      <c r="F9783" t="s">
        <v>7111</v>
      </c>
    </row>
    <row r="9784" spans="1:10" x14ac:dyDescent="0.3">
      <c r="A9784" t="s">
        <v>6177</v>
      </c>
      <c r="B9784" t="s">
        <v>15707</v>
      </c>
      <c r="D9784">
        <v>1</v>
      </c>
      <c r="E9784" t="s">
        <v>2646</v>
      </c>
      <c r="F9784" t="s">
        <v>15708</v>
      </c>
    </row>
    <row r="9785" spans="1:10" x14ac:dyDescent="0.3">
      <c r="A9785" t="s">
        <v>5154</v>
      </c>
      <c r="B9785" t="s">
        <v>17244</v>
      </c>
      <c r="D9785">
        <v>1</v>
      </c>
      <c r="E9785" t="s">
        <v>60</v>
      </c>
      <c r="F9785" t="s">
        <v>190</v>
      </c>
      <c r="J9785" t="s">
        <v>289</v>
      </c>
    </row>
    <row r="9786" spans="1:10" x14ac:dyDescent="0.3">
      <c r="A9786" t="s">
        <v>17245</v>
      </c>
      <c r="B9786" t="s">
        <v>17246</v>
      </c>
      <c r="D9786">
        <v>1.5</v>
      </c>
      <c r="E9786" t="s">
        <v>345</v>
      </c>
      <c r="F9786" t="s">
        <v>2552</v>
      </c>
    </row>
    <row r="9787" spans="1:10" x14ac:dyDescent="0.3">
      <c r="A9787" t="s">
        <v>17247</v>
      </c>
      <c r="B9787" t="s">
        <v>12394</v>
      </c>
      <c r="D9787">
        <v>2</v>
      </c>
      <c r="E9787" t="s">
        <v>345</v>
      </c>
      <c r="F9787" t="s">
        <v>1476</v>
      </c>
    </row>
    <row r="9788" spans="1:10" x14ac:dyDescent="0.3">
      <c r="A9788" t="s">
        <v>17248</v>
      </c>
      <c r="B9788" t="s">
        <v>17249</v>
      </c>
      <c r="D9788">
        <v>2</v>
      </c>
      <c r="E9788" t="s">
        <v>686</v>
      </c>
      <c r="F9788" t="s">
        <v>17250</v>
      </c>
      <c r="J9788" t="s">
        <v>20</v>
      </c>
    </row>
    <row r="9789" spans="1:10" x14ac:dyDescent="0.3">
      <c r="A9789" t="s">
        <v>17251</v>
      </c>
      <c r="B9789" t="s">
        <v>17252</v>
      </c>
      <c r="D9789">
        <v>0.5</v>
      </c>
      <c r="E9789" t="s">
        <v>1843</v>
      </c>
      <c r="F9789" t="s">
        <v>17253</v>
      </c>
    </row>
    <row r="9790" spans="1:10" x14ac:dyDescent="0.3">
      <c r="A9790" t="s">
        <v>17254</v>
      </c>
      <c r="B9790" t="s">
        <v>7001</v>
      </c>
      <c r="D9790">
        <v>1</v>
      </c>
      <c r="E9790" t="s">
        <v>23</v>
      </c>
      <c r="F9790" t="s">
        <v>1476</v>
      </c>
    </row>
    <row r="9791" spans="1:10" x14ac:dyDescent="0.3">
      <c r="A9791" t="s">
        <v>17255</v>
      </c>
      <c r="B9791" t="s">
        <v>17256</v>
      </c>
      <c r="D9791">
        <v>1</v>
      </c>
      <c r="E9791" t="s">
        <v>2646</v>
      </c>
      <c r="F9791" t="s">
        <v>17257</v>
      </c>
    </row>
    <row r="9792" spans="1:10" x14ac:dyDescent="0.3">
      <c r="A9792" t="s">
        <v>10129</v>
      </c>
      <c r="B9792" t="s">
        <v>17258</v>
      </c>
      <c r="D9792">
        <v>25</v>
      </c>
      <c r="E9792" t="s">
        <v>29</v>
      </c>
      <c r="F9792" t="s">
        <v>9969</v>
      </c>
    </row>
    <row r="9793" spans="1:10" x14ac:dyDescent="0.3">
      <c r="A9793" t="s">
        <v>17259</v>
      </c>
      <c r="B9793" t="s">
        <v>17260</v>
      </c>
      <c r="D9793">
        <v>25</v>
      </c>
      <c r="E9793" t="s">
        <v>29</v>
      </c>
      <c r="F9793" t="s">
        <v>1483</v>
      </c>
    </row>
    <row r="9794" spans="1:10" x14ac:dyDescent="0.3">
      <c r="A9794" t="s">
        <v>17261</v>
      </c>
      <c r="B9794" t="s">
        <v>17262</v>
      </c>
      <c r="D9794">
        <v>2</v>
      </c>
      <c r="E9794" t="s">
        <v>91</v>
      </c>
      <c r="F9794" t="s">
        <v>423</v>
      </c>
    </row>
    <row r="9795" spans="1:10" x14ac:dyDescent="0.3">
      <c r="A9795" t="s">
        <v>17263</v>
      </c>
      <c r="B9795" t="s">
        <v>6799</v>
      </c>
      <c r="D9795">
        <v>1</v>
      </c>
      <c r="E9795" t="s">
        <v>23</v>
      </c>
      <c r="F9795" t="s">
        <v>17264</v>
      </c>
      <c r="J9795" t="s">
        <v>289</v>
      </c>
    </row>
    <row r="9796" spans="1:10" x14ac:dyDescent="0.3">
      <c r="A9796" t="s">
        <v>17265</v>
      </c>
      <c r="B9796" t="s">
        <v>17266</v>
      </c>
      <c r="D9796">
        <v>1</v>
      </c>
      <c r="E9796" t="s">
        <v>37</v>
      </c>
      <c r="F9796" t="s">
        <v>17267</v>
      </c>
    </row>
    <row r="9797" spans="1:10" x14ac:dyDescent="0.3">
      <c r="A9797" t="s">
        <v>17268</v>
      </c>
      <c r="B9797" t="s">
        <v>17269</v>
      </c>
      <c r="D9797">
        <v>75</v>
      </c>
      <c r="E9797" t="s">
        <v>29</v>
      </c>
      <c r="F9797" t="s">
        <v>262</v>
      </c>
    </row>
    <row r="9798" spans="1:10" x14ac:dyDescent="0.3">
      <c r="A9798" t="s">
        <v>11626</v>
      </c>
      <c r="B9798" t="s">
        <v>17270</v>
      </c>
      <c r="D9798">
        <v>10</v>
      </c>
      <c r="F9798" t="s">
        <v>17271</v>
      </c>
      <c r="G9798" t="s">
        <v>1014</v>
      </c>
      <c r="J9798" t="s">
        <v>325</v>
      </c>
    </row>
    <row r="9799" spans="1:10" x14ac:dyDescent="0.3">
      <c r="A9799" t="s">
        <v>17272</v>
      </c>
      <c r="B9799" t="s">
        <v>3216</v>
      </c>
      <c r="D9799">
        <v>0.75</v>
      </c>
      <c r="E9799" t="s">
        <v>23</v>
      </c>
      <c r="F9799" t="s">
        <v>38</v>
      </c>
      <c r="H9799" t="s">
        <v>68</v>
      </c>
    </row>
    <row r="9800" spans="1:10" x14ac:dyDescent="0.3">
      <c r="A9800" t="s">
        <v>17273</v>
      </c>
      <c r="B9800" t="s">
        <v>17274</v>
      </c>
      <c r="D9800">
        <v>2.5</v>
      </c>
      <c r="E9800" t="s">
        <v>23</v>
      </c>
      <c r="F9800" t="s">
        <v>781</v>
      </c>
    </row>
    <row r="9801" spans="1:10" x14ac:dyDescent="0.3">
      <c r="A9801" t="s">
        <v>8275</v>
      </c>
      <c r="B9801" t="s">
        <v>17275</v>
      </c>
      <c r="D9801">
        <v>1</v>
      </c>
      <c r="E9801" t="s">
        <v>23</v>
      </c>
      <c r="F9801" t="s">
        <v>17276</v>
      </c>
    </row>
    <row r="9802" spans="1:10" x14ac:dyDescent="0.3">
      <c r="A9802" t="s">
        <v>17277</v>
      </c>
      <c r="B9802" t="s">
        <v>17278</v>
      </c>
      <c r="D9802">
        <v>1</v>
      </c>
      <c r="E9802" t="s">
        <v>111</v>
      </c>
      <c r="F9802" t="s">
        <v>278</v>
      </c>
    </row>
    <row r="9803" spans="1:10" x14ac:dyDescent="0.3">
      <c r="A9803" t="s">
        <v>17279</v>
      </c>
      <c r="B9803" t="s">
        <v>1816</v>
      </c>
      <c r="F9803" t="s">
        <v>1816</v>
      </c>
    </row>
    <row r="9804" spans="1:10" x14ac:dyDescent="0.3">
      <c r="A9804" t="s">
        <v>14425</v>
      </c>
      <c r="B9804" t="s">
        <v>17280</v>
      </c>
      <c r="D9804">
        <v>2</v>
      </c>
      <c r="E9804" t="s">
        <v>835</v>
      </c>
      <c r="F9804" t="s">
        <v>15510</v>
      </c>
    </row>
    <row r="9805" spans="1:10" x14ac:dyDescent="0.3">
      <c r="A9805" t="s">
        <v>17281</v>
      </c>
      <c r="B9805" t="s">
        <v>17282</v>
      </c>
      <c r="D9805">
        <v>75</v>
      </c>
      <c r="E9805" t="s">
        <v>29</v>
      </c>
      <c r="F9805" t="s">
        <v>3981</v>
      </c>
    </row>
    <row r="9806" spans="1:10" x14ac:dyDescent="0.3">
      <c r="A9806" t="s">
        <v>17283</v>
      </c>
      <c r="B9806" t="s">
        <v>278</v>
      </c>
      <c r="F9806" t="s">
        <v>278</v>
      </c>
    </row>
    <row r="9807" spans="1:10" x14ac:dyDescent="0.3">
      <c r="A9807" t="s">
        <v>7234</v>
      </c>
      <c r="B9807" t="s">
        <v>16889</v>
      </c>
      <c r="D9807">
        <v>0.33</v>
      </c>
      <c r="E9807" t="s">
        <v>284</v>
      </c>
      <c r="F9807" t="s">
        <v>1537</v>
      </c>
    </row>
    <row r="9808" spans="1:10" x14ac:dyDescent="0.3">
      <c r="A9808" t="s">
        <v>3543</v>
      </c>
      <c r="B9808" t="s">
        <v>434</v>
      </c>
      <c r="E9808" t="s">
        <v>435</v>
      </c>
      <c r="F9808" t="s">
        <v>152</v>
      </c>
      <c r="J9808" t="s">
        <v>164</v>
      </c>
    </row>
    <row r="9809" spans="1:10" x14ac:dyDescent="0.3">
      <c r="A9809" t="s">
        <v>1088</v>
      </c>
      <c r="B9809" t="s">
        <v>17284</v>
      </c>
      <c r="D9809">
        <v>0.5</v>
      </c>
      <c r="E9809" t="s">
        <v>37</v>
      </c>
      <c r="F9809" t="s">
        <v>17285</v>
      </c>
    </row>
    <row r="9810" spans="1:10" x14ac:dyDescent="0.3">
      <c r="A9810" t="s">
        <v>17286</v>
      </c>
      <c r="B9810" t="s">
        <v>6447</v>
      </c>
      <c r="D9810">
        <v>2</v>
      </c>
      <c r="E9810" t="s">
        <v>91</v>
      </c>
      <c r="F9810" t="s">
        <v>57</v>
      </c>
    </row>
    <row r="9811" spans="1:10" x14ac:dyDescent="0.3">
      <c r="A9811" t="s">
        <v>6006</v>
      </c>
      <c r="B9811" t="s">
        <v>17287</v>
      </c>
      <c r="D9811">
        <v>1</v>
      </c>
      <c r="E9811" t="s">
        <v>361</v>
      </c>
      <c r="F9811" t="s">
        <v>2178</v>
      </c>
      <c r="J9811" t="s">
        <v>10882</v>
      </c>
    </row>
    <row r="9812" spans="1:10" x14ac:dyDescent="0.3">
      <c r="A9812" t="s">
        <v>17288</v>
      </c>
      <c r="B9812" t="s">
        <v>743</v>
      </c>
      <c r="F9812" t="s">
        <v>743</v>
      </c>
    </row>
    <row r="9813" spans="1:10" x14ac:dyDescent="0.3">
      <c r="A9813" t="s">
        <v>17289</v>
      </c>
      <c r="B9813" t="s">
        <v>15804</v>
      </c>
      <c r="D9813">
        <v>0.5</v>
      </c>
      <c r="E9813" t="s">
        <v>460</v>
      </c>
      <c r="F9813" t="s">
        <v>3442</v>
      </c>
    </row>
    <row r="9814" spans="1:10" x14ac:dyDescent="0.3">
      <c r="A9814" t="s">
        <v>8929</v>
      </c>
      <c r="B9814" t="s">
        <v>163</v>
      </c>
      <c r="F9814" t="s">
        <v>163</v>
      </c>
    </row>
    <row r="9815" spans="1:10" x14ac:dyDescent="0.3">
      <c r="A9815" t="s">
        <v>971</v>
      </c>
      <c r="B9815" t="s">
        <v>17290</v>
      </c>
      <c r="D9815">
        <v>1</v>
      </c>
      <c r="E9815" t="s">
        <v>752</v>
      </c>
      <c r="F9815" t="s">
        <v>17291</v>
      </c>
    </row>
    <row r="9816" spans="1:10" x14ac:dyDescent="0.3">
      <c r="A9816" t="s">
        <v>8649</v>
      </c>
      <c r="B9816" t="s">
        <v>17292</v>
      </c>
      <c r="D9816">
        <v>2.5</v>
      </c>
      <c r="E9816" t="s">
        <v>23</v>
      </c>
      <c r="F9816" t="s">
        <v>278</v>
      </c>
    </row>
    <row r="9817" spans="1:10" x14ac:dyDescent="0.3">
      <c r="A9817" t="s">
        <v>17293</v>
      </c>
      <c r="B9817" t="s">
        <v>17294</v>
      </c>
      <c r="D9817">
        <v>1</v>
      </c>
      <c r="E9817" t="s">
        <v>752</v>
      </c>
      <c r="F9817" t="s">
        <v>160</v>
      </c>
    </row>
    <row r="9818" spans="1:10" x14ac:dyDescent="0.3">
      <c r="A9818" t="s">
        <v>17295</v>
      </c>
      <c r="B9818" t="s">
        <v>17296</v>
      </c>
      <c r="D9818">
        <v>1</v>
      </c>
      <c r="E9818" t="s">
        <v>37</v>
      </c>
      <c r="F9818" t="s">
        <v>1295</v>
      </c>
    </row>
    <row r="9819" spans="1:10" x14ac:dyDescent="0.3">
      <c r="A9819" t="s">
        <v>17297</v>
      </c>
      <c r="B9819" t="s">
        <v>17298</v>
      </c>
      <c r="D9819">
        <v>50</v>
      </c>
      <c r="E9819" t="s">
        <v>29</v>
      </c>
      <c r="F9819" t="s">
        <v>402</v>
      </c>
    </row>
    <row r="9820" spans="1:10" x14ac:dyDescent="0.3">
      <c r="A9820" t="s">
        <v>17299</v>
      </c>
      <c r="B9820" t="s">
        <v>3004</v>
      </c>
      <c r="D9820">
        <v>3</v>
      </c>
      <c r="E9820" t="s">
        <v>23</v>
      </c>
      <c r="F9820" t="s">
        <v>241</v>
      </c>
    </row>
    <row r="9821" spans="1:10" x14ac:dyDescent="0.3">
      <c r="A9821" t="s">
        <v>17300</v>
      </c>
      <c r="B9821" t="s">
        <v>17301</v>
      </c>
      <c r="D9821">
        <v>5</v>
      </c>
      <c r="E9821" t="s">
        <v>23</v>
      </c>
      <c r="F9821" t="s">
        <v>940</v>
      </c>
    </row>
    <row r="9822" spans="1:10" x14ac:dyDescent="0.3">
      <c r="A9822" t="s">
        <v>11640</v>
      </c>
      <c r="B9822" t="s">
        <v>17302</v>
      </c>
      <c r="F9822" t="s">
        <v>17303</v>
      </c>
      <c r="J9822" t="s">
        <v>17304</v>
      </c>
    </row>
    <row r="9823" spans="1:10" x14ac:dyDescent="0.3">
      <c r="A9823" t="s">
        <v>5189</v>
      </c>
      <c r="B9823" t="s">
        <v>5634</v>
      </c>
      <c r="D9823">
        <v>2</v>
      </c>
      <c r="E9823" t="s">
        <v>23</v>
      </c>
      <c r="F9823" t="s">
        <v>102</v>
      </c>
    </row>
    <row r="9824" spans="1:10" x14ac:dyDescent="0.3">
      <c r="A9824" t="s">
        <v>17305</v>
      </c>
      <c r="B9824" t="s">
        <v>17306</v>
      </c>
      <c r="D9824">
        <v>0.25</v>
      </c>
      <c r="E9824" t="s">
        <v>23</v>
      </c>
      <c r="F9824" t="s">
        <v>17307</v>
      </c>
    </row>
    <row r="9825" spans="1:10" x14ac:dyDescent="0.3">
      <c r="A9825" t="s">
        <v>17308</v>
      </c>
      <c r="B9825" t="s">
        <v>17309</v>
      </c>
      <c r="F9825" t="s">
        <v>17310</v>
      </c>
      <c r="J9825" t="s">
        <v>2932</v>
      </c>
    </row>
    <row r="9826" spans="1:10" x14ac:dyDescent="0.3">
      <c r="A9826" t="s">
        <v>8355</v>
      </c>
      <c r="B9826" t="s">
        <v>17311</v>
      </c>
      <c r="D9826">
        <v>15</v>
      </c>
      <c r="E9826" t="s">
        <v>23</v>
      </c>
      <c r="F9826" t="s">
        <v>9662</v>
      </c>
      <c r="J9826" t="s">
        <v>289</v>
      </c>
    </row>
    <row r="9827" spans="1:10" x14ac:dyDescent="0.3">
      <c r="A9827" t="s">
        <v>17312</v>
      </c>
      <c r="B9827" t="s">
        <v>17313</v>
      </c>
      <c r="D9827">
        <v>50</v>
      </c>
      <c r="E9827" t="s">
        <v>29</v>
      </c>
      <c r="F9827" t="s">
        <v>17314</v>
      </c>
    </row>
    <row r="9828" spans="1:10" x14ac:dyDescent="0.3">
      <c r="A9828" t="s">
        <v>17315</v>
      </c>
      <c r="B9828" t="s">
        <v>17316</v>
      </c>
      <c r="D9828">
        <v>0.75</v>
      </c>
      <c r="E9828" t="s">
        <v>37</v>
      </c>
      <c r="F9828" t="s">
        <v>3573</v>
      </c>
    </row>
    <row r="9829" spans="1:10" x14ac:dyDescent="0.3">
      <c r="A9829" t="s">
        <v>17317</v>
      </c>
      <c r="B9829" t="s">
        <v>3131</v>
      </c>
      <c r="D9829">
        <v>150</v>
      </c>
      <c r="E9829" t="s">
        <v>29</v>
      </c>
      <c r="F9829" t="s">
        <v>3132</v>
      </c>
    </row>
    <row r="9830" spans="1:10" x14ac:dyDescent="0.3">
      <c r="A9830" t="s">
        <v>3317</v>
      </c>
      <c r="B9830" t="s">
        <v>540</v>
      </c>
      <c r="D9830">
        <v>1</v>
      </c>
      <c r="E9830" t="s">
        <v>18</v>
      </c>
      <c r="F9830" t="s">
        <v>541</v>
      </c>
    </row>
    <row r="9831" spans="1:10" x14ac:dyDescent="0.3">
      <c r="A9831" t="s">
        <v>10013</v>
      </c>
      <c r="B9831" t="s">
        <v>17318</v>
      </c>
      <c r="D9831">
        <v>0.25</v>
      </c>
      <c r="E9831" t="s">
        <v>37</v>
      </c>
      <c r="F9831" t="s">
        <v>17319</v>
      </c>
    </row>
    <row r="9832" spans="1:10" x14ac:dyDescent="0.3">
      <c r="A9832" t="s">
        <v>6130</v>
      </c>
      <c r="B9832" t="s">
        <v>17320</v>
      </c>
      <c r="F9832" t="s">
        <v>51</v>
      </c>
      <c r="G9832" t="s">
        <v>8308</v>
      </c>
    </row>
    <row r="9833" spans="1:10" x14ac:dyDescent="0.3">
      <c r="A9833" t="s">
        <v>772</v>
      </c>
      <c r="B9833" t="s">
        <v>17321</v>
      </c>
      <c r="D9833">
        <v>2</v>
      </c>
      <c r="E9833" t="s">
        <v>91</v>
      </c>
      <c r="F9833" t="s">
        <v>17322</v>
      </c>
      <c r="J9833" t="s">
        <v>654</v>
      </c>
    </row>
    <row r="9834" spans="1:10" x14ac:dyDescent="0.3">
      <c r="A9834" t="s">
        <v>17323</v>
      </c>
      <c r="B9834" t="s">
        <v>17324</v>
      </c>
      <c r="D9834">
        <v>4.25</v>
      </c>
      <c r="E9834" t="s">
        <v>345</v>
      </c>
      <c r="F9834" t="s">
        <v>17325</v>
      </c>
      <c r="J9834" t="s">
        <v>17326</v>
      </c>
    </row>
    <row r="9835" spans="1:10" x14ac:dyDescent="0.3">
      <c r="A9835" t="s">
        <v>17327</v>
      </c>
      <c r="B9835" t="s">
        <v>17328</v>
      </c>
      <c r="D9835">
        <v>0.75</v>
      </c>
      <c r="E9835" t="s">
        <v>11</v>
      </c>
      <c r="F9835" t="s">
        <v>17329</v>
      </c>
    </row>
    <row r="9836" spans="1:10" x14ac:dyDescent="0.3">
      <c r="A9836" t="s">
        <v>13889</v>
      </c>
      <c r="B9836" t="s">
        <v>543</v>
      </c>
      <c r="D9836">
        <v>10</v>
      </c>
      <c r="E9836" t="s">
        <v>29</v>
      </c>
      <c r="F9836" t="s">
        <v>183</v>
      </c>
    </row>
    <row r="9837" spans="1:10" x14ac:dyDescent="0.3">
      <c r="A9837" t="s">
        <v>17330</v>
      </c>
      <c r="B9837" t="s">
        <v>17331</v>
      </c>
      <c r="D9837">
        <v>1.5</v>
      </c>
      <c r="E9837" t="s">
        <v>23</v>
      </c>
      <c r="F9837" t="s">
        <v>98</v>
      </c>
      <c r="J9837" t="s">
        <v>289</v>
      </c>
    </row>
    <row r="9838" spans="1:10" x14ac:dyDescent="0.3">
      <c r="A9838" t="s">
        <v>17332</v>
      </c>
      <c r="B9838" t="s">
        <v>17333</v>
      </c>
      <c r="D9838">
        <v>2</v>
      </c>
      <c r="F9838" t="s">
        <v>660</v>
      </c>
    </row>
    <row r="9839" spans="1:10" x14ac:dyDescent="0.3">
      <c r="A9839" t="s">
        <v>17334</v>
      </c>
      <c r="B9839" t="s">
        <v>10190</v>
      </c>
      <c r="D9839">
        <v>2</v>
      </c>
      <c r="E9839" t="s">
        <v>189</v>
      </c>
      <c r="F9839" t="s">
        <v>3144</v>
      </c>
    </row>
    <row r="9840" spans="1:10" x14ac:dyDescent="0.3">
      <c r="A9840" t="s">
        <v>7797</v>
      </c>
      <c r="B9840" t="s">
        <v>2279</v>
      </c>
      <c r="D9840">
        <v>0.75</v>
      </c>
      <c r="E9840" t="s">
        <v>11</v>
      </c>
      <c r="F9840" t="s">
        <v>793</v>
      </c>
    </row>
    <row r="9841" spans="1:10" x14ac:dyDescent="0.3">
      <c r="A9841" t="s">
        <v>17335</v>
      </c>
      <c r="B9841" t="s">
        <v>17336</v>
      </c>
      <c r="D9841">
        <v>1.5</v>
      </c>
      <c r="E9841" t="s">
        <v>345</v>
      </c>
      <c r="F9841" t="s">
        <v>17337</v>
      </c>
    </row>
    <row r="9842" spans="1:10" x14ac:dyDescent="0.3">
      <c r="A9842" t="s">
        <v>13710</v>
      </c>
      <c r="B9842" t="s">
        <v>13274</v>
      </c>
      <c r="D9842">
        <v>5</v>
      </c>
      <c r="E9842" t="s">
        <v>23</v>
      </c>
      <c r="F9842" t="s">
        <v>98</v>
      </c>
    </row>
    <row r="9843" spans="1:10" x14ac:dyDescent="0.3">
      <c r="A9843" t="s">
        <v>9233</v>
      </c>
      <c r="B9843" t="s">
        <v>1591</v>
      </c>
      <c r="D9843">
        <v>0.5</v>
      </c>
      <c r="E9843" t="s">
        <v>206</v>
      </c>
      <c r="F9843" t="s">
        <v>1009</v>
      </c>
    </row>
    <row r="9844" spans="1:10" x14ac:dyDescent="0.3">
      <c r="A9844" t="s">
        <v>17338</v>
      </c>
      <c r="B9844" t="s">
        <v>17339</v>
      </c>
      <c r="D9844">
        <v>0.5</v>
      </c>
      <c r="E9844" t="s">
        <v>23</v>
      </c>
      <c r="F9844" t="s">
        <v>9813</v>
      </c>
    </row>
    <row r="9845" spans="1:10" x14ac:dyDescent="0.3">
      <c r="A9845" t="s">
        <v>17340</v>
      </c>
      <c r="B9845" t="s">
        <v>17341</v>
      </c>
      <c r="D9845">
        <v>5</v>
      </c>
      <c r="E9845" t="s">
        <v>227</v>
      </c>
      <c r="F9845" t="s">
        <v>17342</v>
      </c>
    </row>
    <row r="9846" spans="1:10" x14ac:dyDescent="0.3">
      <c r="A9846" t="s">
        <v>17343</v>
      </c>
      <c r="B9846" t="s">
        <v>17344</v>
      </c>
      <c r="D9846">
        <v>50</v>
      </c>
      <c r="E9846" t="s">
        <v>29</v>
      </c>
      <c r="F9846" t="s">
        <v>17345</v>
      </c>
    </row>
    <row r="9847" spans="1:10" x14ac:dyDescent="0.3">
      <c r="A9847" t="s">
        <v>13858</v>
      </c>
      <c r="B9847" t="s">
        <v>17346</v>
      </c>
      <c r="D9847">
        <v>2</v>
      </c>
      <c r="E9847" t="s">
        <v>686</v>
      </c>
      <c r="F9847" t="s">
        <v>17347</v>
      </c>
      <c r="J9847" t="s">
        <v>1214</v>
      </c>
    </row>
    <row r="9848" spans="1:10" x14ac:dyDescent="0.3">
      <c r="A9848" t="s">
        <v>17348</v>
      </c>
      <c r="B9848" t="s">
        <v>5466</v>
      </c>
      <c r="D9848">
        <v>30</v>
      </c>
      <c r="E9848" t="s">
        <v>29</v>
      </c>
      <c r="F9848" t="s">
        <v>3962</v>
      </c>
    </row>
    <row r="9849" spans="1:10" x14ac:dyDescent="0.3">
      <c r="A9849" t="s">
        <v>3423</v>
      </c>
      <c r="B9849" t="s">
        <v>17349</v>
      </c>
      <c r="D9849">
        <v>1.67</v>
      </c>
      <c r="E9849" t="s">
        <v>23</v>
      </c>
      <c r="F9849" t="s">
        <v>365</v>
      </c>
    </row>
    <row r="9850" spans="1:10" x14ac:dyDescent="0.3">
      <c r="A9850" t="s">
        <v>11203</v>
      </c>
      <c r="B9850" t="s">
        <v>986</v>
      </c>
      <c r="D9850">
        <v>0.5</v>
      </c>
      <c r="E9850" t="s">
        <v>23</v>
      </c>
      <c r="F9850" t="s">
        <v>712</v>
      </c>
    </row>
    <row r="9851" spans="1:10" x14ac:dyDescent="0.3">
      <c r="A9851" t="s">
        <v>1255</v>
      </c>
      <c r="B9851" t="s">
        <v>4244</v>
      </c>
      <c r="D9851">
        <v>0.25</v>
      </c>
      <c r="E9851" t="s">
        <v>37</v>
      </c>
      <c r="F9851" t="s">
        <v>81</v>
      </c>
    </row>
    <row r="9852" spans="1:10" x14ac:dyDescent="0.3">
      <c r="A9852" t="s">
        <v>2835</v>
      </c>
      <c r="B9852" t="s">
        <v>17350</v>
      </c>
      <c r="D9852">
        <v>1</v>
      </c>
      <c r="E9852" t="s">
        <v>2191</v>
      </c>
      <c r="F9852" t="s">
        <v>1289</v>
      </c>
    </row>
    <row r="9853" spans="1:10" x14ac:dyDescent="0.3">
      <c r="A9853" t="s">
        <v>17351</v>
      </c>
      <c r="B9853" t="s">
        <v>6392</v>
      </c>
      <c r="D9853">
        <v>2</v>
      </c>
      <c r="E9853" t="s">
        <v>189</v>
      </c>
      <c r="F9853" t="s">
        <v>2214</v>
      </c>
    </row>
    <row r="9854" spans="1:10" x14ac:dyDescent="0.3">
      <c r="A9854" t="s">
        <v>9071</v>
      </c>
      <c r="B9854" t="s">
        <v>17352</v>
      </c>
      <c r="D9854">
        <v>0.5</v>
      </c>
      <c r="E9854" t="s">
        <v>91</v>
      </c>
      <c r="F9854" t="s">
        <v>17353</v>
      </c>
    </row>
    <row r="9855" spans="1:10" x14ac:dyDescent="0.3">
      <c r="A9855" t="s">
        <v>17354</v>
      </c>
      <c r="B9855" t="s">
        <v>17355</v>
      </c>
      <c r="D9855">
        <v>5</v>
      </c>
      <c r="E9855" t="s">
        <v>91</v>
      </c>
      <c r="F9855" t="s">
        <v>482</v>
      </c>
      <c r="J9855" t="s">
        <v>20</v>
      </c>
    </row>
    <row r="9856" spans="1:10" x14ac:dyDescent="0.3">
      <c r="A9856" t="s">
        <v>6429</v>
      </c>
      <c r="B9856" t="s">
        <v>17356</v>
      </c>
      <c r="D9856">
        <v>1</v>
      </c>
      <c r="E9856" t="s">
        <v>2646</v>
      </c>
      <c r="F9856" t="s">
        <v>17357</v>
      </c>
    </row>
    <row r="9857" spans="1:10" x14ac:dyDescent="0.3">
      <c r="A9857" t="s">
        <v>17358</v>
      </c>
      <c r="B9857" t="s">
        <v>10036</v>
      </c>
      <c r="D9857">
        <v>0.5</v>
      </c>
      <c r="E9857" t="s">
        <v>23</v>
      </c>
      <c r="F9857" t="s">
        <v>2368</v>
      </c>
    </row>
    <row r="9858" spans="1:10" x14ac:dyDescent="0.3">
      <c r="A9858" t="s">
        <v>1221</v>
      </c>
      <c r="B9858" t="s">
        <v>526</v>
      </c>
      <c r="D9858">
        <v>10.5</v>
      </c>
      <c r="E9858" t="s">
        <v>91</v>
      </c>
      <c r="F9858" t="s">
        <v>281</v>
      </c>
    </row>
    <row r="9859" spans="1:10" x14ac:dyDescent="0.3">
      <c r="A9859" t="s">
        <v>3614</v>
      </c>
      <c r="B9859" t="s">
        <v>17359</v>
      </c>
      <c r="D9859">
        <v>1</v>
      </c>
      <c r="F9859" t="s">
        <v>5478</v>
      </c>
    </row>
    <row r="9860" spans="1:10" x14ac:dyDescent="0.3">
      <c r="A9860" t="s">
        <v>7487</v>
      </c>
      <c r="B9860" t="s">
        <v>13185</v>
      </c>
      <c r="D9860">
        <v>2</v>
      </c>
      <c r="E9860" t="s">
        <v>91</v>
      </c>
      <c r="F9860" t="s">
        <v>2385</v>
      </c>
    </row>
    <row r="9861" spans="1:10" x14ac:dyDescent="0.3">
      <c r="A9861" t="s">
        <v>17360</v>
      </c>
      <c r="B9861" t="s">
        <v>4427</v>
      </c>
      <c r="D9861">
        <v>1</v>
      </c>
      <c r="E9861" t="s">
        <v>151</v>
      </c>
      <c r="F9861" t="s">
        <v>518</v>
      </c>
      <c r="J9861" t="s">
        <v>248</v>
      </c>
    </row>
    <row r="9862" spans="1:10" x14ac:dyDescent="0.3">
      <c r="A9862" t="s">
        <v>17361</v>
      </c>
      <c r="B9862" t="s">
        <v>17362</v>
      </c>
      <c r="F9862" t="s">
        <v>105</v>
      </c>
      <c r="J9862" t="s">
        <v>17363</v>
      </c>
    </row>
    <row r="9863" spans="1:10" x14ac:dyDescent="0.3">
      <c r="A9863" t="s">
        <v>14602</v>
      </c>
      <c r="B9863" t="s">
        <v>17364</v>
      </c>
      <c r="D9863">
        <v>0.25</v>
      </c>
      <c r="E9863" t="s">
        <v>284</v>
      </c>
      <c r="F9863" t="s">
        <v>14052</v>
      </c>
      <c r="G9863" t="s">
        <v>9598</v>
      </c>
    </row>
    <row r="9864" spans="1:10" x14ac:dyDescent="0.3">
      <c r="A9864" t="s">
        <v>17365</v>
      </c>
      <c r="B9864" t="s">
        <v>17366</v>
      </c>
      <c r="D9864">
        <v>12.5</v>
      </c>
      <c r="E9864" t="s">
        <v>29</v>
      </c>
      <c r="F9864" t="s">
        <v>1328</v>
      </c>
    </row>
    <row r="9865" spans="1:10" x14ac:dyDescent="0.3">
      <c r="A9865" t="s">
        <v>12054</v>
      </c>
      <c r="B9865" t="s">
        <v>16421</v>
      </c>
      <c r="D9865">
        <v>0.5</v>
      </c>
      <c r="E9865" t="s">
        <v>23</v>
      </c>
      <c r="F9865" t="s">
        <v>7327</v>
      </c>
    </row>
    <row r="9866" spans="1:10" x14ac:dyDescent="0.3">
      <c r="A9866" t="s">
        <v>17367</v>
      </c>
      <c r="B9866" t="s">
        <v>333</v>
      </c>
      <c r="F9866" t="s">
        <v>333</v>
      </c>
    </row>
    <row r="9867" spans="1:10" x14ac:dyDescent="0.3">
      <c r="A9867" t="s">
        <v>17368</v>
      </c>
      <c r="B9867" t="s">
        <v>17369</v>
      </c>
      <c r="D9867">
        <v>2</v>
      </c>
      <c r="E9867" t="s">
        <v>1338</v>
      </c>
      <c r="F9867" t="s">
        <v>1739</v>
      </c>
    </row>
    <row r="9868" spans="1:10" x14ac:dyDescent="0.3">
      <c r="A9868" t="s">
        <v>3477</v>
      </c>
      <c r="B9868" t="s">
        <v>17370</v>
      </c>
      <c r="D9868">
        <v>3</v>
      </c>
      <c r="F9868" t="s">
        <v>17371</v>
      </c>
      <c r="J9868" t="s">
        <v>17372</v>
      </c>
    </row>
    <row r="9869" spans="1:10" x14ac:dyDescent="0.3">
      <c r="A9869" t="s">
        <v>7693</v>
      </c>
      <c r="B9869" t="s">
        <v>17373</v>
      </c>
      <c r="D9869">
        <v>0.75</v>
      </c>
      <c r="E9869" t="s">
        <v>361</v>
      </c>
      <c r="F9869" t="s">
        <v>17374</v>
      </c>
    </row>
    <row r="9870" spans="1:10" x14ac:dyDescent="0.3">
      <c r="A9870" t="s">
        <v>12376</v>
      </c>
      <c r="B9870" t="s">
        <v>17375</v>
      </c>
      <c r="D9870">
        <v>0.5</v>
      </c>
      <c r="E9870" t="s">
        <v>23</v>
      </c>
      <c r="F9870" t="s">
        <v>9991</v>
      </c>
    </row>
    <row r="9871" spans="1:10" x14ac:dyDescent="0.3">
      <c r="A9871" t="s">
        <v>17376</v>
      </c>
      <c r="B9871" t="s">
        <v>7150</v>
      </c>
      <c r="D9871">
        <v>1</v>
      </c>
      <c r="E9871" t="s">
        <v>23</v>
      </c>
      <c r="F9871" t="s">
        <v>5448</v>
      </c>
    </row>
    <row r="9872" spans="1:10" x14ac:dyDescent="0.3">
      <c r="A9872" t="s">
        <v>12628</v>
      </c>
      <c r="B9872" t="s">
        <v>17377</v>
      </c>
      <c r="D9872">
        <v>1</v>
      </c>
      <c r="E9872" t="s">
        <v>18</v>
      </c>
      <c r="F9872" t="s">
        <v>17378</v>
      </c>
    </row>
    <row r="9873" spans="1:10" x14ac:dyDescent="0.3">
      <c r="A9873" t="s">
        <v>17379</v>
      </c>
      <c r="B9873" t="s">
        <v>17380</v>
      </c>
      <c r="D9873" t="s">
        <v>1650</v>
      </c>
      <c r="E9873" t="s">
        <v>23</v>
      </c>
      <c r="F9873" t="s">
        <v>17381</v>
      </c>
    </row>
    <row r="9874" spans="1:10" x14ac:dyDescent="0.3">
      <c r="A9874" t="s">
        <v>17382</v>
      </c>
      <c r="B9874" t="s">
        <v>17383</v>
      </c>
      <c r="D9874">
        <v>1.5</v>
      </c>
      <c r="E9874" t="s">
        <v>23</v>
      </c>
      <c r="F9874" t="s">
        <v>5052</v>
      </c>
    </row>
    <row r="9875" spans="1:10" x14ac:dyDescent="0.3">
      <c r="A9875" t="s">
        <v>10871</v>
      </c>
      <c r="B9875" t="s">
        <v>17384</v>
      </c>
      <c r="D9875">
        <v>1</v>
      </c>
      <c r="E9875" t="s">
        <v>426</v>
      </c>
      <c r="F9875" t="s">
        <v>10652</v>
      </c>
    </row>
    <row r="9876" spans="1:10" x14ac:dyDescent="0.3">
      <c r="A9876" t="s">
        <v>17385</v>
      </c>
      <c r="B9876" t="s">
        <v>5437</v>
      </c>
      <c r="F9876" t="s">
        <v>262</v>
      </c>
      <c r="J9876" t="s">
        <v>65</v>
      </c>
    </row>
    <row r="9877" spans="1:10" x14ac:dyDescent="0.3">
      <c r="A9877" t="s">
        <v>6507</v>
      </c>
      <c r="B9877" t="s">
        <v>17386</v>
      </c>
      <c r="D9877">
        <v>2</v>
      </c>
      <c r="E9877" t="s">
        <v>1338</v>
      </c>
      <c r="F9877" t="s">
        <v>2214</v>
      </c>
    </row>
    <row r="9878" spans="1:10" x14ac:dyDescent="0.3">
      <c r="A9878" t="s">
        <v>6454</v>
      </c>
      <c r="B9878" t="s">
        <v>17387</v>
      </c>
      <c r="D9878">
        <v>4</v>
      </c>
      <c r="E9878" t="s">
        <v>176</v>
      </c>
      <c r="F9878" t="s">
        <v>1812</v>
      </c>
      <c r="G9878" t="s">
        <v>1813</v>
      </c>
    </row>
    <row r="9879" spans="1:10" x14ac:dyDescent="0.3">
      <c r="A9879" t="s">
        <v>7077</v>
      </c>
      <c r="B9879" t="s">
        <v>17388</v>
      </c>
      <c r="D9879">
        <v>0.5</v>
      </c>
      <c r="E9879" t="s">
        <v>11</v>
      </c>
      <c r="F9879" t="s">
        <v>17389</v>
      </c>
      <c r="J9879" t="s">
        <v>20</v>
      </c>
    </row>
    <row r="9880" spans="1:10" x14ac:dyDescent="0.3">
      <c r="A9880" t="s">
        <v>11848</v>
      </c>
      <c r="B9880" t="s">
        <v>7163</v>
      </c>
      <c r="D9880">
        <v>2</v>
      </c>
      <c r="E9880" t="s">
        <v>23</v>
      </c>
      <c r="F9880" t="s">
        <v>281</v>
      </c>
      <c r="J9880" t="s">
        <v>289</v>
      </c>
    </row>
    <row r="9881" spans="1:10" x14ac:dyDescent="0.3">
      <c r="A9881" t="s">
        <v>15837</v>
      </c>
      <c r="B9881" t="s">
        <v>17390</v>
      </c>
      <c r="D9881">
        <v>0.5</v>
      </c>
      <c r="E9881" t="s">
        <v>23</v>
      </c>
      <c r="F9881" t="s">
        <v>17391</v>
      </c>
    </row>
    <row r="9882" spans="1:10" x14ac:dyDescent="0.3">
      <c r="A9882" t="s">
        <v>17392</v>
      </c>
      <c r="B9882" t="s">
        <v>2988</v>
      </c>
      <c r="D9882">
        <v>0.75</v>
      </c>
      <c r="E9882" t="s">
        <v>37</v>
      </c>
      <c r="F9882" t="s">
        <v>81</v>
      </c>
    </row>
    <row r="9883" spans="1:10" x14ac:dyDescent="0.3">
      <c r="A9883" t="s">
        <v>12444</v>
      </c>
      <c r="B9883" t="s">
        <v>16220</v>
      </c>
      <c r="D9883">
        <v>1</v>
      </c>
      <c r="E9883" t="s">
        <v>11</v>
      </c>
      <c r="F9883" t="s">
        <v>2972</v>
      </c>
    </row>
    <row r="9884" spans="1:10" x14ac:dyDescent="0.3">
      <c r="A9884" t="s">
        <v>17393</v>
      </c>
      <c r="B9884" t="s">
        <v>15960</v>
      </c>
      <c r="D9884">
        <v>1</v>
      </c>
      <c r="E9884" t="s">
        <v>23</v>
      </c>
      <c r="F9884" t="s">
        <v>5973</v>
      </c>
    </row>
    <row r="9885" spans="1:10" x14ac:dyDescent="0.3">
      <c r="A9885" t="s">
        <v>17394</v>
      </c>
      <c r="B9885" t="s">
        <v>17292</v>
      </c>
      <c r="D9885">
        <v>2.5</v>
      </c>
      <c r="E9885" t="s">
        <v>23</v>
      </c>
      <c r="F9885" t="s">
        <v>278</v>
      </c>
    </row>
    <row r="9886" spans="1:10" x14ac:dyDescent="0.3">
      <c r="A9886" t="s">
        <v>5154</v>
      </c>
      <c r="B9886" t="s">
        <v>11289</v>
      </c>
      <c r="D9886">
        <v>1</v>
      </c>
      <c r="F9886" t="s">
        <v>2413</v>
      </c>
      <c r="J9886" t="s">
        <v>248</v>
      </c>
    </row>
    <row r="9887" spans="1:10" x14ac:dyDescent="0.3">
      <c r="A9887" t="s">
        <v>1533</v>
      </c>
      <c r="B9887" t="s">
        <v>6923</v>
      </c>
      <c r="D9887">
        <v>2</v>
      </c>
      <c r="E9887" t="s">
        <v>91</v>
      </c>
      <c r="F9887" t="s">
        <v>2446</v>
      </c>
    </row>
    <row r="9888" spans="1:10" x14ac:dyDescent="0.3">
      <c r="A9888" t="s">
        <v>10341</v>
      </c>
      <c r="B9888" t="s">
        <v>2225</v>
      </c>
      <c r="D9888">
        <v>1</v>
      </c>
      <c r="E9888" t="s">
        <v>23</v>
      </c>
      <c r="F9888" t="s">
        <v>183</v>
      </c>
    </row>
    <row r="9889" spans="1:10" x14ac:dyDescent="0.3">
      <c r="A9889" t="s">
        <v>4879</v>
      </c>
      <c r="B9889" t="s">
        <v>17395</v>
      </c>
      <c r="D9889">
        <v>0.75</v>
      </c>
      <c r="E9889" t="s">
        <v>284</v>
      </c>
      <c r="F9889" t="s">
        <v>17396</v>
      </c>
    </row>
    <row r="9890" spans="1:10" x14ac:dyDescent="0.3">
      <c r="A9890" t="s">
        <v>17397</v>
      </c>
      <c r="B9890" t="s">
        <v>1243</v>
      </c>
      <c r="D9890">
        <v>0.75</v>
      </c>
      <c r="E9890" t="s">
        <v>23</v>
      </c>
      <c r="F9890" t="s">
        <v>30</v>
      </c>
    </row>
    <row r="9891" spans="1:10" x14ac:dyDescent="0.3">
      <c r="A9891" t="s">
        <v>14115</v>
      </c>
      <c r="B9891" t="s">
        <v>17398</v>
      </c>
      <c r="D9891">
        <v>0.25</v>
      </c>
      <c r="E9891" t="s">
        <v>23</v>
      </c>
      <c r="F9891" t="s">
        <v>30</v>
      </c>
    </row>
    <row r="9892" spans="1:10" x14ac:dyDescent="0.3">
      <c r="A9892" t="s">
        <v>17399</v>
      </c>
      <c r="B9892" t="s">
        <v>4204</v>
      </c>
      <c r="D9892">
        <v>1</v>
      </c>
      <c r="E9892" t="s">
        <v>11</v>
      </c>
      <c r="F9892" t="s">
        <v>281</v>
      </c>
    </row>
    <row r="9893" spans="1:10" x14ac:dyDescent="0.3">
      <c r="A9893" t="s">
        <v>7132</v>
      </c>
      <c r="B9893" t="s">
        <v>17400</v>
      </c>
      <c r="D9893">
        <v>0.5</v>
      </c>
      <c r="E9893" t="s">
        <v>206</v>
      </c>
      <c r="F9893" t="s">
        <v>4705</v>
      </c>
      <c r="J9893" t="s">
        <v>17401</v>
      </c>
    </row>
    <row r="9894" spans="1:10" x14ac:dyDescent="0.3">
      <c r="A9894" t="s">
        <v>17402</v>
      </c>
      <c r="B9894" t="s">
        <v>333</v>
      </c>
      <c r="F9894" t="s">
        <v>333</v>
      </c>
    </row>
    <row r="9895" spans="1:10" x14ac:dyDescent="0.3">
      <c r="A9895" t="s">
        <v>17403</v>
      </c>
      <c r="B9895" t="s">
        <v>3780</v>
      </c>
      <c r="D9895">
        <v>0.5</v>
      </c>
      <c r="F9895" t="s">
        <v>10309</v>
      </c>
      <c r="J9895" t="s">
        <v>289</v>
      </c>
    </row>
    <row r="9896" spans="1:10" x14ac:dyDescent="0.3">
      <c r="A9896" t="s">
        <v>14857</v>
      </c>
      <c r="B9896" t="s">
        <v>17404</v>
      </c>
      <c r="F9896" t="s">
        <v>413</v>
      </c>
      <c r="J9896" t="s">
        <v>17405</v>
      </c>
    </row>
    <row r="9897" spans="1:10" x14ac:dyDescent="0.3">
      <c r="A9897" t="s">
        <v>14715</v>
      </c>
      <c r="B9897" t="s">
        <v>7104</v>
      </c>
      <c r="D9897">
        <v>2</v>
      </c>
      <c r="E9897" t="s">
        <v>904</v>
      </c>
      <c r="F9897" t="s">
        <v>281</v>
      </c>
    </row>
    <row r="9898" spans="1:10" x14ac:dyDescent="0.3">
      <c r="A9898" t="s">
        <v>17406</v>
      </c>
      <c r="B9898" t="s">
        <v>17407</v>
      </c>
      <c r="D9898">
        <v>0.25</v>
      </c>
      <c r="E9898" t="s">
        <v>37</v>
      </c>
      <c r="F9898" t="s">
        <v>3823</v>
      </c>
    </row>
    <row r="9899" spans="1:10" x14ac:dyDescent="0.3">
      <c r="A9899" t="s">
        <v>17408</v>
      </c>
      <c r="B9899" t="s">
        <v>5192</v>
      </c>
      <c r="D9899">
        <v>2</v>
      </c>
      <c r="E9899" t="s">
        <v>23</v>
      </c>
      <c r="F9899" t="s">
        <v>233</v>
      </c>
    </row>
    <row r="9900" spans="1:10" x14ac:dyDescent="0.3">
      <c r="A9900" t="s">
        <v>17409</v>
      </c>
      <c r="B9900" t="s">
        <v>15666</v>
      </c>
      <c r="D9900">
        <v>1</v>
      </c>
      <c r="E9900" t="s">
        <v>11</v>
      </c>
      <c r="F9900" t="s">
        <v>15667</v>
      </c>
    </row>
    <row r="9901" spans="1:10" x14ac:dyDescent="0.3">
      <c r="A9901" t="s">
        <v>15647</v>
      </c>
      <c r="B9901" t="s">
        <v>17410</v>
      </c>
      <c r="D9901">
        <v>1</v>
      </c>
      <c r="E9901" t="s">
        <v>11996</v>
      </c>
      <c r="F9901" t="s">
        <v>17411</v>
      </c>
    </row>
    <row r="9902" spans="1:10" x14ac:dyDescent="0.3">
      <c r="A9902" t="s">
        <v>17412</v>
      </c>
      <c r="B9902" t="s">
        <v>486</v>
      </c>
      <c r="D9902">
        <v>1</v>
      </c>
      <c r="E9902" t="s">
        <v>23</v>
      </c>
      <c r="F9902" t="s">
        <v>487</v>
      </c>
    </row>
    <row r="9903" spans="1:10" x14ac:dyDescent="0.3">
      <c r="A9903" t="s">
        <v>17413</v>
      </c>
      <c r="B9903" t="s">
        <v>5984</v>
      </c>
      <c r="D9903">
        <v>2</v>
      </c>
      <c r="E9903" t="s">
        <v>23</v>
      </c>
      <c r="F9903" t="s">
        <v>1003</v>
      </c>
    </row>
    <row r="9904" spans="1:10" x14ac:dyDescent="0.3">
      <c r="A9904" t="s">
        <v>17009</v>
      </c>
      <c r="B9904" t="s">
        <v>17414</v>
      </c>
      <c r="D9904">
        <v>20</v>
      </c>
      <c r="E9904" t="s">
        <v>29</v>
      </c>
      <c r="F9904" t="s">
        <v>1043</v>
      </c>
    </row>
    <row r="9905" spans="1:10" x14ac:dyDescent="0.3">
      <c r="A9905" t="s">
        <v>11697</v>
      </c>
      <c r="B9905" t="s">
        <v>17415</v>
      </c>
      <c r="D9905">
        <v>3</v>
      </c>
      <c r="E9905" t="s">
        <v>91</v>
      </c>
      <c r="F9905" t="s">
        <v>30</v>
      </c>
    </row>
    <row r="9906" spans="1:10" x14ac:dyDescent="0.3">
      <c r="A9906" t="s">
        <v>2650</v>
      </c>
      <c r="B9906" t="s">
        <v>17416</v>
      </c>
      <c r="D9906">
        <v>1.5</v>
      </c>
      <c r="E9906" t="s">
        <v>23</v>
      </c>
      <c r="F9906" t="s">
        <v>738</v>
      </c>
      <c r="J9906" t="s">
        <v>289</v>
      </c>
    </row>
    <row r="9907" spans="1:10" x14ac:dyDescent="0.3">
      <c r="A9907" t="s">
        <v>11358</v>
      </c>
      <c r="B9907" t="s">
        <v>17417</v>
      </c>
      <c r="D9907">
        <v>2</v>
      </c>
      <c r="F9907" t="s">
        <v>8869</v>
      </c>
    </row>
    <row r="9908" spans="1:10" x14ac:dyDescent="0.3">
      <c r="A9908" t="s">
        <v>17418</v>
      </c>
      <c r="B9908" t="s">
        <v>5634</v>
      </c>
      <c r="D9908">
        <v>2</v>
      </c>
      <c r="E9908" t="s">
        <v>23</v>
      </c>
      <c r="F9908" t="s">
        <v>102</v>
      </c>
    </row>
    <row r="9909" spans="1:10" x14ac:dyDescent="0.3">
      <c r="A9909" t="s">
        <v>17419</v>
      </c>
      <c r="B9909" t="s">
        <v>17420</v>
      </c>
      <c r="D9909">
        <v>60</v>
      </c>
      <c r="E9909" t="s">
        <v>29</v>
      </c>
      <c r="F9909" t="s">
        <v>4636</v>
      </c>
    </row>
    <row r="9910" spans="1:10" x14ac:dyDescent="0.3">
      <c r="A9910" t="s">
        <v>17421</v>
      </c>
      <c r="B9910" t="s">
        <v>17422</v>
      </c>
      <c r="D9910">
        <v>1</v>
      </c>
      <c r="E9910" t="s">
        <v>206</v>
      </c>
      <c r="F9910" t="s">
        <v>17423</v>
      </c>
    </row>
    <row r="9911" spans="1:10" x14ac:dyDescent="0.3">
      <c r="A9911" t="s">
        <v>17418</v>
      </c>
      <c r="B9911" t="s">
        <v>5207</v>
      </c>
      <c r="D9911">
        <v>2</v>
      </c>
      <c r="E9911" t="s">
        <v>23</v>
      </c>
      <c r="F9911" t="s">
        <v>1506</v>
      </c>
    </row>
    <row r="9912" spans="1:10" x14ac:dyDescent="0.3">
      <c r="A9912" t="s">
        <v>2891</v>
      </c>
      <c r="B9912" t="s">
        <v>17424</v>
      </c>
      <c r="D9912">
        <v>0.5</v>
      </c>
      <c r="E9912" t="s">
        <v>23</v>
      </c>
      <c r="F9912" t="s">
        <v>17425</v>
      </c>
    </row>
    <row r="9913" spans="1:10" x14ac:dyDescent="0.3">
      <c r="A9913" t="s">
        <v>3418</v>
      </c>
      <c r="B9913" t="s">
        <v>4264</v>
      </c>
      <c r="D9913">
        <v>50</v>
      </c>
      <c r="E9913" t="s">
        <v>29</v>
      </c>
      <c r="F9913" t="s">
        <v>281</v>
      </c>
    </row>
    <row r="9914" spans="1:10" x14ac:dyDescent="0.3">
      <c r="A9914" t="s">
        <v>17426</v>
      </c>
      <c r="B9914" t="s">
        <v>17427</v>
      </c>
      <c r="D9914">
        <v>200</v>
      </c>
      <c r="E9914" t="s">
        <v>17428</v>
      </c>
      <c r="F9914" t="s">
        <v>17429</v>
      </c>
    </row>
    <row r="9915" spans="1:10" x14ac:dyDescent="0.3">
      <c r="A9915" t="s">
        <v>17430</v>
      </c>
      <c r="B9915" t="s">
        <v>17431</v>
      </c>
      <c r="D9915">
        <v>1</v>
      </c>
      <c r="E9915" t="s">
        <v>1785</v>
      </c>
      <c r="F9915" t="s">
        <v>1506</v>
      </c>
    </row>
    <row r="9916" spans="1:10" x14ac:dyDescent="0.3">
      <c r="A9916" t="s">
        <v>17432</v>
      </c>
      <c r="B9916" t="s">
        <v>17433</v>
      </c>
      <c r="D9916">
        <v>3</v>
      </c>
      <c r="E9916" t="s">
        <v>23</v>
      </c>
      <c r="F9916" t="s">
        <v>3879</v>
      </c>
    </row>
    <row r="9917" spans="1:10" x14ac:dyDescent="0.3">
      <c r="A9917" t="s">
        <v>17434</v>
      </c>
      <c r="B9917" t="s">
        <v>16266</v>
      </c>
      <c r="D9917">
        <v>3</v>
      </c>
      <c r="E9917" t="s">
        <v>23</v>
      </c>
      <c r="F9917" t="s">
        <v>262</v>
      </c>
    </row>
    <row r="9918" spans="1:10" x14ac:dyDescent="0.3">
      <c r="A9918" t="s">
        <v>9468</v>
      </c>
      <c r="B9918" t="s">
        <v>17435</v>
      </c>
      <c r="D9918">
        <v>0.5</v>
      </c>
      <c r="E9918" t="s">
        <v>23</v>
      </c>
      <c r="F9918" t="s">
        <v>105</v>
      </c>
    </row>
    <row r="9919" spans="1:10" x14ac:dyDescent="0.3">
      <c r="A9919" t="s">
        <v>17436</v>
      </c>
      <c r="B9919" t="s">
        <v>17437</v>
      </c>
      <c r="D9919">
        <v>9</v>
      </c>
      <c r="E9919" t="s">
        <v>71</v>
      </c>
      <c r="F9919" t="s">
        <v>1116</v>
      </c>
      <c r="J9919" t="e">
        <f>- I used Pellegrino</f>
        <v>#NAME?</v>
      </c>
    </row>
    <row r="9920" spans="1:10" x14ac:dyDescent="0.3">
      <c r="A9920" t="s">
        <v>17438</v>
      </c>
      <c r="B9920" t="s">
        <v>17439</v>
      </c>
      <c r="D9920">
        <v>1</v>
      </c>
      <c r="E9920" t="s">
        <v>23</v>
      </c>
      <c r="F9920" t="s">
        <v>494</v>
      </c>
    </row>
    <row r="9921" spans="1:10" x14ac:dyDescent="0.3">
      <c r="A9921" t="s">
        <v>17440</v>
      </c>
      <c r="B9921" t="s">
        <v>17441</v>
      </c>
      <c r="D9921">
        <v>15</v>
      </c>
      <c r="E9921" t="s">
        <v>29</v>
      </c>
      <c r="F9921" t="s">
        <v>12096</v>
      </c>
    </row>
    <row r="9922" spans="1:10" x14ac:dyDescent="0.3">
      <c r="A9922" t="s">
        <v>17442</v>
      </c>
      <c r="B9922" t="s">
        <v>17443</v>
      </c>
      <c r="D9922">
        <v>1</v>
      </c>
      <c r="E9922" t="s">
        <v>368</v>
      </c>
      <c r="F9922" t="s">
        <v>17444</v>
      </c>
    </row>
    <row r="9923" spans="1:10" x14ac:dyDescent="0.3">
      <c r="A9923" t="s">
        <v>3334</v>
      </c>
      <c r="B9923" t="s">
        <v>17445</v>
      </c>
      <c r="D9923">
        <v>1</v>
      </c>
      <c r="E9923" t="s">
        <v>284</v>
      </c>
      <c r="F9923" t="s">
        <v>2178</v>
      </c>
      <c r="J9923" t="s">
        <v>3746</v>
      </c>
    </row>
    <row r="9924" spans="1:10" x14ac:dyDescent="0.3">
      <c r="A9924" t="s">
        <v>739</v>
      </c>
      <c r="B9924" t="s">
        <v>17446</v>
      </c>
      <c r="D9924">
        <v>6</v>
      </c>
      <c r="E9924" t="s">
        <v>189</v>
      </c>
      <c r="F9924" t="s">
        <v>190</v>
      </c>
    </row>
    <row r="9925" spans="1:10" x14ac:dyDescent="0.3">
      <c r="A9925" t="s">
        <v>17447</v>
      </c>
      <c r="B9925" t="s">
        <v>17448</v>
      </c>
      <c r="D9925">
        <v>5</v>
      </c>
      <c r="E9925" t="s">
        <v>23</v>
      </c>
      <c r="F9925" t="s">
        <v>3366</v>
      </c>
    </row>
    <row r="9926" spans="1:10" x14ac:dyDescent="0.3">
      <c r="A9926" t="s">
        <v>17449</v>
      </c>
      <c r="B9926" t="s">
        <v>12355</v>
      </c>
      <c r="D9926">
        <v>0.5</v>
      </c>
      <c r="E9926" t="s">
        <v>23</v>
      </c>
      <c r="F9926" t="s">
        <v>4506</v>
      </c>
    </row>
    <row r="9927" spans="1:10" x14ac:dyDescent="0.3">
      <c r="A9927" t="s">
        <v>14388</v>
      </c>
      <c r="B9927" t="s">
        <v>17450</v>
      </c>
      <c r="D9927">
        <v>20</v>
      </c>
      <c r="E9927" t="s">
        <v>4211</v>
      </c>
      <c r="F9927" t="s">
        <v>6948</v>
      </c>
    </row>
    <row r="9928" spans="1:10" x14ac:dyDescent="0.3">
      <c r="A9928" t="s">
        <v>12505</v>
      </c>
      <c r="B9928" t="s">
        <v>17451</v>
      </c>
      <c r="D9928">
        <v>1.5</v>
      </c>
      <c r="E9928" t="s">
        <v>23</v>
      </c>
      <c r="F9928" t="s">
        <v>12623</v>
      </c>
      <c r="J9928" t="s">
        <v>289</v>
      </c>
    </row>
    <row r="9929" spans="1:10" x14ac:dyDescent="0.3">
      <c r="A9929" t="s">
        <v>4715</v>
      </c>
      <c r="B9929" t="s">
        <v>11517</v>
      </c>
      <c r="D9929">
        <v>1</v>
      </c>
      <c r="E9929" t="s">
        <v>8344</v>
      </c>
      <c r="F9929" t="s">
        <v>8211</v>
      </c>
      <c r="J9929" t="s">
        <v>248</v>
      </c>
    </row>
    <row r="9930" spans="1:10" x14ac:dyDescent="0.3">
      <c r="A9930" t="s">
        <v>17452</v>
      </c>
      <c r="B9930" t="s">
        <v>17453</v>
      </c>
      <c r="D9930">
        <v>0.75</v>
      </c>
      <c r="E9930" t="s">
        <v>23</v>
      </c>
      <c r="F9930" t="s">
        <v>17454</v>
      </c>
    </row>
    <row r="9931" spans="1:10" x14ac:dyDescent="0.3">
      <c r="A9931" t="s">
        <v>2530</v>
      </c>
      <c r="B9931" t="s">
        <v>17455</v>
      </c>
      <c r="D9931">
        <v>0.75</v>
      </c>
      <c r="E9931" t="s">
        <v>71</v>
      </c>
      <c r="F9931" t="s">
        <v>17456</v>
      </c>
      <c r="J9931" t="e">
        <f>- I used Bitter Truth</f>
        <v>#NAME?</v>
      </c>
    </row>
    <row r="9932" spans="1:10" x14ac:dyDescent="0.3">
      <c r="A9932" t="s">
        <v>10070</v>
      </c>
      <c r="B9932" t="s">
        <v>17457</v>
      </c>
      <c r="D9932">
        <v>4</v>
      </c>
      <c r="F9932" t="s">
        <v>591</v>
      </c>
    </row>
    <row r="9933" spans="1:10" x14ac:dyDescent="0.3">
      <c r="A9933" t="s">
        <v>17458</v>
      </c>
      <c r="B9933" t="s">
        <v>486</v>
      </c>
      <c r="D9933">
        <v>1</v>
      </c>
      <c r="E9933" t="s">
        <v>23</v>
      </c>
      <c r="F9933" t="s">
        <v>487</v>
      </c>
    </row>
    <row r="9934" spans="1:10" x14ac:dyDescent="0.3">
      <c r="A9934" t="s">
        <v>8619</v>
      </c>
      <c r="B9934" t="s">
        <v>572</v>
      </c>
      <c r="F9934" t="s">
        <v>572</v>
      </c>
    </row>
    <row r="9935" spans="1:10" x14ac:dyDescent="0.3">
      <c r="A9935" t="s">
        <v>17459</v>
      </c>
      <c r="B9935" t="s">
        <v>17460</v>
      </c>
      <c r="F9935" t="s">
        <v>64</v>
      </c>
      <c r="J9935" t="s">
        <v>11974</v>
      </c>
    </row>
    <row r="9936" spans="1:10" x14ac:dyDescent="0.3">
      <c r="A9936" t="s">
        <v>17461</v>
      </c>
      <c r="B9936" t="s">
        <v>4224</v>
      </c>
      <c r="D9936">
        <v>1</v>
      </c>
      <c r="E9936" t="s">
        <v>23</v>
      </c>
      <c r="F9936" t="s">
        <v>716</v>
      </c>
    </row>
    <row r="9937" spans="1:10" x14ac:dyDescent="0.3">
      <c r="A9937" t="s">
        <v>17462</v>
      </c>
      <c r="B9937" t="s">
        <v>1187</v>
      </c>
      <c r="D9937">
        <v>1</v>
      </c>
      <c r="E9937" t="s">
        <v>23</v>
      </c>
      <c r="F9937" t="s">
        <v>1188</v>
      </c>
    </row>
    <row r="9938" spans="1:10" x14ac:dyDescent="0.3">
      <c r="A9938" t="s">
        <v>17463</v>
      </c>
      <c r="B9938" t="s">
        <v>17464</v>
      </c>
      <c r="D9938">
        <v>4</v>
      </c>
      <c r="E9938" t="s">
        <v>23</v>
      </c>
      <c r="F9938" t="s">
        <v>17465</v>
      </c>
    </row>
    <row r="9939" spans="1:10" x14ac:dyDescent="0.3">
      <c r="A9939" t="s">
        <v>14271</v>
      </c>
      <c r="B9939" t="s">
        <v>2524</v>
      </c>
      <c r="D9939">
        <v>1</v>
      </c>
      <c r="E9939" t="s">
        <v>23</v>
      </c>
      <c r="F9939" t="s">
        <v>265</v>
      </c>
    </row>
    <row r="9940" spans="1:10" x14ac:dyDescent="0.3">
      <c r="A9940" t="s">
        <v>17466</v>
      </c>
      <c r="B9940" t="s">
        <v>17467</v>
      </c>
      <c r="D9940">
        <v>4</v>
      </c>
      <c r="E9940" t="s">
        <v>189</v>
      </c>
      <c r="F9940" t="s">
        <v>17468</v>
      </c>
      <c r="J9940" t="s">
        <v>893</v>
      </c>
    </row>
    <row r="9941" spans="1:10" x14ac:dyDescent="0.3">
      <c r="A9941" t="s">
        <v>1137</v>
      </c>
      <c r="B9941" t="s">
        <v>17469</v>
      </c>
      <c r="D9941">
        <v>0.5</v>
      </c>
      <c r="F9941" t="s">
        <v>262</v>
      </c>
      <c r="J9941" t="s">
        <v>65</v>
      </c>
    </row>
    <row r="9942" spans="1:10" x14ac:dyDescent="0.3">
      <c r="A9942" t="s">
        <v>5363</v>
      </c>
      <c r="B9942" t="s">
        <v>17470</v>
      </c>
      <c r="D9942">
        <v>2</v>
      </c>
      <c r="E9942" t="s">
        <v>23</v>
      </c>
      <c r="F9942" t="s">
        <v>17471</v>
      </c>
    </row>
    <row r="9943" spans="1:10" x14ac:dyDescent="0.3">
      <c r="A9943" t="s">
        <v>17472</v>
      </c>
      <c r="B9943" t="s">
        <v>17473</v>
      </c>
      <c r="D9943">
        <v>30</v>
      </c>
      <c r="E9943" t="s">
        <v>29</v>
      </c>
      <c r="F9943" t="s">
        <v>3981</v>
      </c>
    </row>
    <row r="9944" spans="1:10" x14ac:dyDescent="0.3">
      <c r="A9944" t="s">
        <v>7843</v>
      </c>
      <c r="B9944" t="s">
        <v>14625</v>
      </c>
      <c r="D9944">
        <v>1</v>
      </c>
      <c r="E9944" t="s">
        <v>37</v>
      </c>
      <c r="F9944" t="s">
        <v>529</v>
      </c>
    </row>
    <row r="9945" spans="1:10" x14ac:dyDescent="0.3">
      <c r="A9945" t="s">
        <v>7956</v>
      </c>
      <c r="B9945" t="s">
        <v>11813</v>
      </c>
      <c r="D9945">
        <v>2</v>
      </c>
      <c r="E9945" t="s">
        <v>189</v>
      </c>
      <c r="F9945" t="s">
        <v>3353</v>
      </c>
    </row>
    <row r="9946" spans="1:10" x14ac:dyDescent="0.3">
      <c r="A9946" t="s">
        <v>17474</v>
      </c>
      <c r="B9946" t="s">
        <v>17475</v>
      </c>
      <c r="D9946">
        <v>1</v>
      </c>
      <c r="E9946" t="s">
        <v>23</v>
      </c>
      <c r="F9946" t="s">
        <v>5344</v>
      </c>
    </row>
    <row r="9947" spans="1:10" x14ac:dyDescent="0.3">
      <c r="A9947" t="s">
        <v>13423</v>
      </c>
      <c r="B9947" t="s">
        <v>17476</v>
      </c>
      <c r="D9947">
        <v>10</v>
      </c>
      <c r="E9947" t="s">
        <v>29</v>
      </c>
      <c r="F9947" t="s">
        <v>17477</v>
      </c>
    </row>
    <row r="9948" spans="1:10" x14ac:dyDescent="0.3">
      <c r="A9948" t="s">
        <v>13207</v>
      </c>
      <c r="B9948" t="s">
        <v>17478</v>
      </c>
      <c r="D9948">
        <v>3</v>
      </c>
      <c r="F9948" t="s">
        <v>152</v>
      </c>
    </row>
    <row r="9949" spans="1:10" x14ac:dyDescent="0.3">
      <c r="A9949" t="s">
        <v>1623</v>
      </c>
      <c r="B9949" t="s">
        <v>17479</v>
      </c>
      <c r="D9949">
        <v>1</v>
      </c>
      <c r="E9949" t="s">
        <v>91</v>
      </c>
      <c r="F9949" t="s">
        <v>183</v>
      </c>
    </row>
    <row r="9950" spans="1:10" x14ac:dyDescent="0.3">
      <c r="A9950">
        <v>911</v>
      </c>
      <c r="B9950" t="s">
        <v>15184</v>
      </c>
      <c r="D9950">
        <v>0.33</v>
      </c>
      <c r="E9950" t="s">
        <v>23</v>
      </c>
      <c r="F9950" t="s">
        <v>1188</v>
      </c>
    </row>
    <row r="9951" spans="1:10" x14ac:dyDescent="0.3">
      <c r="A9951" t="s">
        <v>17480</v>
      </c>
      <c r="B9951" t="s">
        <v>9671</v>
      </c>
      <c r="D9951">
        <v>1</v>
      </c>
      <c r="E9951" t="s">
        <v>120</v>
      </c>
      <c r="F9951" t="s">
        <v>30</v>
      </c>
    </row>
    <row r="9952" spans="1:10" x14ac:dyDescent="0.3">
      <c r="A9952" t="s">
        <v>17481</v>
      </c>
      <c r="B9952" t="s">
        <v>17482</v>
      </c>
      <c r="D9952">
        <v>0.5</v>
      </c>
      <c r="E9952" t="s">
        <v>91</v>
      </c>
      <c r="F9952" t="s">
        <v>88</v>
      </c>
    </row>
    <row r="9953" spans="1:10" x14ac:dyDescent="0.3">
      <c r="A9953" t="s">
        <v>7669</v>
      </c>
      <c r="B9953" t="s">
        <v>5149</v>
      </c>
      <c r="D9953">
        <v>1</v>
      </c>
      <c r="E9953" t="s">
        <v>585</v>
      </c>
      <c r="F9953" t="s">
        <v>5150</v>
      </c>
      <c r="J9953" t="s">
        <v>248</v>
      </c>
    </row>
    <row r="9954" spans="1:10" x14ac:dyDescent="0.3">
      <c r="A9954" t="s">
        <v>17483</v>
      </c>
      <c r="B9954" t="s">
        <v>489</v>
      </c>
      <c r="D9954">
        <v>1</v>
      </c>
      <c r="E9954" t="s">
        <v>23</v>
      </c>
      <c r="F9954" t="s">
        <v>233</v>
      </c>
    </row>
    <row r="9955" spans="1:10" x14ac:dyDescent="0.3">
      <c r="A9955" t="s">
        <v>10143</v>
      </c>
      <c r="B9955" t="s">
        <v>17484</v>
      </c>
      <c r="F9955" t="s">
        <v>17485</v>
      </c>
      <c r="J9955" t="s">
        <v>1938</v>
      </c>
    </row>
    <row r="9956" spans="1:10" x14ac:dyDescent="0.3">
      <c r="A9956" t="s">
        <v>2238</v>
      </c>
      <c r="B9956" t="s">
        <v>17486</v>
      </c>
      <c r="D9956">
        <v>25</v>
      </c>
      <c r="E9956" t="s">
        <v>29</v>
      </c>
      <c r="F9956" t="s">
        <v>17487</v>
      </c>
    </row>
    <row r="9957" spans="1:10" x14ac:dyDescent="0.3">
      <c r="A9957" t="s">
        <v>17488</v>
      </c>
      <c r="B9957" t="s">
        <v>17489</v>
      </c>
      <c r="D9957">
        <v>125</v>
      </c>
      <c r="E9957" t="s">
        <v>29</v>
      </c>
      <c r="F9957" t="s">
        <v>2138</v>
      </c>
    </row>
    <row r="9958" spans="1:10" x14ac:dyDescent="0.3">
      <c r="A9958" t="s">
        <v>17490</v>
      </c>
      <c r="B9958" t="s">
        <v>17491</v>
      </c>
      <c r="D9958">
        <v>35</v>
      </c>
      <c r="E9958" t="s">
        <v>29</v>
      </c>
      <c r="F9958" t="s">
        <v>17492</v>
      </c>
    </row>
    <row r="9959" spans="1:10" x14ac:dyDescent="0.3">
      <c r="A9959" t="s">
        <v>16504</v>
      </c>
      <c r="B9959" t="s">
        <v>743</v>
      </c>
      <c r="F9959" t="s">
        <v>743</v>
      </c>
    </row>
    <row r="9960" spans="1:10" x14ac:dyDescent="0.3">
      <c r="A9960" t="s">
        <v>9409</v>
      </c>
      <c r="B9960" t="s">
        <v>8170</v>
      </c>
      <c r="D9960">
        <v>4</v>
      </c>
      <c r="E9960" t="s">
        <v>23</v>
      </c>
      <c r="F9960" t="s">
        <v>738</v>
      </c>
    </row>
    <row r="9961" spans="1:10" x14ac:dyDescent="0.3">
      <c r="A9961" t="s">
        <v>12313</v>
      </c>
      <c r="B9961" t="s">
        <v>17493</v>
      </c>
      <c r="D9961">
        <v>1</v>
      </c>
      <c r="E9961" t="s">
        <v>460</v>
      </c>
      <c r="F9961" t="s">
        <v>4506</v>
      </c>
    </row>
    <row r="9962" spans="1:10" x14ac:dyDescent="0.3">
      <c r="A9962" t="s">
        <v>4696</v>
      </c>
      <c r="B9962" t="s">
        <v>17494</v>
      </c>
      <c r="D9962">
        <v>0.5</v>
      </c>
      <c r="E9962" t="s">
        <v>284</v>
      </c>
      <c r="F9962" t="s">
        <v>51</v>
      </c>
    </row>
    <row r="9963" spans="1:10" x14ac:dyDescent="0.3">
      <c r="A9963" t="s">
        <v>17495</v>
      </c>
      <c r="B9963" t="s">
        <v>17496</v>
      </c>
      <c r="D9963">
        <v>5</v>
      </c>
      <c r="E9963" t="s">
        <v>345</v>
      </c>
      <c r="F9963" t="s">
        <v>38</v>
      </c>
    </row>
    <row r="9964" spans="1:10" x14ac:dyDescent="0.3">
      <c r="A9964" t="s">
        <v>17497</v>
      </c>
      <c r="B9964" t="s">
        <v>17498</v>
      </c>
      <c r="D9964">
        <v>0.25</v>
      </c>
      <c r="E9964" t="s">
        <v>23</v>
      </c>
      <c r="F9964" t="s">
        <v>1006</v>
      </c>
    </row>
    <row r="9965" spans="1:10" x14ac:dyDescent="0.3">
      <c r="A9965" t="s">
        <v>17499</v>
      </c>
      <c r="B9965" t="s">
        <v>17500</v>
      </c>
      <c r="F9965" t="s">
        <v>17500</v>
      </c>
    </row>
    <row r="9966" spans="1:10" x14ac:dyDescent="0.3">
      <c r="A9966" t="s">
        <v>17501</v>
      </c>
      <c r="B9966" t="s">
        <v>1118</v>
      </c>
      <c r="D9966">
        <v>1</v>
      </c>
      <c r="E9966" t="s">
        <v>23</v>
      </c>
      <c r="F9966" t="s">
        <v>281</v>
      </c>
    </row>
    <row r="9967" spans="1:10" x14ac:dyDescent="0.3">
      <c r="A9967" t="s">
        <v>17502</v>
      </c>
      <c r="B9967" t="s">
        <v>17503</v>
      </c>
      <c r="D9967">
        <v>1</v>
      </c>
      <c r="E9967" t="s">
        <v>23</v>
      </c>
      <c r="F9967" t="s">
        <v>17504</v>
      </c>
    </row>
    <row r="9968" spans="1:10" x14ac:dyDescent="0.3">
      <c r="A9968" t="s">
        <v>17505</v>
      </c>
      <c r="B9968" t="s">
        <v>11123</v>
      </c>
      <c r="F9968" t="s">
        <v>11124</v>
      </c>
      <c r="J9968" t="s">
        <v>790</v>
      </c>
    </row>
    <row r="9969" spans="1:8" x14ac:dyDescent="0.3">
      <c r="A9969" t="s">
        <v>17506</v>
      </c>
      <c r="B9969" t="s">
        <v>17507</v>
      </c>
      <c r="D9969">
        <v>0.5</v>
      </c>
      <c r="E9969" t="s">
        <v>23</v>
      </c>
      <c r="F9969" t="s">
        <v>4510</v>
      </c>
    </row>
    <row r="9970" spans="1:8" x14ac:dyDescent="0.3">
      <c r="A9970" t="s">
        <v>17508</v>
      </c>
      <c r="B9970" t="s">
        <v>17509</v>
      </c>
      <c r="D9970">
        <v>3</v>
      </c>
      <c r="E9970" t="s">
        <v>91</v>
      </c>
      <c r="F9970" t="s">
        <v>3410</v>
      </c>
    </row>
    <row r="9971" spans="1:8" x14ac:dyDescent="0.3">
      <c r="A9971" t="s">
        <v>5800</v>
      </c>
      <c r="B9971" t="s">
        <v>17510</v>
      </c>
      <c r="D9971">
        <v>0.75</v>
      </c>
      <c r="E9971" t="s">
        <v>361</v>
      </c>
      <c r="F9971" t="s">
        <v>2166</v>
      </c>
      <c r="G9971" t="s">
        <v>4383</v>
      </c>
      <c r="H9971" t="s">
        <v>168</v>
      </c>
    </row>
    <row r="9972" spans="1:8" x14ac:dyDescent="0.3">
      <c r="A9972" t="s">
        <v>17511</v>
      </c>
      <c r="B9972" t="s">
        <v>17512</v>
      </c>
      <c r="D9972">
        <v>1</v>
      </c>
      <c r="F9972" t="s">
        <v>17513</v>
      </c>
      <c r="H9972" t="s">
        <v>2655</v>
      </c>
    </row>
    <row r="9973" spans="1:8" x14ac:dyDescent="0.3">
      <c r="A9973" t="s">
        <v>17514</v>
      </c>
      <c r="B9973" t="s">
        <v>1269</v>
      </c>
      <c r="D9973">
        <v>1</v>
      </c>
      <c r="E9973" t="s">
        <v>23</v>
      </c>
      <c r="F9973" t="s">
        <v>380</v>
      </c>
    </row>
    <row r="9974" spans="1:8" x14ac:dyDescent="0.3">
      <c r="A9974" t="s">
        <v>17515</v>
      </c>
      <c r="B9974" t="s">
        <v>4760</v>
      </c>
      <c r="D9974">
        <v>5</v>
      </c>
      <c r="F9974" t="s">
        <v>591</v>
      </c>
    </row>
    <row r="9975" spans="1:8" x14ac:dyDescent="0.3">
      <c r="A9975" t="s">
        <v>8768</v>
      </c>
      <c r="B9975" t="s">
        <v>17516</v>
      </c>
      <c r="D9975">
        <v>0.5</v>
      </c>
      <c r="E9975" t="s">
        <v>1785</v>
      </c>
      <c r="F9975" t="s">
        <v>17517</v>
      </c>
    </row>
    <row r="9976" spans="1:8" x14ac:dyDescent="0.3">
      <c r="A9976" t="s">
        <v>14025</v>
      </c>
      <c r="B9976" t="s">
        <v>6978</v>
      </c>
      <c r="D9976">
        <v>50</v>
      </c>
      <c r="E9976" t="s">
        <v>29</v>
      </c>
      <c r="F9976" t="s">
        <v>738</v>
      </c>
    </row>
    <row r="9977" spans="1:8" x14ac:dyDescent="0.3">
      <c r="A9977" t="s">
        <v>17518</v>
      </c>
      <c r="B9977" t="s">
        <v>6614</v>
      </c>
      <c r="F9977" t="s">
        <v>6614</v>
      </c>
    </row>
    <row r="9978" spans="1:8" x14ac:dyDescent="0.3">
      <c r="A9978" t="s">
        <v>10312</v>
      </c>
      <c r="B9978" t="s">
        <v>4972</v>
      </c>
      <c r="D9978">
        <v>1</v>
      </c>
      <c r="E9978" t="s">
        <v>1785</v>
      </c>
      <c r="F9978" t="s">
        <v>320</v>
      </c>
    </row>
    <row r="9979" spans="1:8" x14ac:dyDescent="0.3">
      <c r="A9979" t="s">
        <v>13764</v>
      </c>
      <c r="B9979" t="s">
        <v>17519</v>
      </c>
      <c r="D9979">
        <v>1</v>
      </c>
      <c r="E9979" t="s">
        <v>6792</v>
      </c>
      <c r="F9979" t="s">
        <v>17520</v>
      </c>
    </row>
    <row r="9980" spans="1:8" x14ac:dyDescent="0.3">
      <c r="A9980" t="s">
        <v>6902</v>
      </c>
      <c r="B9980" t="s">
        <v>17521</v>
      </c>
      <c r="D9980">
        <v>0.5</v>
      </c>
      <c r="E9980" t="s">
        <v>11</v>
      </c>
      <c r="F9980" t="s">
        <v>12522</v>
      </c>
    </row>
    <row r="9981" spans="1:8" x14ac:dyDescent="0.3">
      <c r="A9981" t="s">
        <v>1580</v>
      </c>
      <c r="B9981" t="s">
        <v>152</v>
      </c>
      <c r="F9981" t="s">
        <v>152</v>
      </c>
    </row>
    <row r="9982" spans="1:8" x14ac:dyDescent="0.3">
      <c r="A9982" t="s">
        <v>6231</v>
      </c>
      <c r="B9982" t="s">
        <v>2288</v>
      </c>
      <c r="D9982">
        <v>1</v>
      </c>
      <c r="E9982" t="s">
        <v>23</v>
      </c>
      <c r="F9982" t="s">
        <v>2289</v>
      </c>
    </row>
    <row r="9983" spans="1:8" x14ac:dyDescent="0.3">
      <c r="A9983" t="s">
        <v>17522</v>
      </c>
      <c r="B9983" t="s">
        <v>17523</v>
      </c>
      <c r="D9983">
        <v>1</v>
      </c>
      <c r="E9983" t="s">
        <v>23</v>
      </c>
      <c r="F9983" t="s">
        <v>17524</v>
      </c>
    </row>
    <row r="9984" spans="1:8" x14ac:dyDescent="0.3">
      <c r="A9984" t="s">
        <v>17525</v>
      </c>
      <c r="B9984" t="s">
        <v>9668</v>
      </c>
      <c r="D9984">
        <v>25</v>
      </c>
      <c r="E9984" t="s">
        <v>29</v>
      </c>
      <c r="F9984" t="s">
        <v>9669</v>
      </c>
    </row>
    <row r="9985" spans="1:10" x14ac:dyDescent="0.3">
      <c r="A9985" t="s">
        <v>17526</v>
      </c>
      <c r="B9985" t="s">
        <v>17527</v>
      </c>
      <c r="D9985">
        <v>1.75</v>
      </c>
      <c r="E9985" t="s">
        <v>23</v>
      </c>
      <c r="F9985" t="s">
        <v>365</v>
      </c>
    </row>
    <row r="9986" spans="1:10" x14ac:dyDescent="0.3">
      <c r="A9986" t="s">
        <v>17528</v>
      </c>
      <c r="B9986" t="s">
        <v>17529</v>
      </c>
      <c r="D9986">
        <v>30</v>
      </c>
      <c r="E9986" t="s">
        <v>29</v>
      </c>
      <c r="F9986" t="s">
        <v>3449</v>
      </c>
    </row>
    <row r="9987" spans="1:10" x14ac:dyDescent="0.3">
      <c r="A9987" t="s">
        <v>7619</v>
      </c>
      <c r="B9987" t="s">
        <v>17530</v>
      </c>
      <c r="F9987" t="s">
        <v>16291</v>
      </c>
      <c r="J9987" t="s">
        <v>17531</v>
      </c>
    </row>
    <row r="9988" spans="1:10" x14ac:dyDescent="0.3">
      <c r="A9988" t="s">
        <v>330</v>
      </c>
      <c r="B9988" t="s">
        <v>3424</v>
      </c>
      <c r="D9988">
        <v>1</v>
      </c>
      <c r="E9988" t="s">
        <v>23</v>
      </c>
      <c r="F9988" t="s">
        <v>1209</v>
      </c>
    </row>
    <row r="9989" spans="1:10" x14ac:dyDescent="0.3">
      <c r="A9989" t="s">
        <v>17532</v>
      </c>
      <c r="B9989" t="s">
        <v>17533</v>
      </c>
      <c r="D9989">
        <v>2</v>
      </c>
      <c r="E9989" t="s">
        <v>227</v>
      </c>
      <c r="F9989" t="s">
        <v>17534</v>
      </c>
    </row>
    <row r="9990" spans="1:10" x14ac:dyDescent="0.3">
      <c r="A9990" t="s">
        <v>4261</v>
      </c>
      <c r="B9990" t="s">
        <v>6324</v>
      </c>
      <c r="D9990">
        <v>0.5</v>
      </c>
      <c r="F9990" t="s">
        <v>17212</v>
      </c>
      <c r="J9990" t="s">
        <v>289</v>
      </c>
    </row>
    <row r="9991" spans="1:10" x14ac:dyDescent="0.3">
      <c r="A9991" t="s">
        <v>16459</v>
      </c>
      <c r="B9991" t="s">
        <v>8969</v>
      </c>
      <c r="D9991">
        <v>3</v>
      </c>
      <c r="F9991" t="s">
        <v>8970</v>
      </c>
      <c r="J9991" t="s">
        <v>248</v>
      </c>
    </row>
    <row r="9992" spans="1:10" x14ac:dyDescent="0.3">
      <c r="A9992" t="s">
        <v>17535</v>
      </c>
      <c r="B9992" t="s">
        <v>17536</v>
      </c>
      <c r="D9992">
        <v>2</v>
      </c>
      <c r="E9992" t="s">
        <v>460</v>
      </c>
      <c r="F9992" t="s">
        <v>17537</v>
      </c>
    </row>
    <row r="9993" spans="1:10" x14ac:dyDescent="0.3">
      <c r="A9993" t="s">
        <v>17538</v>
      </c>
      <c r="B9993" t="s">
        <v>17539</v>
      </c>
      <c r="D9993">
        <v>1</v>
      </c>
      <c r="E9993" t="s">
        <v>23</v>
      </c>
      <c r="F9993" t="s">
        <v>5676</v>
      </c>
      <c r="J9993" t="s">
        <v>289</v>
      </c>
    </row>
    <row r="9994" spans="1:10" x14ac:dyDescent="0.3">
      <c r="A9994" t="s">
        <v>17540</v>
      </c>
      <c r="B9994" t="s">
        <v>607</v>
      </c>
      <c r="D9994">
        <v>0.5</v>
      </c>
      <c r="E9994" t="s">
        <v>23</v>
      </c>
      <c r="F9994" t="s">
        <v>292</v>
      </c>
    </row>
    <row r="9995" spans="1:10" x14ac:dyDescent="0.3">
      <c r="A9995" t="s">
        <v>9038</v>
      </c>
      <c r="B9995" t="s">
        <v>17541</v>
      </c>
      <c r="D9995">
        <v>0.25</v>
      </c>
      <c r="E9995" t="s">
        <v>460</v>
      </c>
      <c r="F9995" t="s">
        <v>907</v>
      </c>
      <c r="G9995" t="s">
        <v>4383</v>
      </c>
    </row>
    <row r="9996" spans="1:10" x14ac:dyDescent="0.3">
      <c r="A9996" t="s">
        <v>2141</v>
      </c>
      <c r="B9996" t="s">
        <v>16781</v>
      </c>
      <c r="E9996" t="s">
        <v>1990</v>
      </c>
      <c r="F9996" t="s">
        <v>163</v>
      </c>
      <c r="J9996" t="s">
        <v>790</v>
      </c>
    </row>
    <row r="9997" spans="1:10" x14ac:dyDescent="0.3">
      <c r="A9997" t="s">
        <v>2568</v>
      </c>
      <c r="B9997" t="s">
        <v>17542</v>
      </c>
      <c r="D9997">
        <v>2</v>
      </c>
      <c r="E9997" t="s">
        <v>189</v>
      </c>
      <c r="F9997" t="s">
        <v>8159</v>
      </c>
    </row>
    <row r="9998" spans="1:10" x14ac:dyDescent="0.3">
      <c r="A9998" t="s">
        <v>12456</v>
      </c>
      <c r="B9998" t="s">
        <v>10859</v>
      </c>
      <c r="D9998">
        <v>0.75</v>
      </c>
      <c r="E9998" t="s">
        <v>37</v>
      </c>
      <c r="F9998" t="s">
        <v>4705</v>
      </c>
    </row>
    <row r="9999" spans="1:10" x14ac:dyDescent="0.3">
      <c r="A9999" t="s">
        <v>17543</v>
      </c>
      <c r="B9999" t="s">
        <v>17544</v>
      </c>
      <c r="D9999">
        <v>2</v>
      </c>
      <c r="E9999" t="s">
        <v>23</v>
      </c>
      <c r="F9999" t="s">
        <v>5691</v>
      </c>
    </row>
    <row r="10000" spans="1:10" x14ac:dyDescent="0.3">
      <c r="A10000" t="s">
        <v>17545</v>
      </c>
      <c r="B10000" t="s">
        <v>17546</v>
      </c>
      <c r="D10000">
        <v>1</v>
      </c>
      <c r="E10000" t="s">
        <v>23</v>
      </c>
      <c r="F10000" t="s">
        <v>12264</v>
      </c>
    </row>
    <row r="10001" spans="1:10" x14ac:dyDescent="0.3">
      <c r="A10001" t="s">
        <v>8410</v>
      </c>
      <c r="B10001" t="s">
        <v>17547</v>
      </c>
      <c r="F10001" t="s">
        <v>738</v>
      </c>
      <c r="J10001" t="s">
        <v>17548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Madhvi Kumari Sinha</dc:creator>
  <cp:lastModifiedBy>Madhvi Kumari Sinha</cp:lastModifiedBy>
  <dcterms:created xsi:type="dcterms:W3CDTF">2026-03-03T18:54:44Z</dcterms:created>
  <dcterms:modified xsi:type="dcterms:W3CDTF">2026-04-09T18:23:06Z</dcterms:modified>
</cp:coreProperties>
</file>